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tateofwa-my.sharepoint.com/personal/matthew_george_dfw_wa_gov/Documents/Desktop/Github/razor-clam-harvest-monitoring/02_data/IE data/"/>
    </mc:Choice>
  </mc:AlternateContent>
  <xr:revisionPtr revIDLastSave="3" documentId="11_08BD2A0330FF1EE2742B6135A64D760A5559E50E" xr6:coauthVersionLast="47" xr6:coauthVersionMax="47" xr10:uidLastSave="{4FBABE0B-461E-468E-ADDB-E0761F0E3251}"/>
  <bookViews>
    <workbookView xWindow="-120" yWindow="-120" windowWidth="38640" windowHeight="21120" tabRatio="500" activeTab="2" xr2:uid="{00000000-000D-0000-FFFF-FFFF00000000}"/>
  </bookViews>
  <sheets>
    <sheet name="Read_Me" sheetId="1" r:id="rId1"/>
    <sheet name="File_Manifest" sheetId="2" r:id="rId2"/>
    <sheet name="Survey_Inventory" sheetId="3" r:id="rId3"/>
    <sheet name="Coverage" sheetId="4" r:id="rId4"/>
    <sheet name="Survey_Counts" sheetId="5" r:id="rId5"/>
    <sheet name="Pct_Available_Matrix" sheetId="6" r:id="rId6"/>
    <sheet name="Published_Tables" sheetId="7" r:id="rId7"/>
    <sheet name="Reference_Tables_Pct" sheetId="8" r:id="rId8"/>
    <sheet name="Table_Provenance" sheetId="9" r:id="rId9"/>
    <sheet name="Reconstructed_Surveys" sheetId="10" r:id="rId10"/>
    <sheet name="Data_Issues" sheetId="11" r:id="rId11"/>
  </sheets>
  <definedNames>
    <definedName name="_xlnm._FilterDatabase" localSheetId="10" hidden="1">Data_Issues!$A$1:$G$16</definedName>
    <definedName name="_xlnm._FilterDatabase" localSheetId="1" hidden="1">File_Manifest!$A$1:$F$36</definedName>
    <definedName name="_xlnm._FilterDatabase" localSheetId="9" hidden="1">Reconstructed_Surveys!$A$1:$M$94</definedName>
    <definedName name="_xlnm._FilterDatabase" localSheetId="7" hidden="1">Reference_Tables_Pct!$A$1:$J$88</definedName>
    <definedName name="_xlnm._FilterDatabase" localSheetId="4" hidden="1">Survey_Counts!$A$1:$Q$743</definedName>
    <definedName name="_xlnm._FilterDatabase" localSheetId="2" hidden="1">Survey_Inventory!$A$1:$AB$45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94" i="10" l="1"/>
  <c r="M94" i="10" s="1"/>
  <c r="J94" i="10"/>
  <c r="I94" i="10"/>
  <c r="K94" i="10" s="1"/>
  <c r="L93" i="10"/>
  <c r="J93" i="10"/>
  <c r="I93" i="10"/>
  <c r="K93" i="10" s="1"/>
  <c r="L92" i="10"/>
  <c r="M92" i="10" s="1"/>
  <c r="J92" i="10"/>
  <c r="I92" i="10"/>
  <c r="K92" i="10" s="1"/>
  <c r="L91" i="10"/>
  <c r="M91" i="10" s="1"/>
  <c r="K91" i="10"/>
  <c r="J91" i="10"/>
  <c r="I91" i="10"/>
  <c r="L90" i="10"/>
  <c r="J90" i="10"/>
  <c r="I90" i="10"/>
  <c r="K90" i="10" s="1"/>
  <c r="L89" i="10"/>
  <c r="J89" i="10"/>
  <c r="I89" i="10"/>
  <c r="K89" i="10" s="1"/>
  <c r="M89" i="10" s="1"/>
  <c r="L88" i="10"/>
  <c r="J88" i="10"/>
  <c r="I88" i="10"/>
  <c r="K88" i="10" s="1"/>
  <c r="M88" i="10" s="1"/>
  <c r="L87" i="10"/>
  <c r="M87" i="10" s="1"/>
  <c r="K87" i="10"/>
  <c r="J87" i="10"/>
  <c r="I87" i="10"/>
  <c r="L86" i="10"/>
  <c r="J86" i="10"/>
  <c r="I86" i="10"/>
  <c r="K86" i="10" s="1"/>
  <c r="L85" i="10"/>
  <c r="J85" i="10"/>
  <c r="I85" i="10"/>
  <c r="K85" i="10" s="1"/>
  <c r="M85" i="10" s="1"/>
  <c r="L84" i="10"/>
  <c r="M84" i="10" s="1"/>
  <c r="J84" i="10"/>
  <c r="I84" i="10"/>
  <c r="K84" i="10" s="1"/>
  <c r="L83" i="10"/>
  <c r="M83" i="10" s="1"/>
  <c r="K83" i="10"/>
  <c r="J83" i="10"/>
  <c r="I83" i="10"/>
  <c r="L82" i="10"/>
  <c r="M82" i="10" s="1"/>
  <c r="J82" i="10"/>
  <c r="I82" i="10"/>
  <c r="K82" i="10" s="1"/>
  <c r="L81" i="10"/>
  <c r="J81" i="10"/>
  <c r="I81" i="10"/>
  <c r="K81" i="10" s="1"/>
  <c r="M81" i="10" s="1"/>
  <c r="L80" i="10"/>
  <c r="J80" i="10"/>
  <c r="I80" i="10"/>
  <c r="K80" i="10" s="1"/>
  <c r="M80" i="10" s="1"/>
  <c r="L79" i="10"/>
  <c r="M79" i="10" s="1"/>
  <c r="K79" i="10"/>
  <c r="J79" i="10"/>
  <c r="I79" i="10"/>
  <c r="L78" i="10"/>
  <c r="J78" i="10"/>
  <c r="I78" i="10"/>
  <c r="K78" i="10" s="1"/>
  <c r="L77" i="10"/>
  <c r="M77" i="10" s="1"/>
  <c r="J77" i="10"/>
  <c r="I77" i="10"/>
  <c r="K77" i="10" s="1"/>
  <c r="L76" i="10"/>
  <c r="J76" i="10"/>
  <c r="I76" i="10"/>
  <c r="K76" i="10" s="1"/>
  <c r="L75" i="10"/>
  <c r="J75" i="10"/>
  <c r="I75" i="10"/>
  <c r="K75" i="10" s="1"/>
  <c r="L74" i="10"/>
  <c r="M74" i="10" s="1"/>
  <c r="J74" i="10"/>
  <c r="I74" i="10"/>
  <c r="K74" i="10" s="1"/>
  <c r="L73" i="10"/>
  <c r="J73" i="10"/>
  <c r="I73" i="10"/>
  <c r="K73" i="10" s="1"/>
  <c r="L72" i="10"/>
  <c r="J72" i="10"/>
  <c r="I72" i="10"/>
  <c r="K72" i="10" s="1"/>
  <c r="M72" i="10" s="1"/>
  <c r="L71" i="10"/>
  <c r="K71" i="10"/>
  <c r="M71" i="10" s="1"/>
  <c r="J71" i="10"/>
  <c r="I71" i="10"/>
  <c r="L70" i="10"/>
  <c r="K70" i="10"/>
  <c r="M70" i="10" s="1"/>
  <c r="J70" i="10"/>
  <c r="I70" i="10"/>
  <c r="L69" i="10"/>
  <c r="J69" i="10"/>
  <c r="I69" i="10"/>
  <c r="K69" i="10" s="1"/>
  <c r="M69" i="10" s="1"/>
  <c r="L68" i="10"/>
  <c r="J68" i="10"/>
  <c r="I68" i="10"/>
  <c r="K68" i="10" s="1"/>
  <c r="L67" i="10"/>
  <c r="M67" i="10" s="1"/>
  <c r="J67" i="10"/>
  <c r="I67" i="10"/>
  <c r="K67" i="10" s="1"/>
  <c r="L66" i="10"/>
  <c r="J66" i="10"/>
  <c r="I66" i="10"/>
  <c r="K66" i="10" s="1"/>
  <c r="L65" i="10"/>
  <c r="J65" i="10"/>
  <c r="I65" i="10"/>
  <c r="K65" i="10" s="1"/>
  <c r="L64" i="10"/>
  <c r="J64" i="10"/>
  <c r="I64" i="10"/>
  <c r="K64" i="10" s="1"/>
  <c r="M64" i="10" s="1"/>
  <c r="L63" i="10"/>
  <c r="K63" i="10"/>
  <c r="M63" i="10" s="1"/>
  <c r="J63" i="10"/>
  <c r="I63" i="10"/>
  <c r="L62" i="10"/>
  <c r="K62" i="10"/>
  <c r="M62" i="10" s="1"/>
  <c r="J62" i="10"/>
  <c r="I62" i="10"/>
  <c r="L61" i="10"/>
  <c r="J61" i="10"/>
  <c r="I61" i="10"/>
  <c r="K61" i="10" s="1"/>
  <c r="M61" i="10" s="1"/>
  <c r="L60" i="10"/>
  <c r="J60" i="10"/>
  <c r="I60" i="10"/>
  <c r="K60" i="10" s="1"/>
  <c r="M60" i="10" s="1"/>
  <c r="L59" i="10"/>
  <c r="J59" i="10"/>
  <c r="I59" i="10"/>
  <c r="K59" i="10" s="1"/>
  <c r="L58" i="10"/>
  <c r="J58" i="10"/>
  <c r="I58" i="10"/>
  <c r="K58" i="10" s="1"/>
  <c r="L57" i="10"/>
  <c r="M57" i="10" s="1"/>
  <c r="J57" i="10"/>
  <c r="I57" i="10"/>
  <c r="K57" i="10" s="1"/>
  <c r="L56" i="10"/>
  <c r="J56" i="10"/>
  <c r="I56" i="10"/>
  <c r="K56" i="10" s="1"/>
  <c r="M56" i="10" s="1"/>
  <c r="L55" i="10"/>
  <c r="K55" i="10"/>
  <c r="M55" i="10" s="1"/>
  <c r="J55" i="10"/>
  <c r="I55" i="10"/>
  <c r="L54" i="10"/>
  <c r="K54" i="10"/>
  <c r="M54" i="10" s="1"/>
  <c r="J54" i="10"/>
  <c r="I54" i="10"/>
  <c r="L53" i="10"/>
  <c r="J53" i="10"/>
  <c r="I53" i="10"/>
  <c r="K53" i="10" s="1"/>
  <c r="M53" i="10" s="1"/>
  <c r="L52" i="10"/>
  <c r="J52" i="10"/>
  <c r="I52" i="10"/>
  <c r="K52" i="10" s="1"/>
  <c r="M52" i="10" s="1"/>
  <c r="L51" i="10"/>
  <c r="J51" i="10"/>
  <c r="I51" i="10"/>
  <c r="K51" i="10" s="1"/>
  <c r="L50" i="10"/>
  <c r="M50" i="10" s="1"/>
  <c r="J50" i="10"/>
  <c r="I50" i="10"/>
  <c r="K50" i="10" s="1"/>
  <c r="L49" i="10"/>
  <c r="J49" i="10"/>
  <c r="I49" i="10"/>
  <c r="K49" i="10" s="1"/>
  <c r="L48" i="10"/>
  <c r="J48" i="10"/>
  <c r="I48" i="10"/>
  <c r="K48" i="10" s="1"/>
  <c r="M48" i="10" s="1"/>
  <c r="L47" i="10"/>
  <c r="K47" i="10"/>
  <c r="M47" i="10" s="1"/>
  <c r="J47" i="10"/>
  <c r="I47" i="10"/>
  <c r="L46" i="10"/>
  <c r="K46" i="10"/>
  <c r="M46" i="10" s="1"/>
  <c r="J46" i="10"/>
  <c r="I46" i="10"/>
  <c r="L45" i="10"/>
  <c r="J45" i="10"/>
  <c r="I45" i="10"/>
  <c r="K45" i="10" s="1"/>
  <c r="M45" i="10" s="1"/>
  <c r="L44" i="10"/>
  <c r="J44" i="10"/>
  <c r="I44" i="10"/>
  <c r="K44" i="10" s="1"/>
  <c r="L43" i="10"/>
  <c r="J43" i="10"/>
  <c r="I43" i="10"/>
  <c r="K43" i="10" s="1"/>
  <c r="L42" i="10"/>
  <c r="M42" i="10" s="1"/>
  <c r="J42" i="10"/>
  <c r="I42" i="10"/>
  <c r="K42" i="10" s="1"/>
  <c r="L41" i="10"/>
  <c r="J41" i="10"/>
  <c r="I41" i="10"/>
  <c r="K41" i="10" s="1"/>
  <c r="L40" i="10"/>
  <c r="J40" i="10"/>
  <c r="I40" i="10"/>
  <c r="K40" i="10" s="1"/>
  <c r="M40" i="10" s="1"/>
  <c r="L39" i="10"/>
  <c r="K39" i="10"/>
  <c r="M39" i="10" s="1"/>
  <c r="J39" i="10"/>
  <c r="I39" i="10"/>
  <c r="L38" i="10"/>
  <c r="K38" i="10"/>
  <c r="M38" i="10" s="1"/>
  <c r="J38" i="10"/>
  <c r="I38" i="10"/>
  <c r="L37" i="10"/>
  <c r="J37" i="10"/>
  <c r="I37" i="10"/>
  <c r="K37" i="10" s="1"/>
  <c r="M37" i="10" s="1"/>
  <c r="L36" i="10"/>
  <c r="J36" i="10"/>
  <c r="I36" i="10"/>
  <c r="K36" i="10" s="1"/>
  <c r="L35" i="10"/>
  <c r="M35" i="10" s="1"/>
  <c r="J35" i="10"/>
  <c r="I35" i="10"/>
  <c r="K35" i="10" s="1"/>
  <c r="L34" i="10"/>
  <c r="J34" i="10"/>
  <c r="I34" i="10"/>
  <c r="K34" i="10" s="1"/>
  <c r="L33" i="10"/>
  <c r="J33" i="10"/>
  <c r="I33" i="10"/>
  <c r="K33" i="10" s="1"/>
  <c r="L32" i="10"/>
  <c r="J32" i="10"/>
  <c r="I32" i="10"/>
  <c r="K32" i="10" s="1"/>
  <c r="M32" i="10" s="1"/>
  <c r="L31" i="10"/>
  <c r="K31" i="10"/>
  <c r="M31" i="10" s="1"/>
  <c r="J31" i="10"/>
  <c r="I31" i="10"/>
  <c r="L30" i="10"/>
  <c r="K30" i="10"/>
  <c r="M30" i="10" s="1"/>
  <c r="J30" i="10"/>
  <c r="I30" i="10"/>
  <c r="L29" i="10"/>
  <c r="J29" i="10"/>
  <c r="I29" i="10"/>
  <c r="K29" i="10" s="1"/>
  <c r="M29" i="10" s="1"/>
  <c r="L28" i="10"/>
  <c r="M28" i="10" s="1"/>
  <c r="J28" i="10"/>
  <c r="I28" i="10"/>
  <c r="K28" i="10" s="1"/>
  <c r="L27" i="10"/>
  <c r="J27" i="10"/>
  <c r="I27" i="10"/>
  <c r="K27" i="10" s="1"/>
  <c r="L26" i="10"/>
  <c r="J26" i="10"/>
  <c r="I26" i="10"/>
  <c r="K26" i="10" s="1"/>
  <c r="L25" i="10"/>
  <c r="M25" i="10" s="1"/>
  <c r="J25" i="10"/>
  <c r="I25" i="10"/>
  <c r="K25" i="10" s="1"/>
  <c r="L24" i="10"/>
  <c r="J24" i="10"/>
  <c r="I24" i="10"/>
  <c r="K24" i="10" s="1"/>
  <c r="M24" i="10" s="1"/>
  <c r="L23" i="10"/>
  <c r="K23" i="10"/>
  <c r="M23" i="10" s="1"/>
  <c r="J23" i="10"/>
  <c r="I23" i="10"/>
  <c r="L22" i="10"/>
  <c r="K22" i="10"/>
  <c r="M22" i="10" s="1"/>
  <c r="J22" i="10"/>
  <c r="I22" i="10"/>
  <c r="L21" i="10"/>
  <c r="J21" i="10"/>
  <c r="I21" i="10"/>
  <c r="K21" i="10" s="1"/>
  <c r="M21" i="10" s="1"/>
  <c r="L20" i="10"/>
  <c r="M20" i="10" s="1"/>
  <c r="J20" i="10"/>
  <c r="I20" i="10"/>
  <c r="K20" i="10" s="1"/>
  <c r="L19" i="10"/>
  <c r="J19" i="10"/>
  <c r="I19" i="10"/>
  <c r="K19" i="10" s="1"/>
  <c r="L18" i="10"/>
  <c r="M18" i="10" s="1"/>
  <c r="J18" i="10"/>
  <c r="I18" i="10"/>
  <c r="K18" i="10" s="1"/>
  <c r="L17" i="10"/>
  <c r="J17" i="10"/>
  <c r="I17" i="10"/>
  <c r="K17" i="10" s="1"/>
  <c r="L16" i="10"/>
  <c r="J16" i="10"/>
  <c r="I16" i="10"/>
  <c r="K16" i="10" s="1"/>
  <c r="M16" i="10" s="1"/>
  <c r="L15" i="10"/>
  <c r="K15" i="10"/>
  <c r="M15" i="10" s="1"/>
  <c r="J15" i="10"/>
  <c r="I15" i="10"/>
  <c r="L14" i="10"/>
  <c r="J14" i="10"/>
  <c r="K14" i="10" s="1"/>
  <c r="M14" i="10" s="1"/>
  <c r="I14" i="10"/>
  <c r="L13" i="10"/>
  <c r="J13" i="10"/>
  <c r="I13" i="10"/>
  <c r="K13" i="10" s="1"/>
  <c r="M13" i="10" s="1"/>
  <c r="L12" i="10"/>
  <c r="J12" i="10"/>
  <c r="I12" i="10"/>
  <c r="K12" i="10" s="1"/>
  <c r="L11" i="10"/>
  <c r="J11" i="10"/>
  <c r="I11" i="10"/>
  <c r="K11" i="10" s="1"/>
  <c r="L10" i="10"/>
  <c r="M10" i="10" s="1"/>
  <c r="J10" i="10"/>
  <c r="I10" i="10"/>
  <c r="K10" i="10" s="1"/>
  <c r="L9" i="10"/>
  <c r="J9" i="10"/>
  <c r="I9" i="10"/>
  <c r="K9" i="10" s="1"/>
  <c r="L8" i="10"/>
  <c r="J8" i="10"/>
  <c r="I8" i="10"/>
  <c r="K8" i="10" s="1"/>
  <c r="M8" i="10" s="1"/>
  <c r="L7" i="10"/>
  <c r="K7" i="10"/>
  <c r="M7" i="10" s="1"/>
  <c r="J7" i="10"/>
  <c r="I7" i="10"/>
  <c r="L6" i="10"/>
  <c r="J6" i="10"/>
  <c r="K6" i="10" s="1"/>
  <c r="M6" i="10" s="1"/>
  <c r="I6" i="10"/>
  <c r="L5" i="10"/>
  <c r="J5" i="10"/>
  <c r="I5" i="10"/>
  <c r="K5" i="10" s="1"/>
  <c r="M5" i="10" s="1"/>
  <c r="L4" i="10"/>
  <c r="J4" i="10"/>
  <c r="I4" i="10"/>
  <c r="K4" i="10" s="1"/>
  <c r="L3" i="10"/>
  <c r="J3" i="10"/>
  <c r="I3" i="10"/>
  <c r="K3" i="10" s="1"/>
  <c r="L2" i="10"/>
  <c r="M2" i="10" s="1"/>
  <c r="J2" i="10"/>
  <c r="I2" i="10"/>
  <c r="K2" i="10" s="1"/>
  <c r="M155" i="7"/>
  <c r="K155" i="7"/>
  <c r="J155" i="7"/>
  <c r="L155" i="7" s="1"/>
  <c r="M154" i="7"/>
  <c r="N154" i="7" s="1"/>
  <c r="K154" i="7"/>
  <c r="J154" i="7"/>
  <c r="L154" i="7" s="1"/>
  <c r="M153" i="7"/>
  <c r="N153" i="7" s="1"/>
  <c r="L153" i="7"/>
  <c r="K153" i="7"/>
  <c r="J153" i="7"/>
  <c r="M152" i="7"/>
  <c r="K152" i="7"/>
  <c r="J152" i="7"/>
  <c r="L152" i="7" s="1"/>
  <c r="M151" i="7"/>
  <c r="K151" i="7"/>
  <c r="J151" i="7"/>
  <c r="L151" i="7" s="1"/>
  <c r="N151" i="7" s="1"/>
  <c r="M150" i="7"/>
  <c r="K150" i="7"/>
  <c r="J150" i="7"/>
  <c r="L150" i="7" s="1"/>
  <c r="M149" i="7"/>
  <c r="N149" i="7" s="1"/>
  <c r="K149" i="7"/>
  <c r="J149" i="7"/>
  <c r="L149" i="7" s="1"/>
  <c r="M148" i="7"/>
  <c r="N148" i="7" s="1"/>
  <c r="L148" i="7"/>
  <c r="K148" i="7"/>
  <c r="J148" i="7"/>
  <c r="M147" i="7"/>
  <c r="K147" i="7"/>
  <c r="J147" i="7"/>
  <c r="L147" i="7" s="1"/>
  <c r="M146" i="7"/>
  <c r="K146" i="7"/>
  <c r="J146" i="7"/>
  <c r="L146" i="7" s="1"/>
  <c r="N146" i="7" s="1"/>
  <c r="M145" i="7"/>
  <c r="K145" i="7"/>
  <c r="L145" i="7" s="1"/>
  <c r="J145" i="7"/>
  <c r="M144" i="7"/>
  <c r="N144" i="7" s="1"/>
  <c r="L144" i="7"/>
  <c r="K144" i="7"/>
  <c r="J144" i="7"/>
  <c r="M143" i="7"/>
  <c r="K143" i="7"/>
  <c r="J143" i="7"/>
  <c r="L143" i="7" s="1"/>
  <c r="M142" i="7"/>
  <c r="K142" i="7"/>
  <c r="J142" i="7"/>
  <c r="L142" i="7" s="1"/>
  <c r="M141" i="7"/>
  <c r="N141" i="7" s="1"/>
  <c r="K141" i="7"/>
  <c r="J141" i="7"/>
  <c r="L141" i="7" s="1"/>
  <c r="M140" i="7"/>
  <c r="N140" i="7" s="1"/>
  <c r="L140" i="7"/>
  <c r="K140" i="7"/>
  <c r="J140" i="7"/>
  <c r="M139" i="7"/>
  <c r="N139" i="7" s="1"/>
  <c r="K139" i="7"/>
  <c r="J139" i="7"/>
  <c r="L139" i="7" s="1"/>
  <c r="M138" i="7"/>
  <c r="K138" i="7"/>
  <c r="J138" i="7"/>
  <c r="L138" i="7" s="1"/>
  <c r="N138" i="7" s="1"/>
  <c r="M137" i="7"/>
  <c r="K137" i="7"/>
  <c r="L137" i="7" s="1"/>
  <c r="J137" i="7"/>
  <c r="M136" i="7"/>
  <c r="N136" i="7" s="1"/>
  <c r="L136" i="7"/>
  <c r="K136" i="7"/>
  <c r="J136" i="7"/>
  <c r="M135" i="7"/>
  <c r="K135" i="7"/>
  <c r="J135" i="7"/>
  <c r="L135" i="7" s="1"/>
  <c r="M134" i="7"/>
  <c r="K134" i="7"/>
  <c r="J134" i="7"/>
  <c r="L134" i="7" s="1"/>
  <c r="N134" i="7" s="1"/>
  <c r="M133" i="7"/>
  <c r="K133" i="7"/>
  <c r="J133" i="7"/>
  <c r="L133" i="7" s="1"/>
  <c r="N133" i="7" s="1"/>
  <c r="M132" i="7"/>
  <c r="N132" i="7" s="1"/>
  <c r="L132" i="7"/>
  <c r="K132" i="7"/>
  <c r="J132" i="7"/>
  <c r="M131" i="7"/>
  <c r="N131" i="7" s="1"/>
  <c r="K131" i="7"/>
  <c r="J131" i="7"/>
  <c r="L131" i="7" s="1"/>
  <c r="M130" i="7"/>
  <c r="K130" i="7"/>
  <c r="J130" i="7"/>
  <c r="L130" i="7" s="1"/>
  <c r="N130" i="7" s="1"/>
  <c r="M129" i="7"/>
  <c r="N129" i="7" s="1"/>
  <c r="K129" i="7"/>
  <c r="L129" i="7" s="1"/>
  <c r="J129" i="7"/>
  <c r="M128" i="7"/>
  <c r="N128" i="7" s="1"/>
  <c r="L128" i="7"/>
  <c r="K128" i="7"/>
  <c r="J128" i="7"/>
  <c r="M127" i="7"/>
  <c r="N127" i="7" s="1"/>
  <c r="K127" i="7"/>
  <c r="J127" i="7"/>
  <c r="L127" i="7" s="1"/>
  <c r="M126" i="7"/>
  <c r="K126" i="7"/>
  <c r="J126" i="7"/>
  <c r="L126" i="7" s="1"/>
  <c r="N126" i="7" s="1"/>
  <c r="M125" i="7"/>
  <c r="K125" i="7"/>
  <c r="J125" i="7"/>
  <c r="L125" i="7" s="1"/>
  <c r="N125" i="7" s="1"/>
  <c r="M124" i="7"/>
  <c r="N124" i="7" s="1"/>
  <c r="L124" i="7"/>
  <c r="K124" i="7"/>
  <c r="J124" i="7"/>
  <c r="M123" i="7"/>
  <c r="K123" i="7"/>
  <c r="J123" i="7"/>
  <c r="L123" i="7" s="1"/>
  <c r="M122" i="7"/>
  <c r="K122" i="7"/>
  <c r="J122" i="7"/>
  <c r="L122" i="7" s="1"/>
  <c r="N122" i="7" s="1"/>
  <c r="M121" i="7"/>
  <c r="N121" i="7" s="1"/>
  <c r="K121" i="7"/>
  <c r="L121" i="7" s="1"/>
  <c r="J121" i="7"/>
  <c r="M120" i="7"/>
  <c r="N120" i="7" s="1"/>
  <c r="L120" i="7"/>
  <c r="K120" i="7"/>
  <c r="J120" i="7"/>
  <c r="M119" i="7"/>
  <c r="N119" i="7" s="1"/>
  <c r="K119" i="7"/>
  <c r="J119" i="7"/>
  <c r="L119" i="7" s="1"/>
  <c r="M118" i="7"/>
  <c r="K118" i="7"/>
  <c r="J118" i="7"/>
  <c r="L118" i="7" s="1"/>
  <c r="N118" i="7" s="1"/>
  <c r="M117" i="7"/>
  <c r="K117" i="7"/>
  <c r="J117" i="7"/>
  <c r="L117" i="7" s="1"/>
  <c r="N117" i="7" s="1"/>
  <c r="M116" i="7"/>
  <c r="N116" i="7" s="1"/>
  <c r="L116" i="7"/>
  <c r="K116" i="7"/>
  <c r="J116" i="7"/>
  <c r="M115" i="7"/>
  <c r="K115" i="7"/>
  <c r="J115" i="7"/>
  <c r="L115" i="7" s="1"/>
  <c r="M114" i="7"/>
  <c r="K114" i="7"/>
  <c r="J114" i="7"/>
  <c r="L114" i="7" s="1"/>
  <c r="N114" i="7" s="1"/>
  <c r="M113" i="7"/>
  <c r="K113" i="7"/>
  <c r="L113" i="7" s="1"/>
  <c r="J113" i="7"/>
  <c r="M112" i="7"/>
  <c r="N112" i="7" s="1"/>
  <c r="L112" i="7"/>
  <c r="K112" i="7"/>
  <c r="J112" i="7"/>
  <c r="M111" i="7"/>
  <c r="N111" i="7" s="1"/>
  <c r="K111" i="7"/>
  <c r="J111" i="7"/>
  <c r="L111" i="7" s="1"/>
  <c r="M110" i="7"/>
  <c r="K110" i="7"/>
  <c r="J110" i="7"/>
  <c r="L110" i="7" s="1"/>
  <c r="N110" i="7" s="1"/>
  <c r="M109" i="7"/>
  <c r="K109" i="7"/>
  <c r="J109" i="7"/>
  <c r="L109" i="7" s="1"/>
  <c r="N109" i="7" s="1"/>
  <c r="M108" i="7"/>
  <c r="N108" i="7" s="1"/>
  <c r="L108" i="7"/>
  <c r="K108" i="7"/>
  <c r="J108" i="7"/>
  <c r="M107" i="7"/>
  <c r="N107" i="7" s="1"/>
  <c r="K107" i="7"/>
  <c r="J107" i="7"/>
  <c r="L107" i="7" s="1"/>
  <c r="M106" i="7"/>
  <c r="K106" i="7"/>
  <c r="J106" i="7"/>
  <c r="L106" i="7" s="1"/>
  <c r="N106" i="7" s="1"/>
  <c r="M105" i="7"/>
  <c r="K105" i="7"/>
  <c r="L105" i="7" s="1"/>
  <c r="J105" i="7"/>
  <c r="M104" i="7"/>
  <c r="N104" i="7" s="1"/>
  <c r="L104" i="7"/>
  <c r="K104" i="7"/>
  <c r="J104" i="7"/>
  <c r="M103" i="7"/>
  <c r="K103" i="7"/>
  <c r="J103" i="7"/>
  <c r="L103" i="7" s="1"/>
  <c r="M102" i="7"/>
  <c r="K102" i="7"/>
  <c r="J102" i="7"/>
  <c r="L102" i="7" s="1"/>
  <c r="N102" i="7" s="1"/>
  <c r="M101" i="7"/>
  <c r="K101" i="7"/>
  <c r="J101" i="7"/>
  <c r="L101" i="7" s="1"/>
  <c r="N101" i="7" s="1"/>
  <c r="M100" i="7"/>
  <c r="N100" i="7" s="1"/>
  <c r="L100" i="7"/>
  <c r="K100" i="7"/>
  <c r="J100" i="7"/>
  <c r="M99" i="7"/>
  <c r="N99" i="7" s="1"/>
  <c r="K99" i="7"/>
  <c r="J99" i="7"/>
  <c r="L99" i="7" s="1"/>
  <c r="M98" i="7"/>
  <c r="K98" i="7"/>
  <c r="J98" i="7"/>
  <c r="L98" i="7" s="1"/>
  <c r="N98" i="7" s="1"/>
  <c r="M97" i="7"/>
  <c r="N97" i="7" s="1"/>
  <c r="K97" i="7"/>
  <c r="L97" i="7" s="1"/>
  <c r="J97" i="7"/>
  <c r="M96" i="7"/>
  <c r="N96" i="7" s="1"/>
  <c r="L96" i="7"/>
  <c r="K96" i="7"/>
  <c r="J96" i="7"/>
  <c r="M95" i="7"/>
  <c r="N95" i="7" s="1"/>
  <c r="K95" i="7"/>
  <c r="J95" i="7"/>
  <c r="L95" i="7" s="1"/>
  <c r="M94" i="7"/>
  <c r="K94" i="7"/>
  <c r="J94" i="7"/>
  <c r="L94" i="7" s="1"/>
  <c r="N94" i="7" s="1"/>
  <c r="M93" i="7"/>
  <c r="K93" i="7"/>
  <c r="J93" i="7"/>
  <c r="L93" i="7" s="1"/>
  <c r="N93" i="7" s="1"/>
  <c r="M92" i="7"/>
  <c r="N92" i="7" s="1"/>
  <c r="L92" i="7"/>
  <c r="K92" i="7"/>
  <c r="J92" i="7"/>
  <c r="M91" i="7"/>
  <c r="K91" i="7"/>
  <c r="J91" i="7"/>
  <c r="L91" i="7" s="1"/>
  <c r="M90" i="7"/>
  <c r="K90" i="7"/>
  <c r="J90" i="7"/>
  <c r="L90" i="7" s="1"/>
  <c r="N90" i="7" s="1"/>
  <c r="M89" i="7"/>
  <c r="K89" i="7"/>
  <c r="L89" i="7" s="1"/>
  <c r="J89" i="7"/>
  <c r="M88" i="7"/>
  <c r="N88" i="7" s="1"/>
  <c r="L88" i="7"/>
  <c r="K88" i="7"/>
  <c r="J88" i="7"/>
  <c r="M87" i="7"/>
  <c r="N87" i="7" s="1"/>
  <c r="K87" i="7"/>
  <c r="J87" i="7"/>
  <c r="L87" i="7" s="1"/>
  <c r="M86" i="7"/>
  <c r="K86" i="7"/>
  <c r="J86" i="7"/>
  <c r="L86" i="7" s="1"/>
  <c r="N86" i="7" s="1"/>
  <c r="M85" i="7"/>
  <c r="K85" i="7"/>
  <c r="J85" i="7"/>
  <c r="L85" i="7" s="1"/>
  <c r="N85" i="7" s="1"/>
  <c r="M84" i="7"/>
  <c r="N84" i="7" s="1"/>
  <c r="L84" i="7"/>
  <c r="K84" i="7"/>
  <c r="J84" i="7"/>
  <c r="M83" i="7"/>
  <c r="K83" i="7"/>
  <c r="J83" i="7"/>
  <c r="L83" i="7" s="1"/>
  <c r="M82" i="7"/>
  <c r="K82" i="7"/>
  <c r="J82" i="7"/>
  <c r="L82" i="7" s="1"/>
  <c r="N82" i="7" s="1"/>
  <c r="M81" i="7"/>
  <c r="N81" i="7" s="1"/>
  <c r="K81" i="7"/>
  <c r="L81" i="7" s="1"/>
  <c r="J81" i="7"/>
  <c r="M80" i="7"/>
  <c r="N80" i="7" s="1"/>
  <c r="L80" i="7"/>
  <c r="K80" i="7"/>
  <c r="J80" i="7"/>
  <c r="M79" i="7"/>
  <c r="N79" i="7" s="1"/>
  <c r="K79" i="7"/>
  <c r="J79" i="7"/>
  <c r="L79" i="7" s="1"/>
  <c r="M78" i="7"/>
  <c r="K78" i="7"/>
  <c r="J78" i="7"/>
  <c r="L78" i="7" s="1"/>
  <c r="N78" i="7" s="1"/>
  <c r="M77" i="7"/>
  <c r="K77" i="7"/>
  <c r="J77" i="7"/>
  <c r="L77" i="7" s="1"/>
  <c r="N77" i="7" s="1"/>
  <c r="M76" i="7"/>
  <c r="N76" i="7" s="1"/>
  <c r="L76" i="7"/>
  <c r="K76" i="7"/>
  <c r="J76" i="7"/>
  <c r="M75" i="7"/>
  <c r="N75" i="7" s="1"/>
  <c r="K75" i="7"/>
  <c r="J75" i="7"/>
  <c r="L75" i="7" s="1"/>
  <c r="M74" i="7"/>
  <c r="K74" i="7"/>
  <c r="J74" i="7"/>
  <c r="L74" i="7" s="1"/>
  <c r="N74" i="7" s="1"/>
  <c r="M73" i="7"/>
  <c r="K73" i="7"/>
  <c r="L73" i="7" s="1"/>
  <c r="J73" i="7"/>
  <c r="M72" i="7"/>
  <c r="N72" i="7" s="1"/>
  <c r="L72" i="7"/>
  <c r="K72" i="7"/>
  <c r="J72" i="7"/>
  <c r="M71" i="7"/>
  <c r="K71" i="7"/>
  <c r="J71" i="7"/>
  <c r="L71" i="7" s="1"/>
  <c r="M70" i="7"/>
  <c r="K70" i="7"/>
  <c r="J70" i="7"/>
  <c r="L70" i="7" s="1"/>
  <c r="N70" i="7" s="1"/>
  <c r="M69" i="7"/>
  <c r="K69" i="7"/>
  <c r="J69" i="7"/>
  <c r="L69" i="7" s="1"/>
  <c r="N69" i="7" s="1"/>
  <c r="M68" i="7"/>
  <c r="N68" i="7" s="1"/>
  <c r="L68" i="7"/>
  <c r="K68" i="7"/>
  <c r="J68" i="7"/>
  <c r="M67" i="7"/>
  <c r="N67" i="7" s="1"/>
  <c r="K67" i="7"/>
  <c r="J67" i="7"/>
  <c r="L67" i="7" s="1"/>
  <c r="M66" i="7"/>
  <c r="K66" i="7"/>
  <c r="J66" i="7"/>
  <c r="L66" i="7" s="1"/>
  <c r="N66" i="7" s="1"/>
  <c r="M65" i="7"/>
  <c r="N65" i="7" s="1"/>
  <c r="K65" i="7"/>
  <c r="L65" i="7" s="1"/>
  <c r="J65" i="7"/>
  <c r="M64" i="7"/>
  <c r="N64" i="7" s="1"/>
  <c r="L64" i="7"/>
  <c r="K64" i="7"/>
  <c r="J64" i="7"/>
  <c r="M63" i="7"/>
  <c r="N63" i="7" s="1"/>
  <c r="K63" i="7"/>
  <c r="J63" i="7"/>
  <c r="L63" i="7" s="1"/>
  <c r="M62" i="7"/>
  <c r="K62" i="7"/>
  <c r="J62" i="7"/>
  <c r="L62" i="7" s="1"/>
  <c r="N62" i="7" s="1"/>
  <c r="M61" i="7"/>
  <c r="K61" i="7"/>
  <c r="J61" i="7"/>
  <c r="L61" i="7" s="1"/>
  <c r="N61" i="7" s="1"/>
  <c r="M60" i="7"/>
  <c r="N60" i="7" s="1"/>
  <c r="L60" i="7"/>
  <c r="K60" i="7"/>
  <c r="J60" i="7"/>
  <c r="M59" i="7"/>
  <c r="K59" i="7"/>
  <c r="J59" i="7"/>
  <c r="L59" i="7" s="1"/>
  <c r="M58" i="7"/>
  <c r="K58" i="7"/>
  <c r="J58" i="7"/>
  <c r="L58" i="7" s="1"/>
  <c r="N58" i="7" s="1"/>
  <c r="M57" i="7"/>
  <c r="K57" i="7"/>
  <c r="L57" i="7" s="1"/>
  <c r="J57" i="7"/>
  <c r="M56" i="7"/>
  <c r="N56" i="7" s="1"/>
  <c r="L56" i="7"/>
  <c r="K56" i="7"/>
  <c r="J56" i="7"/>
  <c r="M55" i="7"/>
  <c r="N55" i="7" s="1"/>
  <c r="K55" i="7"/>
  <c r="J55" i="7"/>
  <c r="L55" i="7" s="1"/>
  <c r="M54" i="7"/>
  <c r="K54" i="7"/>
  <c r="J54" i="7"/>
  <c r="L54" i="7" s="1"/>
  <c r="N54" i="7" s="1"/>
  <c r="M53" i="7"/>
  <c r="K53" i="7"/>
  <c r="J53" i="7"/>
  <c r="L53" i="7" s="1"/>
  <c r="N53" i="7" s="1"/>
  <c r="M52" i="7"/>
  <c r="N52" i="7" s="1"/>
  <c r="L52" i="7"/>
  <c r="K52" i="7"/>
  <c r="J52" i="7"/>
  <c r="M51" i="7"/>
  <c r="K51" i="7"/>
  <c r="J51" i="7"/>
  <c r="L51" i="7" s="1"/>
  <c r="M50" i="7"/>
  <c r="K50" i="7"/>
  <c r="J50" i="7"/>
  <c r="L50" i="7" s="1"/>
  <c r="N50" i="7" s="1"/>
  <c r="M49" i="7"/>
  <c r="K49" i="7"/>
  <c r="L49" i="7" s="1"/>
  <c r="J49" i="7"/>
  <c r="M48" i="7"/>
  <c r="N48" i="7" s="1"/>
  <c r="L48" i="7"/>
  <c r="K48" i="7"/>
  <c r="J48" i="7"/>
  <c r="M47" i="7"/>
  <c r="K47" i="7"/>
  <c r="J47" i="7"/>
  <c r="L47" i="7" s="1"/>
  <c r="M46" i="7"/>
  <c r="K46" i="7"/>
  <c r="J46" i="7"/>
  <c r="L46" i="7" s="1"/>
  <c r="N46" i="7" s="1"/>
  <c r="M45" i="7"/>
  <c r="K45" i="7"/>
  <c r="J45" i="7"/>
  <c r="L45" i="7" s="1"/>
  <c r="N45" i="7" s="1"/>
  <c r="M44" i="7"/>
  <c r="N44" i="7" s="1"/>
  <c r="L44" i="7"/>
  <c r="K44" i="7"/>
  <c r="J44" i="7"/>
  <c r="M43" i="7"/>
  <c r="N43" i="7" s="1"/>
  <c r="K43" i="7"/>
  <c r="J43" i="7"/>
  <c r="L43" i="7" s="1"/>
  <c r="M42" i="7"/>
  <c r="K42" i="7"/>
  <c r="J42" i="7"/>
  <c r="L42" i="7" s="1"/>
  <c r="N42" i="7" s="1"/>
  <c r="M41" i="7"/>
  <c r="K41" i="7"/>
  <c r="L41" i="7" s="1"/>
  <c r="J41" i="7"/>
  <c r="M40" i="7"/>
  <c r="N40" i="7" s="1"/>
  <c r="L40" i="7"/>
  <c r="K40" i="7"/>
  <c r="J40" i="7"/>
  <c r="M39" i="7"/>
  <c r="K39" i="7"/>
  <c r="J39" i="7"/>
  <c r="L39" i="7" s="1"/>
  <c r="M38" i="7"/>
  <c r="K38" i="7"/>
  <c r="J38" i="7"/>
  <c r="L38" i="7" s="1"/>
  <c r="N38" i="7" s="1"/>
  <c r="M37" i="7"/>
  <c r="K37" i="7"/>
  <c r="J37" i="7"/>
  <c r="L37" i="7" s="1"/>
  <c r="N37" i="7" s="1"/>
  <c r="M36" i="7"/>
  <c r="N36" i="7" s="1"/>
  <c r="L36" i="7"/>
  <c r="K36" i="7"/>
  <c r="J36" i="7"/>
  <c r="M35" i="7"/>
  <c r="N35" i="7" s="1"/>
  <c r="K35" i="7"/>
  <c r="J35" i="7"/>
  <c r="L35" i="7" s="1"/>
  <c r="M34" i="7"/>
  <c r="K34" i="7"/>
  <c r="J34" i="7"/>
  <c r="L34" i="7" s="1"/>
  <c r="N34" i="7" s="1"/>
  <c r="M33" i="7"/>
  <c r="N33" i="7" s="1"/>
  <c r="K33" i="7"/>
  <c r="L33" i="7" s="1"/>
  <c r="J33" i="7"/>
  <c r="M32" i="7"/>
  <c r="N32" i="7" s="1"/>
  <c r="L32" i="7"/>
  <c r="K32" i="7"/>
  <c r="J32" i="7"/>
  <c r="M31" i="7"/>
  <c r="N31" i="7" s="1"/>
  <c r="K31" i="7"/>
  <c r="J31" i="7"/>
  <c r="L31" i="7" s="1"/>
  <c r="M30" i="7"/>
  <c r="K30" i="7"/>
  <c r="J30" i="7"/>
  <c r="L30" i="7" s="1"/>
  <c r="N30" i="7" s="1"/>
  <c r="M29" i="7"/>
  <c r="K29" i="7"/>
  <c r="J29" i="7"/>
  <c r="L29" i="7" s="1"/>
  <c r="N29" i="7" s="1"/>
  <c r="M28" i="7"/>
  <c r="N28" i="7" s="1"/>
  <c r="L28" i="7"/>
  <c r="K28" i="7"/>
  <c r="J28" i="7"/>
  <c r="M27" i="7"/>
  <c r="K27" i="7"/>
  <c r="J27" i="7"/>
  <c r="L27" i="7" s="1"/>
  <c r="M26" i="7"/>
  <c r="K26" i="7"/>
  <c r="J26" i="7"/>
  <c r="L26" i="7" s="1"/>
  <c r="N26" i="7" s="1"/>
  <c r="M25" i="7"/>
  <c r="K25" i="7"/>
  <c r="L25" i="7" s="1"/>
  <c r="J25" i="7"/>
  <c r="M24" i="7"/>
  <c r="N24" i="7" s="1"/>
  <c r="L24" i="7"/>
  <c r="K24" i="7"/>
  <c r="J24" i="7"/>
  <c r="M23" i="7"/>
  <c r="N23" i="7" s="1"/>
  <c r="K23" i="7"/>
  <c r="J23" i="7"/>
  <c r="L23" i="7" s="1"/>
  <c r="M22" i="7"/>
  <c r="K22" i="7"/>
  <c r="J22" i="7"/>
  <c r="L22" i="7" s="1"/>
  <c r="N22" i="7" s="1"/>
  <c r="M21" i="7"/>
  <c r="K21" i="7"/>
  <c r="J21" i="7"/>
  <c r="L21" i="7" s="1"/>
  <c r="N21" i="7" s="1"/>
  <c r="M20" i="7"/>
  <c r="N20" i="7" s="1"/>
  <c r="L20" i="7"/>
  <c r="K20" i="7"/>
  <c r="J20" i="7"/>
  <c r="M19" i="7"/>
  <c r="K19" i="7"/>
  <c r="J19" i="7"/>
  <c r="L19" i="7" s="1"/>
  <c r="M18" i="7"/>
  <c r="K18" i="7"/>
  <c r="J18" i="7"/>
  <c r="L18" i="7" s="1"/>
  <c r="N18" i="7" s="1"/>
  <c r="M17" i="7"/>
  <c r="K17" i="7"/>
  <c r="L17" i="7" s="1"/>
  <c r="J17" i="7"/>
  <c r="M16" i="7"/>
  <c r="N16" i="7" s="1"/>
  <c r="L16" i="7"/>
  <c r="K16" i="7"/>
  <c r="J16" i="7"/>
  <c r="M15" i="7"/>
  <c r="K15" i="7"/>
  <c r="J15" i="7"/>
  <c r="L15" i="7" s="1"/>
  <c r="M14" i="7"/>
  <c r="K14" i="7"/>
  <c r="J14" i="7"/>
  <c r="L14" i="7" s="1"/>
  <c r="M13" i="7"/>
  <c r="K13" i="7"/>
  <c r="J13" i="7"/>
  <c r="L13" i="7" s="1"/>
  <c r="N13" i="7" s="1"/>
  <c r="M12" i="7"/>
  <c r="N12" i="7" s="1"/>
  <c r="L12" i="7"/>
  <c r="K12" i="7"/>
  <c r="J12" i="7"/>
  <c r="M11" i="7"/>
  <c r="N11" i="7" s="1"/>
  <c r="K11" i="7"/>
  <c r="J11" i="7"/>
  <c r="L11" i="7" s="1"/>
  <c r="M10" i="7"/>
  <c r="K10" i="7"/>
  <c r="J10" i="7"/>
  <c r="L10" i="7" s="1"/>
  <c r="N10" i="7" s="1"/>
  <c r="M9" i="7"/>
  <c r="K9" i="7"/>
  <c r="L9" i="7" s="1"/>
  <c r="N9" i="7" s="1"/>
  <c r="J9" i="7"/>
  <c r="M8" i="7"/>
  <c r="N8" i="7" s="1"/>
  <c r="K8" i="7"/>
  <c r="L8" i="7" s="1"/>
  <c r="J8" i="7"/>
  <c r="M7" i="7"/>
  <c r="K7" i="7"/>
  <c r="J7" i="7"/>
  <c r="L7" i="7" s="1"/>
  <c r="M6" i="7"/>
  <c r="N6" i="7" s="1"/>
  <c r="K6" i="7"/>
  <c r="J6" i="7"/>
  <c r="L6" i="7" s="1"/>
  <c r="M5" i="7"/>
  <c r="K5" i="7"/>
  <c r="J5" i="7"/>
  <c r="L5" i="7" s="1"/>
  <c r="N5" i="7" s="1"/>
  <c r="M4" i="7"/>
  <c r="N4" i="7" s="1"/>
  <c r="L4" i="7"/>
  <c r="K4" i="7"/>
  <c r="J4" i="7"/>
  <c r="M3" i="7"/>
  <c r="N3" i="7" s="1"/>
  <c r="K3" i="7"/>
  <c r="J3" i="7"/>
  <c r="L3" i="7" s="1"/>
  <c r="M2" i="7"/>
  <c r="K2" i="7"/>
  <c r="J2" i="7"/>
  <c r="L2" i="7" s="1"/>
  <c r="N2" i="7" s="1"/>
  <c r="AU26" i="6"/>
  <c r="AT26" i="6"/>
  <c r="AS26" i="6"/>
  <c r="AR26" i="6"/>
  <c r="AQ26" i="6"/>
  <c r="AN26" i="6"/>
  <c r="AM26" i="6"/>
  <c r="AL26" i="6"/>
  <c r="AK26"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AU25" i="6"/>
  <c r="AT25" i="6"/>
  <c r="AS25" i="6"/>
  <c r="AR25" i="6"/>
  <c r="AQ25" i="6"/>
  <c r="AN25" i="6"/>
  <c r="AM25" i="6"/>
  <c r="AL25" i="6"/>
  <c r="AK25" i="6"/>
  <c r="AJ25" i="6"/>
  <c r="AI25" i="6"/>
  <c r="AH25" i="6"/>
  <c r="AG25" i="6"/>
  <c r="AF25" i="6"/>
  <c r="AE25" i="6"/>
  <c r="AD25" i="6"/>
  <c r="AC25" i="6"/>
  <c r="AB25" i="6"/>
  <c r="AA25" i="6"/>
  <c r="Z25" i="6"/>
  <c r="Y25" i="6"/>
  <c r="X25" i="6"/>
  <c r="W25" i="6"/>
  <c r="V25" i="6"/>
  <c r="U25" i="6"/>
  <c r="T25" i="6"/>
  <c r="S25" i="6"/>
  <c r="R25" i="6"/>
  <c r="O25" i="6"/>
  <c r="N25" i="6"/>
  <c r="K25" i="6"/>
  <c r="J25" i="6"/>
  <c r="I25" i="6"/>
  <c r="H25" i="6"/>
  <c r="G25" i="6"/>
  <c r="F25" i="6"/>
  <c r="E25" i="6"/>
  <c r="D25" i="6"/>
  <c r="AU24" i="6"/>
  <c r="AT24" i="6"/>
  <c r="AS24" i="6"/>
  <c r="AR24" i="6"/>
  <c r="AQ24" i="6"/>
  <c r="AN24" i="6"/>
  <c r="AM24" i="6"/>
  <c r="AL24" i="6"/>
  <c r="AK24" i="6"/>
  <c r="AJ24" i="6"/>
  <c r="AI24" i="6"/>
  <c r="AH24" i="6"/>
  <c r="AG24" i="6"/>
  <c r="AF24" i="6"/>
  <c r="AE24" i="6"/>
  <c r="AD24" i="6"/>
  <c r="AC24" i="6"/>
  <c r="AB24" i="6"/>
  <c r="AA24" i="6"/>
  <c r="Z24" i="6"/>
  <c r="Y24" i="6"/>
  <c r="X24" i="6"/>
  <c r="W24" i="6"/>
  <c r="V24" i="6"/>
  <c r="U24" i="6"/>
  <c r="T24" i="6"/>
  <c r="S24" i="6"/>
  <c r="R24" i="6"/>
  <c r="O24" i="6"/>
  <c r="N24" i="6"/>
  <c r="K24" i="6"/>
  <c r="J24" i="6"/>
  <c r="I24" i="6"/>
  <c r="H24" i="6"/>
  <c r="G24" i="6"/>
  <c r="F24" i="6"/>
  <c r="E24" i="6"/>
  <c r="D24" i="6"/>
  <c r="AU23" i="6"/>
  <c r="AT23" i="6"/>
  <c r="AS23" i="6"/>
  <c r="AR23" i="6"/>
  <c r="AQ23" i="6"/>
  <c r="AH23" i="6"/>
  <c r="AG23" i="6"/>
  <c r="AF23" i="6"/>
  <c r="AE23" i="6"/>
  <c r="AD23" i="6"/>
  <c r="AC23" i="6"/>
  <c r="AB23" i="6"/>
  <c r="AA23" i="6"/>
  <c r="Z23" i="6"/>
  <c r="Y23" i="6"/>
  <c r="X23" i="6"/>
  <c r="W23" i="6"/>
  <c r="V23" i="6"/>
  <c r="T23" i="6"/>
  <c r="S23" i="6"/>
  <c r="O23" i="6"/>
  <c r="N23" i="6"/>
  <c r="K23" i="6"/>
  <c r="J23" i="6"/>
  <c r="I23" i="6"/>
  <c r="H23" i="6"/>
  <c r="G23" i="6"/>
  <c r="F23" i="6"/>
  <c r="AE22" i="6"/>
  <c r="AD22" i="6"/>
  <c r="AC22" i="6"/>
  <c r="V22" i="6"/>
  <c r="AD21" i="6"/>
  <c r="AC21" i="6"/>
  <c r="AN10" i="6"/>
  <c r="AM10" i="6"/>
  <c r="AL10" i="6"/>
  <c r="AK10" i="6"/>
  <c r="AJ10" i="6"/>
  <c r="AI10" i="6"/>
  <c r="X10" i="6"/>
  <c r="W10" i="6"/>
  <c r="V10" i="6"/>
  <c r="U10" i="6"/>
  <c r="AN9" i="6"/>
  <c r="AM9" i="6"/>
  <c r="AL9" i="6"/>
  <c r="AK9" i="6"/>
  <c r="AJ9" i="6"/>
  <c r="AI9" i="6"/>
  <c r="X9" i="6"/>
  <c r="W9" i="6"/>
  <c r="V9" i="6"/>
  <c r="U9" i="6"/>
  <c r="AN8" i="6"/>
  <c r="AM8" i="6"/>
  <c r="AL8" i="6"/>
  <c r="AK8" i="6"/>
  <c r="AJ8" i="6"/>
  <c r="AI8" i="6"/>
  <c r="X8" i="6"/>
  <c r="W8" i="6"/>
  <c r="V8" i="6"/>
  <c r="U8" i="6"/>
  <c r="AN7" i="6"/>
  <c r="AM7" i="6"/>
  <c r="AL7" i="6"/>
  <c r="AK7" i="6"/>
  <c r="AJ7" i="6"/>
  <c r="AI7" i="6"/>
  <c r="X7" i="6"/>
  <c r="W7" i="6"/>
  <c r="V7" i="6"/>
  <c r="U7" i="6"/>
  <c r="M7" i="6"/>
  <c r="L7" i="6"/>
  <c r="AT6" i="6"/>
  <c r="AR6" i="6"/>
  <c r="AQ6" i="6"/>
  <c r="AP6" i="6"/>
  <c r="AO6" i="6"/>
  <c r="AN6" i="6"/>
  <c r="AM6" i="6"/>
  <c r="AL6" i="6"/>
  <c r="AK6" i="6"/>
  <c r="AJ6" i="6"/>
  <c r="AI6" i="6"/>
  <c r="AH6" i="6"/>
  <c r="AG6" i="6"/>
  <c r="AD6" i="6"/>
  <c r="AB6" i="6"/>
  <c r="Z6" i="6"/>
  <c r="X6" i="6"/>
  <c r="W6" i="6"/>
  <c r="V6" i="6"/>
  <c r="U6" i="6"/>
  <c r="Q6" i="6"/>
  <c r="O6" i="6"/>
  <c r="N6" i="6"/>
  <c r="M6" i="6"/>
  <c r="L6" i="6"/>
  <c r="K6" i="6"/>
  <c r="J6" i="6"/>
  <c r="I6" i="6"/>
  <c r="G6" i="6"/>
  <c r="F6" i="6"/>
  <c r="E6" i="6"/>
  <c r="D6" i="6"/>
  <c r="AT5" i="6"/>
  <c r="AS5" i="6"/>
  <c r="AR5" i="6"/>
  <c r="AQ5" i="6"/>
  <c r="AP5" i="6"/>
  <c r="AO5" i="6"/>
  <c r="AN5" i="6"/>
  <c r="AM5" i="6"/>
  <c r="AL5" i="6"/>
  <c r="AK5" i="6"/>
  <c r="AJ5" i="6"/>
  <c r="AI5" i="6"/>
  <c r="AH5" i="6"/>
  <c r="AG5" i="6"/>
  <c r="AF5" i="6"/>
  <c r="AE5" i="6"/>
  <c r="AD5" i="6"/>
  <c r="AC5" i="6"/>
  <c r="AB5" i="6"/>
  <c r="AA5" i="6"/>
  <c r="Z5" i="6"/>
  <c r="Y5" i="6"/>
  <c r="X5" i="6"/>
  <c r="W5" i="6"/>
  <c r="V5" i="6"/>
  <c r="U5" i="6"/>
  <c r="Q5" i="6"/>
  <c r="P5" i="6"/>
  <c r="O5" i="6"/>
  <c r="N5" i="6"/>
  <c r="M5" i="6"/>
  <c r="L5" i="6"/>
  <c r="K5" i="6"/>
  <c r="J5" i="6"/>
  <c r="I5" i="6"/>
  <c r="G5" i="6"/>
  <c r="F5" i="6"/>
  <c r="E5" i="6"/>
  <c r="D5" i="6"/>
  <c r="AF4" i="6"/>
  <c r="AE4" i="6"/>
  <c r="AC4" i="6"/>
  <c r="AA4" i="6"/>
  <c r="Y4" i="6"/>
  <c r="M743" i="5"/>
  <c r="N743" i="5" s="1"/>
  <c r="K743" i="5"/>
  <c r="J743" i="5"/>
  <c r="L743" i="5" s="1"/>
  <c r="M742" i="5"/>
  <c r="N742" i="5" s="1"/>
  <c r="K742" i="5"/>
  <c r="J742" i="5"/>
  <c r="L742" i="5" s="1"/>
  <c r="M741" i="5"/>
  <c r="K741" i="5"/>
  <c r="J741" i="5"/>
  <c r="M740" i="5"/>
  <c r="N740" i="5" s="1"/>
  <c r="L740" i="5"/>
  <c r="K740" i="5"/>
  <c r="J740" i="5"/>
  <c r="M739" i="5"/>
  <c r="L739" i="5"/>
  <c r="K739" i="5"/>
  <c r="J739" i="5"/>
  <c r="M738" i="5"/>
  <c r="K738" i="5"/>
  <c r="J738" i="5"/>
  <c r="M737" i="5"/>
  <c r="K737" i="5"/>
  <c r="L737" i="5" s="1"/>
  <c r="N737" i="5" s="1"/>
  <c r="J737" i="5"/>
  <c r="P736" i="5"/>
  <c r="N736" i="5"/>
  <c r="AU15" i="6" s="1"/>
  <c r="M736" i="5"/>
  <c r="L736" i="5"/>
  <c r="K736" i="5"/>
  <c r="J736" i="5"/>
  <c r="M735" i="5"/>
  <c r="L735" i="5"/>
  <c r="K735" i="5"/>
  <c r="J735" i="5"/>
  <c r="M734" i="5"/>
  <c r="K734" i="5"/>
  <c r="J734" i="5"/>
  <c r="L734" i="5" s="1"/>
  <c r="N733" i="5"/>
  <c r="AU12" i="6" s="1"/>
  <c r="M733" i="5"/>
  <c r="K733" i="5"/>
  <c r="L733" i="5" s="1"/>
  <c r="J733" i="5"/>
  <c r="M732" i="5"/>
  <c r="N732" i="5" s="1"/>
  <c r="L732" i="5"/>
  <c r="K732" i="5"/>
  <c r="J732" i="5"/>
  <c r="M731" i="5"/>
  <c r="K731" i="5"/>
  <c r="J731" i="5"/>
  <c r="L731" i="5" s="1"/>
  <c r="M730" i="5"/>
  <c r="K730" i="5"/>
  <c r="J730" i="5"/>
  <c r="L730" i="5" s="1"/>
  <c r="P729" i="5"/>
  <c r="N729" i="5"/>
  <c r="AU8" i="6" s="1"/>
  <c r="M729" i="5"/>
  <c r="K729" i="5"/>
  <c r="L729" i="5" s="1"/>
  <c r="J729" i="5"/>
  <c r="M728" i="5"/>
  <c r="N728" i="5" s="1"/>
  <c r="L728" i="5"/>
  <c r="K728" i="5"/>
  <c r="J728" i="5"/>
  <c r="M727" i="5"/>
  <c r="K727" i="5"/>
  <c r="J727" i="5"/>
  <c r="L727" i="5" s="1"/>
  <c r="M726" i="5"/>
  <c r="K726" i="5"/>
  <c r="J726" i="5"/>
  <c r="N725" i="5"/>
  <c r="M725" i="5"/>
  <c r="K725" i="5"/>
  <c r="L725" i="5" s="1"/>
  <c r="J725" i="5"/>
  <c r="P724" i="5"/>
  <c r="N724" i="5"/>
  <c r="AT22" i="6" s="1"/>
  <c r="M724" i="5"/>
  <c r="L724" i="5"/>
  <c r="K724" i="5"/>
  <c r="J724" i="5"/>
  <c r="M723" i="5"/>
  <c r="N723" i="5" s="1"/>
  <c r="K723" i="5"/>
  <c r="L723" i="5" s="1"/>
  <c r="J723" i="5"/>
  <c r="M722" i="5"/>
  <c r="K722" i="5"/>
  <c r="J722" i="5"/>
  <c r="N721" i="5"/>
  <c r="M721" i="5"/>
  <c r="K721" i="5"/>
  <c r="L721" i="5" s="1"/>
  <c r="J721" i="5"/>
  <c r="N720" i="5"/>
  <c r="M720" i="5"/>
  <c r="L720" i="5"/>
  <c r="K720" i="5"/>
  <c r="J720" i="5"/>
  <c r="M719" i="5"/>
  <c r="K719" i="5"/>
  <c r="J719" i="5"/>
  <c r="M718" i="5"/>
  <c r="K718" i="5"/>
  <c r="J718" i="5"/>
  <c r="M717" i="5"/>
  <c r="K717" i="5"/>
  <c r="L717" i="5" s="1"/>
  <c r="N717" i="5" s="1"/>
  <c r="J717" i="5"/>
  <c r="N716" i="5"/>
  <c r="M716" i="5"/>
  <c r="L716" i="5"/>
  <c r="K716" i="5"/>
  <c r="J716" i="5"/>
  <c r="M715" i="5"/>
  <c r="K715" i="5"/>
  <c r="L715" i="5" s="1"/>
  <c r="J715" i="5"/>
  <c r="M714" i="5"/>
  <c r="K714" i="5"/>
  <c r="J714" i="5"/>
  <c r="M713" i="5"/>
  <c r="K713" i="5"/>
  <c r="L713" i="5" s="1"/>
  <c r="N713" i="5" s="1"/>
  <c r="J713" i="5"/>
  <c r="M712" i="5"/>
  <c r="L712" i="5"/>
  <c r="N712" i="5" s="1"/>
  <c r="K712" i="5"/>
  <c r="J712" i="5"/>
  <c r="M711" i="5"/>
  <c r="L711" i="5"/>
  <c r="K711" i="5"/>
  <c r="J711" i="5"/>
  <c r="M710" i="5"/>
  <c r="N710" i="5" s="1"/>
  <c r="K710" i="5"/>
  <c r="J710" i="5"/>
  <c r="L710" i="5" s="1"/>
  <c r="P709" i="5"/>
  <c r="N709" i="5"/>
  <c r="AT7" i="6" s="1"/>
  <c r="M709" i="5"/>
  <c r="K709" i="5"/>
  <c r="L709" i="5" s="1"/>
  <c r="J709" i="5"/>
  <c r="M708" i="5"/>
  <c r="L708" i="5"/>
  <c r="K708" i="5"/>
  <c r="J708" i="5"/>
  <c r="M707" i="5"/>
  <c r="L707" i="5"/>
  <c r="K707" i="5"/>
  <c r="J707" i="5"/>
  <c r="M706" i="5"/>
  <c r="K706" i="5"/>
  <c r="J706" i="5"/>
  <c r="M705" i="5"/>
  <c r="K705" i="5"/>
  <c r="L705" i="5" s="1"/>
  <c r="N705" i="5" s="1"/>
  <c r="J705" i="5"/>
  <c r="P704" i="5"/>
  <c r="N704" i="5"/>
  <c r="AS19" i="6" s="1"/>
  <c r="M704" i="5"/>
  <c r="L704" i="5"/>
  <c r="K704" i="5"/>
  <c r="J704" i="5"/>
  <c r="M703" i="5"/>
  <c r="L703" i="5"/>
  <c r="K703" i="5"/>
  <c r="J703" i="5"/>
  <c r="M702" i="5"/>
  <c r="K702" i="5"/>
  <c r="J702" i="5"/>
  <c r="N701" i="5"/>
  <c r="M701" i="5"/>
  <c r="K701" i="5"/>
  <c r="L701" i="5" s="1"/>
  <c r="J701" i="5"/>
  <c r="M700" i="5"/>
  <c r="K700" i="5"/>
  <c r="L700" i="5" s="1"/>
  <c r="N700" i="5" s="1"/>
  <c r="J700" i="5"/>
  <c r="M699" i="5"/>
  <c r="K699" i="5"/>
  <c r="J699" i="5"/>
  <c r="M698" i="5"/>
  <c r="K698" i="5"/>
  <c r="J698" i="5"/>
  <c r="M697" i="5"/>
  <c r="N697" i="5" s="1"/>
  <c r="K697" i="5"/>
  <c r="L697" i="5" s="1"/>
  <c r="J697" i="5"/>
  <c r="P696" i="5"/>
  <c r="M696" i="5"/>
  <c r="K696" i="5"/>
  <c r="L696" i="5" s="1"/>
  <c r="N696" i="5" s="1"/>
  <c r="AS11" i="6" s="1"/>
  <c r="J696" i="5"/>
  <c r="M695" i="5"/>
  <c r="L695" i="5"/>
  <c r="K695" i="5"/>
  <c r="J695" i="5"/>
  <c r="M694" i="5"/>
  <c r="K694" i="5"/>
  <c r="J694" i="5"/>
  <c r="N693" i="5"/>
  <c r="M693" i="5"/>
  <c r="K693" i="5"/>
  <c r="L693" i="5" s="1"/>
  <c r="J693" i="5"/>
  <c r="M692" i="5"/>
  <c r="K692" i="5"/>
  <c r="L692" i="5" s="1"/>
  <c r="N692" i="5" s="1"/>
  <c r="J692" i="5"/>
  <c r="M691" i="5"/>
  <c r="K691" i="5"/>
  <c r="J691" i="5"/>
  <c r="L691" i="5" s="1"/>
  <c r="M690" i="5"/>
  <c r="K690" i="5"/>
  <c r="J690" i="5"/>
  <c r="M689" i="5"/>
  <c r="N689" i="5" s="1"/>
  <c r="K689" i="5"/>
  <c r="L689" i="5" s="1"/>
  <c r="J689" i="5"/>
  <c r="M688" i="5"/>
  <c r="K688" i="5"/>
  <c r="L688" i="5" s="1"/>
  <c r="N688" i="5" s="1"/>
  <c r="AR21" i="6" s="1"/>
  <c r="J688" i="5"/>
  <c r="M687" i="5"/>
  <c r="L687" i="5"/>
  <c r="K687" i="5"/>
  <c r="J687" i="5"/>
  <c r="M686" i="5"/>
  <c r="K686" i="5"/>
  <c r="J686" i="5"/>
  <c r="N685" i="5"/>
  <c r="M685" i="5"/>
  <c r="K685" i="5"/>
  <c r="L685" i="5" s="1"/>
  <c r="J685" i="5"/>
  <c r="M684" i="5"/>
  <c r="K684" i="5"/>
  <c r="L684" i="5" s="1"/>
  <c r="N684" i="5" s="1"/>
  <c r="J684" i="5"/>
  <c r="M683" i="5"/>
  <c r="K683" i="5"/>
  <c r="J683" i="5"/>
  <c r="M682" i="5"/>
  <c r="K682" i="5"/>
  <c r="J682" i="5"/>
  <c r="M681" i="5"/>
  <c r="N681" i="5" s="1"/>
  <c r="K681" i="5"/>
  <c r="L681" i="5" s="1"/>
  <c r="J681" i="5"/>
  <c r="P680" i="5"/>
  <c r="M680" i="5"/>
  <c r="K680" i="5"/>
  <c r="L680" i="5" s="1"/>
  <c r="N680" i="5" s="1"/>
  <c r="AR13" i="6" s="1"/>
  <c r="J680" i="5"/>
  <c r="M679" i="5"/>
  <c r="L679" i="5"/>
  <c r="K679" i="5"/>
  <c r="J679" i="5"/>
  <c r="M678" i="5"/>
  <c r="K678" i="5"/>
  <c r="J678" i="5"/>
  <c r="N677" i="5"/>
  <c r="M677" i="5"/>
  <c r="K677" i="5"/>
  <c r="L677" i="5" s="1"/>
  <c r="J677" i="5"/>
  <c r="M676" i="5"/>
  <c r="K676" i="5"/>
  <c r="L676" i="5" s="1"/>
  <c r="N676" i="5" s="1"/>
  <c r="J676" i="5"/>
  <c r="M675" i="5"/>
  <c r="K675" i="5"/>
  <c r="J675" i="5"/>
  <c r="L675" i="5" s="1"/>
  <c r="M674" i="5"/>
  <c r="K674" i="5"/>
  <c r="J674" i="5"/>
  <c r="M673" i="5"/>
  <c r="N673" i="5" s="1"/>
  <c r="K673" i="5"/>
  <c r="L673" i="5" s="1"/>
  <c r="J673" i="5"/>
  <c r="M672" i="5"/>
  <c r="K672" i="5"/>
  <c r="L672" i="5" s="1"/>
  <c r="N672" i="5" s="1"/>
  <c r="AQ22" i="6" s="1"/>
  <c r="J672" i="5"/>
  <c r="M671" i="5"/>
  <c r="L671" i="5"/>
  <c r="K671" i="5"/>
  <c r="J671" i="5"/>
  <c r="M670" i="5"/>
  <c r="K670" i="5"/>
  <c r="J670" i="5"/>
  <c r="N669" i="5"/>
  <c r="M669" i="5"/>
  <c r="K669" i="5"/>
  <c r="L669" i="5" s="1"/>
  <c r="J669" i="5"/>
  <c r="M668" i="5"/>
  <c r="K668" i="5"/>
  <c r="L668" i="5" s="1"/>
  <c r="N668" i="5" s="1"/>
  <c r="J668" i="5"/>
  <c r="M667" i="5"/>
  <c r="K667" i="5"/>
  <c r="J667" i="5"/>
  <c r="M666" i="5"/>
  <c r="K666" i="5"/>
  <c r="J666" i="5"/>
  <c r="M665" i="5"/>
  <c r="N665" i="5" s="1"/>
  <c r="K665" i="5"/>
  <c r="L665" i="5" s="1"/>
  <c r="J665" i="5"/>
  <c r="P664" i="5"/>
  <c r="M664" i="5"/>
  <c r="K664" i="5"/>
  <c r="L664" i="5" s="1"/>
  <c r="N664" i="5" s="1"/>
  <c r="AQ14" i="6" s="1"/>
  <c r="J664" i="5"/>
  <c r="M663" i="5"/>
  <c r="L663" i="5"/>
  <c r="K663" i="5"/>
  <c r="J663" i="5"/>
  <c r="M662" i="5"/>
  <c r="K662" i="5"/>
  <c r="J662" i="5"/>
  <c r="N661" i="5"/>
  <c r="M661" i="5"/>
  <c r="K661" i="5"/>
  <c r="L661" i="5" s="1"/>
  <c r="J661" i="5"/>
  <c r="M660" i="5"/>
  <c r="K660" i="5"/>
  <c r="L660" i="5" s="1"/>
  <c r="N660" i="5" s="1"/>
  <c r="J660" i="5"/>
  <c r="M659" i="5"/>
  <c r="K659" i="5"/>
  <c r="J659" i="5"/>
  <c r="L659" i="5" s="1"/>
  <c r="M658" i="5"/>
  <c r="K658" i="5"/>
  <c r="J658" i="5"/>
  <c r="M657" i="5"/>
  <c r="N657" i="5" s="1"/>
  <c r="K657" i="5"/>
  <c r="L657" i="5" s="1"/>
  <c r="J657" i="5"/>
  <c r="M656" i="5"/>
  <c r="K656" i="5"/>
  <c r="L656" i="5" s="1"/>
  <c r="N656" i="5" s="1"/>
  <c r="J656" i="5"/>
  <c r="M655" i="5"/>
  <c r="L655" i="5"/>
  <c r="K655" i="5"/>
  <c r="J655" i="5"/>
  <c r="M654" i="5"/>
  <c r="N654" i="5" s="1"/>
  <c r="K654" i="5"/>
  <c r="J654" i="5"/>
  <c r="L654" i="5" s="1"/>
  <c r="M653" i="5"/>
  <c r="K653" i="5"/>
  <c r="L653" i="5" s="1"/>
  <c r="N653" i="5" s="1"/>
  <c r="AP24" i="6" s="1"/>
  <c r="J653" i="5"/>
  <c r="M652" i="5"/>
  <c r="N652" i="5" s="1"/>
  <c r="L652" i="5"/>
  <c r="K652" i="5"/>
  <c r="J652" i="5"/>
  <c r="M651" i="5"/>
  <c r="K651" i="5"/>
  <c r="J651" i="5"/>
  <c r="L651" i="5" s="1"/>
  <c r="M650" i="5"/>
  <c r="K650" i="5"/>
  <c r="J650" i="5"/>
  <c r="L650" i="5" s="1"/>
  <c r="N650" i="5" s="1"/>
  <c r="M649" i="5"/>
  <c r="N649" i="5" s="1"/>
  <c r="L649" i="5"/>
  <c r="K649" i="5"/>
  <c r="J649" i="5"/>
  <c r="N648" i="5"/>
  <c r="M648" i="5"/>
  <c r="K648" i="5"/>
  <c r="J648" i="5"/>
  <c r="L648" i="5" s="1"/>
  <c r="M647" i="5"/>
  <c r="K647" i="5"/>
  <c r="J647" i="5"/>
  <c r="M646" i="5"/>
  <c r="K646" i="5"/>
  <c r="J646" i="5"/>
  <c r="M645" i="5"/>
  <c r="K645" i="5"/>
  <c r="L645" i="5" s="1"/>
  <c r="N645" i="5" s="1"/>
  <c r="J645" i="5"/>
  <c r="M644" i="5"/>
  <c r="L644" i="5"/>
  <c r="K644" i="5"/>
  <c r="J644" i="5"/>
  <c r="P643" i="5"/>
  <c r="M643" i="5"/>
  <c r="N643" i="5" s="1"/>
  <c r="AP14" i="6" s="1"/>
  <c r="L643" i="5"/>
  <c r="K643" i="5"/>
  <c r="J643" i="5"/>
  <c r="P642" i="5"/>
  <c r="M642" i="5"/>
  <c r="N642" i="5" s="1"/>
  <c r="AP13" i="6" s="1"/>
  <c r="K642" i="5"/>
  <c r="J642" i="5"/>
  <c r="L642" i="5" s="1"/>
  <c r="M641" i="5"/>
  <c r="L641" i="5"/>
  <c r="K641" i="5"/>
  <c r="J641" i="5"/>
  <c r="P640" i="5"/>
  <c r="N640" i="5"/>
  <c r="AP11" i="6" s="1"/>
  <c r="M640" i="5"/>
  <c r="K640" i="5"/>
  <c r="J640" i="5"/>
  <c r="L640" i="5" s="1"/>
  <c r="M639" i="5"/>
  <c r="K639" i="5"/>
  <c r="L639" i="5" s="1"/>
  <c r="J639" i="5"/>
  <c r="M638" i="5"/>
  <c r="N638" i="5" s="1"/>
  <c r="K638" i="5"/>
  <c r="J638" i="5"/>
  <c r="L638" i="5" s="1"/>
  <c r="M637" i="5"/>
  <c r="K637" i="5"/>
  <c r="L637" i="5" s="1"/>
  <c r="N637" i="5" s="1"/>
  <c r="J637" i="5"/>
  <c r="M636" i="5"/>
  <c r="N636" i="5" s="1"/>
  <c r="L636" i="5"/>
  <c r="K636" i="5"/>
  <c r="J636" i="5"/>
  <c r="M635" i="5"/>
  <c r="K635" i="5"/>
  <c r="J635" i="5"/>
  <c r="L635" i="5" s="1"/>
  <c r="P634" i="5"/>
  <c r="M634" i="5"/>
  <c r="K634" i="5"/>
  <c r="J634" i="5"/>
  <c r="L634" i="5" s="1"/>
  <c r="N634" i="5" s="1"/>
  <c r="AO26" i="6" s="1"/>
  <c r="M633" i="5"/>
  <c r="L633" i="5"/>
  <c r="K633" i="5"/>
  <c r="J633" i="5"/>
  <c r="N632" i="5"/>
  <c r="M632" i="5"/>
  <c r="K632" i="5"/>
  <c r="J632" i="5"/>
  <c r="L632" i="5" s="1"/>
  <c r="M631" i="5"/>
  <c r="K631" i="5"/>
  <c r="J631" i="5"/>
  <c r="M630" i="5"/>
  <c r="K630" i="5"/>
  <c r="J630" i="5"/>
  <c r="M629" i="5"/>
  <c r="K629" i="5"/>
  <c r="L629" i="5" s="1"/>
  <c r="N629" i="5" s="1"/>
  <c r="J629" i="5"/>
  <c r="M628" i="5"/>
  <c r="L628" i="5"/>
  <c r="K628" i="5"/>
  <c r="J628" i="5"/>
  <c r="M627" i="5"/>
  <c r="N627" i="5" s="1"/>
  <c r="AO19" i="6" s="1"/>
  <c r="L627" i="5"/>
  <c r="K627" i="5"/>
  <c r="J627" i="5"/>
  <c r="M626" i="5"/>
  <c r="N626" i="5" s="1"/>
  <c r="AO18" i="6" s="1"/>
  <c r="K626" i="5"/>
  <c r="J626" i="5"/>
  <c r="L626" i="5" s="1"/>
  <c r="M625" i="5"/>
  <c r="L625" i="5"/>
  <c r="K625" i="5"/>
  <c r="J625" i="5"/>
  <c r="N624" i="5"/>
  <c r="AO16" i="6" s="1"/>
  <c r="M624" i="5"/>
  <c r="K624" i="5"/>
  <c r="J624" i="5"/>
  <c r="L624" i="5" s="1"/>
  <c r="M623" i="5"/>
  <c r="K623" i="5"/>
  <c r="L623" i="5" s="1"/>
  <c r="J623" i="5"/>
  <c r="M622" i="5"/>
  <c r="N622" i="5" s="1"/>
  <c r="K622" i="5"/>
  <c r="J622" i="5"/>
  <c r="L622" i="5" s="1"/>
  <c r="N621" i="5"/>
  <c r="M621" i="5"/>
  <c r="K621" i="5"/>
  <c r="L621" i="5" s="1"/>
  <c r="J621" i="5"/>
  <c r="M620" i="5"/>
  <c r="N620" i="5" s="1"/>
  <c r="L620" i="5"/>
  <c r="K620" i="5"/>
  <c r="J620" i="5"/>
  <c r="M619" i="5"/>
  <c r="N619" i="5" s="1"/>
  <c r="K619" i="5"/>
  <c r="J619" i="5"/>
  <c r="L619" i="5" s="1"/>
  <c r="P618" i="5"/>
  <c r="M618" i="5"/>
  <c r="K618" i="5"/>
  <c r="J618" i="5"/>
  <c r="L618" i="5" s="1"/>
  <c r="N618" i="5" s="1"/>
  <c r="AO10" i="6" s="1"/>
  <c r="M617" i="5"/>
  <c r="L617" i="5"/>
  <c r="K617" i="5"/>
  <c r="J617" i="5"/>
  <c r="N616" i="5"/>
  <c r="M616" i="5"/>
  <c r="K616" i="5"/>
  <c r="J616" i="5"/>
  <c r="L616" i="5" s="1"/>
  <c r="M615" i="5"/>
  <c r="K615" i="5"/>
  <c r="J615" i="5"/>
  <c r="N614" i="5"/>
  <c r="M614" i="5"/>
  <c r="L614" i="5"/>
  <c r="K614" i="5"/>
  <c r="J614" i="5"/>
  <c r="M613" i="5"/>
  <c r="K613" i="5"/>
  <c r="L613" i="5" s="1"/>
  <c r="J613" i="5"/>
  <c r="M612" i="5"/>
  <c r="N612" i="5" s="1"/>
  <c r="K612" i="5"/>
  <c r="J612" i="5"/>
  <c r="L612" i="5" s="1"/>
  <c r="N611" i="5"/>
  <c r="M611" i="5"/>
  <c r="K611" i="5"/>
  <c r="J611" i="5"/>
  <c r="L611" i="5" s="1"/>
  <c r="N610" i="5"/>
  <c r="M610" i="5"/>
  <c r="L610" i="5"/>
  <c r="K610" i="5"/>
  <c r="J610" i="5"/>
  <c r="M609" i="5"/>
  <c r="K609" i="5"/>
  <c r="L609" i="5" s="1"/>
  <c r="J609" i="5"/>
  <c r="M608" i="5"/>
  <c r="K608" i="5"/>
  <c r="J608" i="5"/>
  <c r="L608" i="5" s="1"/>
  <c r="M607" i="5"/>
  <c r="K607" i="5"/>
  <c r="J607" i="5"/>
  <c r="M606" i="5"/>
  <c r="L606" i="5"/>
  <c r="N606" i="5" s="1"/>
  <c r="K606" i="5"/>
  <c r="J606" i="5"/>
  <c r="M605" i="5"/>
  <c r="N605" i="5" s="1"/>
  <c r="AN15" i="6" s="1"/>
  <c r="K605" i="5"/>
  <c r="J605" i="5"/>
  <c r="L605" i="5" s="1"/>
  <c r="M604" i="5"/>
  <c r="N604" i="5" s="1"/>
  <c r="K604" i="5"/>
  <c r="J604" i="5"/>
  <c r="L604" i="5" s="1"/>
  <c r="M603" i="5"/>
  <c r="K603" i="5"/>
  <c r="J603" i="5"/>
  <c r="N602" i="5"/>
  <c r="M602" i="5"/>
  <c r="L602" i="5"/>
  <c r="K602" i="5"/>
  <c r="J602" i="5"/>
  <c r="M601" i="5"/>
  <c r="K601" i="5"/>
  <c r="L601" i="5" s="1"/>
  <c r="J601" i="5"/>
  <c r="M600" i="5"/>
  <c r="N600" i="5" s="1"/>
  <c r="K600" i="5"/>
  <c r="J600" i="5"/>
  <c r="L600" i="5" s="1"/>
  <c r="M599" i="5"/>
  <c r="K599" i="5"/>
  <c r="J599" i="5"/>
  <c r="M598" i="5"/>
  <c r="N598" i="5" s="1"/>
  <c r="L598" i="5"/>
  <c r="K598" i="5"/>
  <c r="J598" i="5"/>
  <c r="M597" i="5"/>
  <c r="K597" i="5"/>
  <c r="J597" i="5"/>
  <c r="L597" i="5" s="1"/>
  <c r="M596" i="5"/>
  <c r="N596" i="5" s="1"/>
  <c r="K596" i="5"/>
  <c r="J596" i="5"/>
  <c r="L596" i="5" s="1"/>
  <c r="M595" i="5"/>
  <c r="K595" i="5"/>
  <c r="J595" i="5"/>
  <c r="L595" i="5" s="1"/>
  <c r="N595" i="5" s="1"/>
  <c r="N594" i="5"/>
  <c r="M594" i="5"/>
  <c r="L594" i="5"/>
  <c r="K594" i="5"/>
  <c r="J594" i="5"/>
  <c r="M593" i="5"/>
  <c r="K593" i="5"/>
  <c r="L593" i="5" s="1"/>
  <c r="J593" i="5"/>
  <c r="M592" i="5"/>
  <c r="K592" i="5"/>
  <c r="J592" i="5"/>
  <c r="L592" i="5" s="1"/>
  <c r="M591" i="5"/>
  <c r="K591" i="5"/>
  <c r="J591" i="5"/>
  <c r="M590" i="5"/>
  <c r="N590" i="5" s="1"/>
  <c r="L590" i="5"/>
  <c r="K590" i="5"/>
  <c r="J590" i="5"/>
  <c r="M589" i="5"/>
  <c r="K589" i="5"/>
  <c r="J589" i="5"/>
  <c r="L589" i="5" s="1"/>
  <c r="M588" i="5"/>
  <c r="K588" i="5"/>
  <c r="J588" i="5"/>
  <c r="L588" i="5" s="1"/>
  <c r="P587" i="5"/>
  <c r="M587" i="5"/>
  <c r="K587" i="5"/>
  <c r="J587" i="5"/>
  <c r="L587" i="5" s="1"/>
  <c r="N587" i="5" s="1"/>
  <c r="AM11" i="6" s="1"/>
  <c r="M586" i="5"/>
  <c r="N586" i="5" s="1"/>
  <c r="L586" i="5"/>
  <c r="K586" i="5"/>
  <c r="J586" i="5"/>
  <c r="M585" i="5"/>
  <c r="K585" i="5"/>
  <c r="J585" i="5"/>
  <c r="L585" i="5" s="1"/>
  <c r="M584" i="5"/>
  <c r="N584" i="5" s="1"/>
  <c r="K584" i="5"/>
  <c r="J584" i="5"/>
  <c r="L584" i="5" s="1"/>
  <c r="M583" i="5"/>
  <c r="K583" i="5"/>
  <c r="J583" i="5"/>
  <c r="M582" i="5"/>
  <c r="N582" i="5" s="1"/>
  <c r="AL20" i="6" s="1"/>
  <c r="L582" i="5"/>
  <c r="K582" i="5"/>
  <c r="J582" i="5"/>
  <c r="P581" i="5"/>
  <c r="M581" i="5"/>
  <c r="N581" i="5" s="1"/>
  <c r="AL19" i="6" s="1"/>
  <c r="L581" i="5"/>
  <c r="K581" i="5"/>
  <c r="J581" i="5"/>
  <c r="M580" i="5"/>
  <c r="K580" i="5"/>
  <c r="J580" i="5"/>
  <c r="P579" i="5"/>
  <c r="N579" i="5"/>
  <c r="AL17" i="6" s="1"/>
  <c r="M579" i="5"/>
  <c r="K579" i="5"/>
  <c r="J579" i="5"/>
  <c r="L579" i="5" s="1"/>
  <c r="N578" i="5"/>
  <c r="M578" i="5"/>
  <c r="L578" i="5"/>
  <c r="K578" i="5"/>
  <c r="J578" i="5"/>
  <c r="M577" i="5"/>
  <c r="K577" i="5"/>
  <c r="L577" i="5" s="1"/>
  <c r="J577" i="5"/>
  <c r="M576" i="5"/>
  <c r="N576" i="5" s="1"/>
  <c r="K576" i="5"/>
  <c r="J576" i="5"/>
  <c r="L576" i="5" s="1"/>
  <c r="M575" i="5"/>
  <c r="K575" i="5"/>
  <c r="J575" i="5"/>
  <c r="M574" i="5"/>
  <c r="N574" i="5" s="1"/>
  <c r="L574" i="5"/>
  <c r="K574" i="5"/>
  <c r="J574" i="5"/>
  <c r="M573" i="5"/>
  <c r="K573" i="5"/>
  <c r="J573" i="5"/>
  <c r="L573" i="5" s="1"/>
  <c r="M572" i="5"/>
  <c r="K572" i="5"/>
  <c r="J572" i="5"/>
  <c r="M571" i="5"/>
  <c r="K571" i="5"/>
  <c r="J571" i="5"/>
  <c r="L571" i="5" s="1"/>
  <c r="N571" i="5" s="1"/>
  <c r="AK23" i="6" s="1"/>
  <c r="M570" i="5"/>
  <c r="L570" i="5"/>
  <c r="N570" i="5" s="1"/>
  <c r="K570" i="5"/>
  <c r="J570" i="5"/>
  <c r="M569" i="5"/>
  <c r="K569" i="5"/>
  <c r="J569" i="5"/>
  <c r="L569" i="5" s="1"/>
  <c r="M568" i="5"/>
  <c r="N568" i="5" s="1"/>
  <c r="K568" i="5"/>
  <c r="J568" i="5"/>
  <c r="L568" i="5" s="1"/>
  <c r="M567" i="5"/>
  <c r="K567" i="5"/>
  <c r="J567" i="5"/>
  <c r="M566" i="5"/>
  <c r="L566" i="5"/>
  <c r="K566" i="5"/>
  <c r="J566" i="5"/>
  <c r="M565" i="5"/>
  <c r="K565" i="5"/>
  <c r="J565" i="5"/>
  <c r="L565" i="5" s="1"/>
  <c r="M564" i="5"/>
  <c r="K564" i="5"/>
  <c r="J564" i="5"/>
  <c r="M563" i="5"/>
  <c r="K563" i="5"/>
  <c r="J563" i="5"/>
  <c r="L563" i="5" s="1"/>
  <c r="N563" i="5" s="1"/>
  <c r="N562" i="5"/>
  <c r="AK14" i="6" s="1"/>
  <c r="M562" i="5"/>
  <c r="L562" i="5"/>
  <c r="K562" i="5"/>
  <c r="J562" i="5"/>
  <c r="M561" i="5"/>
  <c r="K561" i="5"/>
  <c r="L561" i="5" s="1"/>
  <c r="J561" i="5"/>
  <c r="M560" i="5"/>
  <c r="K560" i="5"/>
  <c r="J560" i="5"/>
  <c r="L560" i="5" s="1"/>
  <c r="M559" i="5"/>
  <c r="K559" i="5"/>
  <c r="J559" i="5"/>
  <c r="M558" i="5"/>
  <c r="N558" i="5" s="1"/>
  <c r="L558" i="5"/>
  <c r="K558" i="5"/>
  <c r="J558" i="5"/>
  <c r="M557" i="5"/>
  <c r="K557" i="5"/>
  <c r="J557" i="5"/>
  <c r="L557" i="5" s="1"/>
  <c r="M556" i="5"/>
  <c r="K556" i="5"/>
  <c r="J556" i="5"/>
  <c r="L556" i="5" s="1"/>
  <c r="P555" i="5"/>
  <c r="M555" i="5"/>
  <c r="K555" i="5"/>
  <c r="J555" i="5"/>
  <c r="L555" i="5" s="1"/>
  <c r="N555" i="5" s="1"/>
  <c r="AJ21" i="6" s="1"/>
  <c r="M554" i="5"/>
  <c r="N554" i="5" s="1"/>
  <c r="L554" i="5"/>
  <c r="K554" i="5"/>
  <c r="J554" i="5"/>
  <c r="M553" i="5"/>
  <c r="K553" i="5"/>
  <c r="J553" i="5"/>
  <c r="L553" i="5" s="1"/>
  <c r="M552" i="5"/>
  <c r="N552" i="5" s="1"/>
  <c r="K552" i="5"/>
  <c r="J552" i="5"/>
  <c r="L552" i="5" s="1"/>
  <c r="M551" i="5"/>
  <c r="K551" i="5"/>
  <c r="J551" i="5"/>
  <c r="M550" i="5"/>
  <c r="N550" i="5" s="1"/>
  <c r="AJ16" i="6" s="1"/>
  <c r="L550" i="5"/>
  <c r="K550" i="5"/>
  <c r="J550" i="5"/>
  <c r="M549" i="5"/>
  <c r="K549" i="5"/>
  <c r="J549" i="5"/>
  <c r="L549" i="5" s="1"/>
  <c r="M548" i="5"/>
  <c r="K548" i="5"/>
  <c r="J548" i="5"/>
  <c r="M547" i="5"/>
  <c r="K547" i="5"/>
  <c r="J547" i="5"/>
  <c r="L547" i="5" s="1"/>
  <c r="N547" i="5" s="1"/>
  <c r="AJ13" i="6" s="1"/>
  <c r="M546" i="5"/>
  <c r="L546" i="5"/>
  <c r="N546" i="5" s="1"/>
  <c r="K546" i="5"/>
  <c r="J546" i="5"/>
  <c r="M545" i="5"/>
  <c r="K545" i="5"/>
  <c r="L545" i="5" s="1"/>
  <c r="J545" i="5"/>
  <c r="M544" i="5"/>
  <c r="K544" i="5"/>
  <c r="J544" i="5"/>
  <c r="M543" i="5"/>
  <c r="K543" i="5"/>
  <c r="J543" i="5"/>
  <c r="M542" i="5"/>
  <c r="N542" i="5" s="1"/>
  <c r="L542" i="5"/>
  <c r="K542" i="5"/>
  <c r="J542" i="5"/>
  <c r="M541" i="5"/>
  <c r="K541" i="5"/>
  <c r="J541" i="5"/>
  <c r="L541" i="5" s="1"/>
  <c r="M540" i="5"/>
  <c r="K540" i="5"/>
  <c r="J540" i="5"/>
  <c r="L540" i="5" s="1"/>
  <c r="P539" i="5"/>
  <c r="M539" i="5"/>
  <c r="K539" i="5"/>
  <c r="J539" i="5"/>
  <c r="L539" i="5" s="1"/>
  <c r="N539" i="5" s="1"/>
  <c r="AI19" i="6" s="1"/>
  <c r="N538" i="5"/>
  <c r="M538" i="5"/>
  <c r="L538" i="5"/>
  <c r="K538" i="5"/>
  <c r="J538" i="5"/>
  <c r="M537" i="5"/>
  <c r="K537" i="5"/>
  <c r="J537" i="5"/>
  <c r="L537" i="5" s="1"/>
  <c r="M536" i="5"/>
  <c r="N536" i="5" s="1"/>
  <c r="K536" i="5"/>
  <c r="J536" i="5"/>
  <c r="L536" i="5" s="1"/>
  <c r="M535" i="5"/>
  <c r="K535" i="5"/>
  <c r="J535" i="5"/>
  <c r="L535" i="5" s="1"/>
  <c r="N535" i="5" s="1"/>
  <c r="M534" i="5"/>
  <c r="L534" i="5"/>
  <c r="K534" i="5"/>
  <c r="J534" i="5"/>
  <c r="M533" i="5"/>
  <c r="L533" i="5"/>
  <c r="K533" i="5"/>
  <c r="J533" i="5"/>
  <c r="M532" i="5"/>
  <c r="K532" i="5"/>
  <c r="J532" i="5"/>
  <c r="N531" i="5"/>
  <c r="AI11" i="6" s="1"/>
  <c r="M531" i="5"/>
  <c r="K531" i="5"/>
  <c r="J531" i="5"/>
  <c r="L531" i="5" s="1"/>
  <c r="N530" i="5"/>
  <c r="AI4" i="6" s="1"/>
  <c r="M530" i="5"/>
  <c r="L530" i="5"/>
  <c r="K530" i="5"/>
  <c r="J530" i="5"/>
  <c r="M529" i="5"/>
  <c r="K529" i="5"/>
  <c r="L529" i="5" s="1"/>
  <c r="J529" i="5"/>
  <c r="M528" i="5"/>
  <c r="N528" i="5" s="1"/>
  <c r="K528" i="5"/>
  <c r="J528" i="5"/>
  <c r="L528" i="5" s="1"/>
  <c r="M527" i="5"/>
  <c r="K527" i="5"/>
  <c r="J527" i="5"/>
  <c r="N526" i="5"/>
  <c r="AH19" i="6" s="1"/>
  <c r="M526" i="5"/>
  <c r="L526" i="5"/>
  <c r="K526" i="5"/>
  <c r="J526" i="5"/>
  <c r="M525" i="5"/>
  <c r="K525" i="5"/>
  <c r="L525" i="5" s="1"/>
  <c r="J525" i="5"/>
  <c r="M524" i="5"/>
  <c r="K524" i="5"/>
  <c r="J524" i="5"/>
  <c r="M523" i="5"/>
  <c r="K523" i="5"/>
  <c r="J523" i="5"/>
  <c r="L523" i="5" s="1"/>
  <c r="N523" i="5" s="1"/>
  <c r="M522" i="5"/>
  <c r="L522" i="5"/>
  <c r="K522" i="5"/>
  <c r="J522" i="5"/>
  <c r="M521" i="5"/>
  <c r="K521" i="5"/>
  <c r="J521" i="5"/>
  <c r="M520" i="5"/>
  <c r="N520" i="5" s="1"/>
  <c r="K520" i="5"/>
  <c r="J520" i="5"/>
  <c r="L520" i="5" s="1"/>
  <c r="M519" i="5"/>
  <c r="K519" i="5"/>
  <c r="J519" i="5"/>
  <c r="M518" i="5"/>
  <c r="N518" i="5" s="1"/>
  <c r="L518" i="5"/>
  <c r="K518" i="5"/>
  <c r="J518" i="5"/>
  <c r="M517" i="5"/>
  <c r="N517" i="5" s="1"/>
  <c r="K517" i="5"/>
  <c r="J517" i="5"/>
  <c r="L517" i="5" s="1"/>
  <c r="M516" i="5"/>
  <c r="K516" i="5"/>
  <c r="J516" i="5"/>
  <c r="M515" i="5"/>
  <c r="K515" i="5"/>
  <c r="J515" i="5"/>
  <c r="L515" i="5" s="1"/>
  <c r="N515" i="5" s="1"/>
  <c r="M514" i="5"/>
  <c r="L514" i="5"/>
  <c r="N514" i="5" s="1"/>
  <c r="K514" i="5"/>
  <c r="J514" i="5"/>
  <c r="M513" i="5"/>
  <c r="L513" i="5"/>
  <c r="K513" i="5"/>
  <c r="J513" i="5"/>
  <c r="M512" i="5"/>
  <c r="K512" i="5"/>
  <c r="J512" i="5"/>
  <c r="L512" i="5" s="1"/>
  <c r="M511" i="5"/>
  <c r="K511" i="5"/>
  <c r="J511" i="5"/>
  <c r="M510" i="5"/>
  <c r="N510" i="5" s="1"/>
  <c r="L510" i="5"/>
  <c r="K510" i="5"/>
  <c r="J510" i="5"/>
  <c r="M509" i="5"/>
  <c r="K509" i="5"/>
  <c r="J509" i="5"/>
  <c r="L509" i="5" s="1"/>
  <c r="M508" i="5"/>
  <c r="K508" i="5"/>
  <c r="J508" i="5"/>
  <c r="L508" i="5" s="1"/>
  <c r="P507" i="5"/>
  <c r="M507" i="5"/>
  <c r="K507" i="5"/>
  <c r="J507" i="5"/>
  <c r="L507" i="5" s="1"/>
  <c r="N507" i="5" s="1"/>
  <c r="AG17" i="6" s="1"/>
  <c r="M506" i="5"/>
  <c r="N506" i="5" s="1"/>
  <c r="L506" i="5"/>
  <c r="K506" i="5"/>
  <c r="J506" i="5"/>
  <c r="M505" i="5"/>
  <c r="K505" i="5"/>
  <c r="J505" i="5"/>
  <c r="L505" i="5" s="1"/>
  <c r="M504" i="5"/>
  <c r="N504" i="5" s="1"/>
  <c r="K504" i="5"/>
  <c r="J504" i="5"/>
  <c r="L504" i="5" s="1"/>
  <c r="P503" i="5"/>
  <c r="M503" i="5"/>
  <c r="K503" i="5"/>
  <c r="J503" i="5"/>
  <c r="L503" i="5" s="1"/>
  <c r="N503" i="5" s="1"/>
  <c r="AG13" i="6" s="1"/>
  <c r="M502" i="5"/>
  <c r="L502" i="5"/>
  <c r="K502" i="5"/>
  <c r="J502" i="5"/>
  <c r="M501" i="5"/>
  <c r="L501" i="5"/>
  <c r="K501" i="5"/>
  <c r="J501" i="5"/>
  <c r="M500" i="5"/>
  <c r="K500" i="5"/>
  <c r="J500" i="5"/>
  <c r="N499" i="5"/>
  <c r="AG9" i="6" s="1"/>
  <c r="M499" i="5"/>
  <c r="K499" i="5"/>
  <c r="J499" i="5"/>
  <c r="L499" i="5" s="1"/>
  <c r="N498" i="5"/>
  <c r="M498" i="5"/>
  <c r="L498" i="5"/>
  <c r="K498" i="5"/>
  <c r="J498" i="5"/>
  <c r="M497" i="5"/>
  <c r="N497" i="5" s="1"/>
  <c r="K497" i="5"/>
  <c r="L497" i="5" s="1"/>
  <c r="J497" i="5"/>
  <c r="M496" i="5"/>
  <c r="K496" i="5"/>
  <c r="J496" i="5"/>
  <c r="L496" i="5" s="1"/>
  <c r="M495" i="5"/>
  <c r="K495" i="5"/>
  <c r="J495" i="5"/>
  <c r="P494" i="5"/>
  <c r="N494" i="5"/>
  <c r="AF21" i="6" s="1"/>
  <c r="M494" i="5"/>
  <c r="L494" i="5"/>
  <c r="K494" i="5"/>
  <c r="J494" i="5"/>
  <c r="M493" i="5"/>
  <c r="L493" i="5"/>
  <c r="K493" i="5"/>
  <c r="J493" i="5"/>
  <c r="M492" i="5"/>
  <c r="K492" i="5"/>
  <c r="J492" i="5"/>
  <c r="L492" i="5" s="1"/>
  <c r="M491" i="5"/>
  <c r="K491" i="5"/>
  <c r="J491" i="5"/>
  <c r="M490" i="5"/>
  <c r="N490" i="5" s="1"/>
  <c r="L490" i="5"/>
  <c r="K490" i="5"/>
  <c r="J490" i="5"/>
  <c r="M489" i="5"/>
  <c r="K489" i="5"/>
  <c r="J489" i="5"/>
  <c r="M488" i="5"/>
  <c r="K488" i="5"/>
  <c r="J488" i="5"/>
  <c r="L488" i="5" s="1"/>
  <c r="M487" i="5"/>
  <c r="K487" i="5"/>
  <c r="J487" i="5"/>
  <c r="M486" i="5"/>
  <c r="N486" i="5" s="1"/>
  <c r="L486" i="5"/>
  <c r="K486" i="5"/>
  <c r="J486" i="5"/>
  <c r="M485" i="5"/>
  <c r="K485" i="5"/>
  <c r="J485" i="5"/>
  <c r="L485" i="5" s="1"/>
  <c r="N485" i="5" s="1"/>
  <c r="M484" i="5"/>
  <c r="K484" i="5"/>
  <c r="L484" i="5" s="1"/>
  <c r="J484" i="5"/>
  <c r="M483" i="5"/>
  <c r="K483" i="5"/>
  <c r="J483" i="5"/>
  <c r="M482" i="5"/>
  <c r="N482" i="5" s="1"/>
  <c r="K482" i="5"/>
  <c r="L482" i="5" s="1"/>
  <c r="J482" i="5"/>
  <c r="M481" i="5"/>
  <c r="L481" i="5"/>
  <c r="K481" i="5"/>
  <c r="J481" i="5"/>
  <c r="M480" i="5"/>
  <c r="K480" i="5"/>
  <c r="J480" i="5"/>
  <c r="L480" i="5" s="1"/>
  <c r="M479" i="5"/>
  <c r="K479" i="5"/>
  <c r="J479" i="5"/>
  <c r="M478" i="5"/>
  <c r="L478" i="5"/>
  <c r="K478" i="5"/>
  <c r="J478" i="5"/>
  <c r="N477" i="5"/>
  <c r="M477" i="5"/>
  <c r="K477" i="5"/>
  <c r="J477" i="5"/>
  <c r="L477" i="5" s="1"/>
  <c r="M476" i="5"/>
  <c r="K476" i="5"/>
  <c r="J476" i="5"/>
  <c r="L476" i="5" s="1"/>
  <c r="M475" i="5"/>
  <c r="K475" i="5"/>
  <c r="J475" i="5"/>
  <c r="M474" i="5"/>
  <c r="K474" i="5"/>
  <c r="L474" i="5" s="1"/>
  <c r="J474" i="5"/>
  <c r="M473" i="5"/>
  <c r="K473" i="5"/>
  <c r="L473" i="5" s="1"/>
  <c r="J473" i="5"/>
  <c r="M472" i="5"/>
  <c r="K472" i="5"/>
  <c r="J472" i="5"/>
  <c r="L472" i="5" s="1"/>
  <c r="P471" i="5"/>
  <c r="N471" i="5"/>
  <c r="AE14" i="6" s="1"/>
  <c r="M471" i="5"/>
  <c r="K471" i="5"/>
  <c r="J471" i="5"/>
  <c r="L471" i="5" s="1"/>
  <c r="M470" i="5"/>
  <c r="K470" i="5"/>
  <c r="L470" i="5" s="1"/>
  <c r="J470" i="5"/>
  <c r="M469" i="5"/>
  <c r="K469" i="5"/>
  <c r="J469" i="5"/>
  <c r="M468" i="5"/>
  <c r="L468" i="5"/>
  <c r="K468" i="5"/>
  <c r="J468" i="5"/>
  <c r="M467" i="5"/>
  <c r="K467" i="5"/>
  <c r="J467" i="5"/>
  <c r="P466" i="5"/>
  <c r="N466" i="5"/>
  <c r="AE9" i="6" s="1"/>
  <c r="M466" i="5"/>
  <c r="K466" i="5"/>
  <c r="L466" i="5" s="1"/>
  <c r="J466" i="5"/>
  <c r="M465" i="5"/>
  <c r="K465" i="5"/>
  <c r="L465" i="5" s="1"/>
  <c r="J465" i="5"/>
  <c r="M464" i="5"/>
  <c r="L464" i="5"/>
  <c r="K464" i="5"/>
  <c r="J464" i="5"/>
  <c r="N463" i="5"/>
  <c r="M463" i="5"/>
  <c r="K463" i="5"/>
  <c r="J463" i="5"/>
  <c r="L463" i="5" s="1"/>
  <c r="M462" i="5"/>
  <c r="K462" i="5"/>
  <c r="L462" i="5" s="1"/>
  <c r="J462" i="5"/>
  <c r="M461" i="5"/>
  <c r="K461" i="5"/>
  <c r="J461" i="5"/>
  <c r="M460" i="5"/>
  <c r="L460" i="5"/>
  <c r="K460" i="5"/>
  <c r="J460" i="5"/>
  <c r="M459" i="5"/>
  <c r="K459" i="5"/>
  <c r="J459" i="5"/>
  <c r="M458" i="5"/>
  <c r="N458" i="5" s="1"/>
  <c r="K458" i="5"/>
  <c r="L458" i="5" s="1"/>
  <c r="J458" i="5"/>
  <c r="M457" i="5"/>
  <c r="K457" i="5"/>
  <c r="L457" i="5" s="1"/>
  <c r="J457" i="5"/>
  <c r="M456" i="5"/>
  <c r="L456" i="5"/>
  <c r="K456" i="5"/>
  <c r="J456" i="5"/>
  <c r="M455" i="5"/>
  <c r="K455" i="5"/>
  <c r="J455" i="5"/>
  <c r="M454" i="5"/>
  <c r="N454" i="5" s="1"/>
  <c r="L454" i="5"/>
  <c r="K454" i="5"/>
  <c r="J454" i="5"/>
  <c r="N453" i="5"/>
  <c r="M453" i="5"/>
  <c r="K453" i="5"/>
  <c r="J453" i="5"/>
  <c r="L453" i="5" s="1"/>
  <c r="M452" i="5"/>
  <c r="K452" i="5"/>
  <c r="J452" i="5"/>
  <c r="M451" i="5"/>
  <c r="K451" i="5"/>
  <c r="J451" i="5"/>
  <c r="M450" i="5"/>
  <c r="N450" i="5" s="1"/>
  <c r="K450" i="5"/>
  <c r="L450" i="5" s="1"/>
  <c r="J450" i="5"/>
  <c r="M449" i="5"/>
  <c r="N449" i="5" s="1"/>
  <c r="L449" i="5"/>
  <c r="K449" i="5"/>
  <c r="J449" i="5"/>
  <c r="N448" i="5"/>
  <c r="AD4" i="6" s="1"/>
  <c r="M448" i="5"/>
  <c r="K448" i="5"/>
  <c r="J448" i="5"/>
  <c r="L448" i="5" s="1"/>
  <c r="M447" i="5"/>
  <c r="K447" i="5"/>
  <c r="L447" i="5" s="1"/>
  <c r="J447" i="5"/>
  <c r="M446" i="5"/>
  <c r="K446" i="5"/>
  <c r="J446" i="5"/>
  <c r="M445" i="5"/>
  <c r="N445" i="5" s="1"/>
  <c r="L445" i="5"/>
  <c r="K445" i="5"/>
  <c r="J445" i="5"/>
  <c r="P444" i="5"/>
  <c r="M444" i="5"/>
  <c r="K444" i="5"/>
  <c r="J444" i="5"/>
  <c r="L444" i="5" s="1"/>
  <c r="N444" i="5" s="1"/>
  <c r="AC17" i="6" s="1"/>
  <c r="M443" i="5"/>
  <c r="K443" i="5"/>
  <c r="L443" i="5" s="1"/>
  <c r="J443" i="5"/>
  <c r="M442" i="5"/>
  <c r="K442" i="5"/>
  <c r="J442" i="5"/>
  <c r="M441" i="5"/>
  <c r="N441" i="5" s="1"/>
  <c r="L441" i="5"/>
  <c r="K441" i="5"/>
  <c r="J441" i="5"/>
  <c r="N440" i="5"/>
  <c r="M440" i="5"/>
  <c r="K440" i="5"/>
  <c r="J440" i="5"/>
  <c r="L440" i="5" s="1"/>
  <c r="M439" i="5"/>
  <c r="K439" i="5"/>
  <c r="L439" i="5" s="1"/>
  <c r="J439" i="5"/>
  <c r="M438" i="5"/>
  <c r="K438" i="5"/>
  <c r="J438" i="5"/>
  <c r="M437" i="5"/>
  <c r="N437" i="5" s="1"/>
  <c r="L437" i="5"/>
  <c r="K437" i="5"/>
  <c r="J437" i="5"/>
  <c r="M436" i="5"/>
  <c r="K436" i="5"/>
  <c r="J436" i="5"/>
  <c r="L436" i="5" s="1"/>
  <c r="N436" i="5" s="1"/>
  <c r="AC9" i="6" s="1"/>
  <c r="M435" i="5"/>
  <c r="L435" i="5"/>
  <c r="K435" i="5"/>
  <c r="J435" i="5"/>
  <c r="M434" i="5"/>
  <c r="N434" i="5" s="1"/>
  <c r="K434" i="5"/>
  <c r="J434" i="5"/>
  <c r="L434" i="5" s="1"/>
  <c r="M433" i="5"/>
  <c r="K433" i="5"/>
  <c r="J433" i="5"/>
  <c r="M432" i="5"/>
  <c r="K432" i="5"/>
  <c r="J432" i="5"/>
  <c r="M431" i="5"/>
  <c r="N431" i="5" s="1"/>
  <c r="K431" i="5"/>
  <c r="L431" i="5" s="1"/>
  <c r="J431" i="5"/>
  <c r="M430" i="5"/>
  <c r="K430" i="5"/>
  <c r="L430" i="5" s="1"/>
  <c r="J430" i="5"/>
  <c r="M429" i="5"/>
  <c r="N429" i="5" s="1"/>
  <c r="L429" i="5"/>
  <c r="K429" i="5"/>
  <c r="J429" i="5"/>
  <c r="M428" i="5"/>
  <c r="K428" i="5"/>
  <c r="J428" i="5"/>
  <c r="L428" i="5" s="1"/>
  <c r="N428" i="5" s="1"/>
  <c r="M427" i="5"/>
  <c r="K427" i="5"/>
  <c r="L427" i="5" s="1"/>
  <c r="J427" i="5"/>
  <c r="M426" i="5"/>
  <c r="K426" i="5"/>
  <c r="J426" i="5"/>
  <c r="L426" i="5" s="1"/>
  <c r="N426" i="5" s="1"/>
  <c r="M425" i="5"/>
  <c r="K425" i="5"/>
  <c r="L425" i="5" s="1"/>
  <c r="J425" i="5"/>
  <c r="M424" i="5"/>
  <c r="K424" i="5"/>
  <c r="J424" i="5"/>
  <c r="N423" i="5"/>
  <c r="M423" i="5"/>
  <c r="K423" i="5"/>
  <c r="L423" i="5" s="1"/>
  <c r="J423" i="5"/>
  <c r="M422" i="5"/>
  <c r="L422" i="5"/>
  <c r="K422" i="5"/>
  <c r="J422" i="5"/>
  <c r="M421" i="5"/>
  <c r="N421" i="5" s="1"/>
  <c r="L421" i="5"/>
  <c r="K421" i="5"/>
  <c r="J421" i="5"/>
  <c r="M420" i="5"/>
  <c r="K420" i="5"/>
  <c r="J420" i="5"/>
  <c r="L420" i="5" s="1"/>
  <c r="N420" i="5" s="1"/>
  <c r="AB10" i="6" s="1"/>
  <c r="M419" i="5"/>
  <c r="L419" i="5"/>
  <c r="K419" i="5"/>
  <c r="J419" i="5"/>
  <c r="M418" i="5"/>
  <c r="N418" i="5" s="1"/>
  <c r="K418" i="5"/>
  <c r="J418" i="5"/>
  <c r="L418" i="5" s="1"/>
  <c r="M417" i="5"/>
  <c r="K417" i="5"/>
  <c r="J417" i="5"/>
  <c r="M416" i="5"/>
  <c r="N416" i="5" s="1"/>
  <c r="L416" i="5"/>
  <c r="K416" i="5"/>
  <c r="J416" i="5"/>
  <c r="M415" i="5"/>
  <c r="K415" i="5"/>
  <c r="L415" i="5" s="1"/>
  <c r="N415" i="5" s="1"/>
  <c r="J415" i="5"/>
  <c r="M414" i="5"/>
  <c r="N414" i="5" s="1"/>
  <c r="L414" i="5"/>
  <c r="K414" i="5"/>
  <c r="J414" i="5"/>
  <c r="M413" i="5"/>
  <c r="K413" i="5"/>
  <c r="J413" i="5"/>
  <c r="L413" i="5" s="1"/>
  <c r="N413" i="5" s="1"/>
  <c r="N412" i="5"/>
  <c r="M412" i="5"/>
  <c r="L412" i="5"/>
  <c r="K412" i="5"/>
  <c r="J412" i="5"/>
  <c r="N411" i="5"/>
  <c r="AA18" i="6" s="1"/>
  <c r="M411" i="5"/>
  <c r="L411" i="5"/>
  <c r="K411" i="5"/>
  <c r="J411" i="5"/>
  <c r="M410" i="5"/>
  <c r="K410" i="5"/>
  <c r="J410" i="5"/>
  <c r="L410" i="5" s="1"/>
  <c r="M409" i="5"/>
  <c r="K409" i="5"/>
  <c r="J409" i="5"/>
  <c r="N408" i="5"/>
  <c r="M408" i="5"/>
  <c r="L408" i="5"/>
  <c r="K408" i="5"/>
  <c r="J408" i="5"/>
  <c r="P407" i="5"/>
  <c r="N407" i="5"/>
  <c r="AA14" i="6" s="1"/>
  <c r="M407" i="5"/>
  <c r="L407" i="5"/>
  <c r="K407" i="5"/>
  <c r="J407" i="5"/>
  <c r="M406" i="5"/>
  <c r="L406" i="5"/>
  <c r="K406" i="5"/>
  <c r="J406" i="5"/>
  <c r="M405" i="5"/>
  <c r="K405" i="5"/>
  <c r="J405" i="5"/>
  <c r="M404" i="5"/>
  <c r="N404" i="5" s="1"/>
  <c r="L404" i="5"/>
  <c r="K404" i="5"/>
  <c r="J404" i="5"/>
  <c r="M403" i="5"/>
  <c r="K403" i="5"/>
  <c r="L403" i="5" s="1"/>
  <c r="N403" i="5" s="1"/>
  <c r="J403" i="5"/>
  <c r="M402" i="5"/>
  <c r="K402" i="5"/>
  <c r="J402" i="5"/>
  <c r="L402" i="5" s="1"/>
  <c r="M401" i="5"/>
  <c r="K401" i="5"/>
  <c r="J401" i="5"/>
  <c r="N400" i="5"/>
  <c r="M400" i="5"/>
  <c r="L400" i="5"/>
  <c r="K400" i="5"/>
  <c r="J400" i="5"/>
  <c r="N399" i="5"/>
  <c r="M399" i="5"/>
  <c r="L399" i="5"/>
  <c r="K399" i="5"/>
  <c r="J399" i="5"/>
  <c r="M398" i="5"/>
  <c r="K398" i="5"/>
  <c r="J398" i="5"/>
  <c r="L398" i="5" s="1"/>
  <c r="P397" i="5"/>
  <c r="M397" i="5"/>
  <c r="K397" i="5"/>
  <c r="J397" i="5"/>
  <c r="L397" i="5" s="1"/>
  <c r="N397" i="5" s="1"/>
  <c r="Z21" i="6" s="1"/>
  <c r="N396" i="5"/>
  <c r="M396" i="5"/>
  <c r="L396" i="5"/>
  <c r="K396" i="5"/>
  <c r="J396" i="5"/>
  <c r="M395" i="5"/>
  <c r="L395" i="5"/>
  <c r="N395" i="5" s="1"/>
  <c r="K395" i="5"/>
  <c r="J395" i="5"/>
  <c r="M394" i="5"/>
  <c r="N394" i="5" s="1"/>
  <c r="L394" i="5"/>
  <c r="K394" i="5"/>
  <c r="J394" i="5"/>
  <c r="M393" i="5"/>
  <c r="K393" i="5"/>
  <c r="J393" i="5"/>
  <c r="L393" i="5" s="1"/>
  <c r="N393" i="5" s="1"/>
  <c r="Z17" i="6" s="1"/>
  <c r="N392" i="5"/>
  <c r="M392" i="5"/>
  <c r="L392" i="5"/>
  <c r="K392" i="5"/>
  <c r="J392" i="5"/>
  <c r="M391" i="5"/>
  <c r="L391" i="5"/>
  <c r="N391" i="5" s="1"/>
  <c r="K391" i="5"/>
  <c r="J391" i="5"/>
  <c r="M390" i="5"/>
  <c r="L390" i="5"/>
  <c r="K390" i="5"/>
  <c r="J390" i="5"/>
  <c r="P389" i="5"/>
  <c r="M389" i="5"/>
  <c r="K389" i="5"/>
  <c r="J389" i="5"/>
  <c r="L389" i="5" s="1"/>
  <c r="N389" i="5" s="1"/>
  <c r="Z13" i="6" s="1"/>
  <c r="M388" i="5"/>
  <c r="N388" i="5" s="1"/>
  <c r="L388" i="5"/>
  <c r="K388" i="5"/>
  <c r="J388" i="5"/>
  <c r="M387" i="5"/>
  <c r="K387" i="5"/>
  <c r="L387" i="5" s="1"/>
  <c r="N387" i="5" s="1"/>
  <c r="Z11" i="6" s="1"/>
  <c r="J387" i="5"/>
  <c r="M386" i="5"/>
  <c r="L386" i="5"/>
  <c r="K386" i="5"/>
  <c r="J386" i="5"/>
  <c r="M385" i="5"/>
  <c r="K385" i="5"/>
  <c r="J385" i="5"/>
  <c r="M384" i="5"/>
  <c r="N384" i="5" s="1"/>
  <c r="L384" i="5"/>
  <c r="K384" i="5"/>
  <c r="J384" i="5"/>
  <c r="M383" i="5"/>
  <c r="K383" i="5"/>
  <c r="L383" i="5" s="1"/>
  <c r="N383" i="5" s="1"/>
  <c r="J383" i="5"/>
  <c r="M382" i="5"/>
  <c r="L382" i="5"/>
  <c r="K382" i="5"/>
  <c r="J382" i="5"/>
  <c r="M381" i="5"/>
  <c r="K381" i="5"/>
  <c r="J381" i="5"/>
  <c r="M380" i="5"/>
  <c r="N380" i="5" s="1"/>
  <c r="L380" i="5"/>
  <c r="K380" i="5"/>
  <c r="J380" i="5"/>
  <c r="M379" i="5"/>
  <c r="K379" i="5"/>
  <c r="L379" i="5" s="1"/>
  <c r="N379" i="5" s="1"/>
  <c r="J379" i="5"/>
  <c r="M378" i="5"/>
  <c r="K378" i="5"/>
  <c r="J378" i="5"/>
  <c r="L378" i="5" s="1"/>
  <c r="M377" i="5"/>
  <c r="K377" i="5"/>
  <c r="J377" i="5"/>
  <c r="N376" i="5"/>
  <c r="M376" i="5"/>
  <c r="L376" i="5"/>
  <c r="K376" i="5"/>
  <c r="J376" i="5"/>
  <c r="N375" i="5"/>
  <c r="Y16" i="6" s="1"/>
  <c r="M375" i="5"/>
  <c r="L375" i="5"/>
  <c r="K375" i="5"/>
  <c r="J375" i="5"/>
  <c r="M374" i="5"/>
  <c r="N374" i="5" s="1"/>
  <c r="L374" i="5"/>
  <c r="K374" i="5"/>
  <c r="J374" i="5"/>
  <c r="M373" i="5"/>
  <c r="K373" i="5"/>
  <c r="J373" i="5"/>
  <c r="M372" i="5"/>
  <c r="N372" i="5" s="1"/>
  <c r="L372" i="5"/>
  <c r="K372" i="5"/>
  <c r="J372" i="5"/>
  <c r="M371" i="5"/>
  <c r="L371" i="5"/>
  <c r="N371" i="5" s="1"/>
  <c r="K371" i="5"/>
  <c r="J371" i="5"/>
  <c r="M370" i="5"/>
  <c r="K370" i="5"/>
  <c r="J370" i="5"/>
  <c r="L370" i="5" s="1"/>
  <c r="M369" i="5"/>
  <c r="K369" i="5"/>
  <c r="J369" i="5"/>
  <c r="N368" i="5"/>
  <c r="M368" i="5"/>
  <c r="L368" i="5"/>
  <c r="K368" i="5"/>
  <c r="J368" i="5"/>
  <c r="N367" i="5"/>
  <c r="Y8" i="6" s="1"/>
  <c r="M367" i="5"/>
  <c r="L367" i="5"/>
  <c r="K367" i="5"/>
  <c r="J367" i="5"/>
  <c r="M366" i="5"/>
  <c r="K366" i="5"/>
  <c r="J366" i="5"/>
  <c r="L366" i="5" s="1"/>
  <c r="P365" i="5"/>
  <c r="M365" i="5"/>
  <c r="K365" i="5"/>
  <c r="J365" i="5"/>
  <c r="L365" i="5" s="1"/>
  <c r="N365" i="5" s="1"/>
  <c r="Y6" i="6" s="1"/>
  <c r="N364" i="5"/>
  <c r="M364" i="5"/>
  <c r="L364" i="5"/>
  <c r="K364" i="5"/>
  <c r="J364" i="5"/>
  <c r="M363" i="5"/>
  <c r="L363" i="5"/>
  <c r="N363" i="5" s="1"/>
  <c r="K363" i="5"/>
  <c r="J363" i="5"/>
  <c r="M362" i="5"/>
  <c r="N362" i="5" s="1"/>
  <c r="L362" i="5"/>
  <c r="K362" i="5"/>
  <c r="J362" i="5"/>
  <c r="M361" i="5"/>
  <c r="K361" i="5"/>
  <c r="J361" i="5"/>
  <c r="L361" i="5" s="1"/>
  <c r="N361" i="5" s="1"/>
  <c r="N360" i="5"/>
  <c r="M360" i="5"/>
  <c r="L360" i="5"/>
  <c r="K360" i="5"/>
  <c r="J360" i="5"/>
  <c r="M359" i="5"/>
  <c r="L359" i="5"/>
  <c r="N359" i="5" s="1"/>
  <c r="K359" i="5"/>
  <c r="J359" i="5"/>
  <c r="M358" i="5"/>
  <c r="L358" i="5"/>
  <c r="K358" i="5"/>
  <c r="J358" i="5"/>
  <c r="P357" i="5"/>
  <c r="M357" i="5"/>
  <c r="K357" i="5"/>
  <c r="J357" i="5"/>
  <c r="L357" i="5" s="1"/>
  <c r="N357" i="5" s="1"/>
  <c r="X15" i="6" s="1"/>
  <c r="N356" i="5"/>
  <c r="X14" i="6" s="1"/>
  <c r="M356" i="5"/>
  <c r="L356" i="5"/>
  <c r="K356" i="5"/>
  <c r="J356" i="5"/>
  <c r="N355" i="5"/>
  <c r="X13" i="6" s="1"/>
  <c r="M355" i="5"/>
  <c r="L355" i="5"/>
  <c r="K355" i="5"/>
  <c r="J355" i="5"/>
  <c r="M354" i="5"/>
  <c r="L354" i="5"/>
  <c r="K354" i="5"/>
  <c r="J354" i="5"/>
  <c r="M353" i="5"/>
  <c r="K353" i="5"/>
  <c r="J353" i="5"/>
  <c r="N352" i="5"/>
  <c r="X4" i="6" s="1"/>
  <c r="M352" i="5"/>
  <c r="L352" i="5"/>
  <c r="K352" i="5"/>
  <c r="J352" i="5"/>
  <c r="M351" i="5"/>
  <c r="N351" i="5" s="1"/>
  <c r="L351" i="5"/>
  <c r="K351" i="5"/>
  <c r="J351" i="5"/>
  <c r="M350" i="5"/>
  <c r="L350" i="5"/>
  <c r="K350" i="5"/>
  <c r="J350" i="5"/>
  <c r="P349" i="5"/>
  <c r="M349" i="5"/>
  <c r="K349" i="5"/>
  <c r="J349" i="5"/>
  <c r="L349" i="5" s="1"/>
  <c r="N349" i="5" s="1"/>
  <c r="W20" i="6" s="1"/>
  <c r="N348" i="5"/>
  <c r="W19" i="6" s="1"/>
  <c r="M348" i="5"/>
  <c r="L348" i="5"/>
  <c r="K348" i="5"/>
  <c r="J348" i="5"/>
  <c r="N347" i="5"/>
  <c r="M347" i="5"/>
  <c r="L347" i="5"/>
  <c r="K347" i="5"/>
  <c r="J347" i="5"/>
  <c r="M346" i="5"/>
  <c r="K346" i="5"/>
  <c r="J346" i="5"/>
  <c r="L346" i="5" s="1"/>
  <c r="M345" i="5"/>
  <c r="K345" i="5"/>
  <c r="J345" i="5"/>
  <c r="N344" i="5"/>
  <c r="W15" i="6" s="1"/>
  <c r="M344" i="5"/>
  <c r="L344" i="5"/>
  <c r="K344" i="5"/>
  <c r="J344" i="5"/>
  <c r="M343" i="5"/>
  <c r="N343" i="5" s="1"/>
  <c r="L343" i="5"/>
  <c r="K343" i="5"/>
  <c r="J343" i="5"/>
  <c r="M342" i="5"/>
  <c r="L342" i="5"/>
  <c r="K342" i="5"/>
  <c r="J342" i="5"/>
  <c r="M341" i="5"/>
  <c r="K341" i="5"/>
  <c r="J341" i="5"/>
  <c r="L341" i="5" s="1"/>
  <c r="N341" i="5" s="1"/>
  <c r="W12" i="6" s="1"/>
  <c r="N340" i="5"/>
  <c r="W11" i="6" s="1"/>
  <c r="M340" i="5"/>
  <c r="L340" i="5"/>
  <c r="K340" i="5"/>
  <c r="J340" i="5"/>
  <c r="N339" i="5"/>
  <c r="M339" i="5"/>
  <c r="L339" i="5"/>
  <c r="K339" i="5"/>
  <c r="J339" i="5"/>
  <c r="M338" i="5"/>
  <c r="K338" i="5"/>
  <c r="J338" i="5"/>
  <c r="L338" i="5" s="1"/>
  <c r="M337" i="5"/>
  <c r="K337" i="5"/>
  <c r="J337" i="5"/>
  <c r="P336" i="5"/>
  <c r="N336" i="5"/>
  <c r="V19" i="6" s="1"/>
  <c r="M336" i="5"/>
  <c r="L336" i="5"/>
  <c r="K336" i="5"/>
  <c r="J336" i="5"/>
  <c r="M335" i="5"/>
  <c r="N335" i="5" s="1"/>
  <c r="L335" i="5"/>
  <c r="K335" i="5"/>
  <c r="J335" i="5"/>
  <c r="M334" i="5"/>
  <c r="L334" i="5"/>
  <c r="K334" i="5"/>
  <c r="J334" i="5"/>
  <c r="P333" i="5"/>
  <c r="M333" i="5"/>
  <c r="K333" i="5"/>
  <c r="J333" i="5"/>
  <c r="L333" i="5" s="1"/>
  <c r="N333" i="5" s="1"/>
  <c r="V16" i="6" s="1"/>
  <c r="N332" i="5"/>
  <c r="V15" i="6" s="1"/>
  <c r="M332" i="5"/>
  <c r="L332" i="5"/>
  <c r="K332" i="5"/>
  <c r="J332" i="5"/>
  <c r="N331" i="5"/>
  <c r="M331" i="5"/>
  <c r="L331" i="5"/>
  <c r="K331" i="5"/>
  <c r="J331" i="5"/>
  <c r="M330" i="5"/>
  <c r="K330" i="5"/>
  <c r="J330" i="5"/>
  <c r="L330" i="5" s="1"/>
  <c r="M329" i="5"/>
  <c r="K329" i="5"/>
  <c r="J329" i="5"/>
  <c r="N328" i="5"/>
  <c r="V11" i="6" s="1"/>
  <c r="M328" i="5"/>
  <c r="L328" i="5"/>
  <c r="K328" i="5"/>
  <c r="J328" i="5"/>
  <c r="M327" i="5"/>
  <c r="N327" i="5" s="1"/>
  <c r="L327" i="5"/>
  <c r="K327" i="5"/>
  <c r="J327" i="5"/>
  <c r="M326" i="5"/>
  <c r="L326" i="5"/>
  <c r="K326" i="5"/>
  <c r="J326" i="5"/>
  <c r="P325" i="5"/>
  <c r="M325" i="5"/>
  <c r="K325" i="5"/>
  <c r="J325" i="5"/>
  <c r="L325" i="5" s="1"/>
  <c r="N325" i="5" s="1"/>
  <c r="U22" i="6" s="1"/>
  <c r="N324" i="5"/>
  <c r="U21" i="6" s="1"/>
  <c r="M324" i="5"/>
  <c r="L324" i="5"/>
  <c r="K324" i="5"/>
  <c r="J324" i="5"/>
  <c r="N323" i="5"/>
  <c r="M323" i="5"/>
  <c r="L323" i="5"/>
  <c r="K323" i="5"/>
  <c r="J323" i="5"/>
  <c r="M322" i="5"/>
  <c r="L322" i="5"/>
  <c r="K322" i="5"/>
  <c r="J322" i="5"/>
  <c r="M321" i="5"/>
  <c r="K321" i="5"/>
  <c r="J321" i="5"/>
  <c r="P320" i="5"/>
  <c r="N320" i="5"/>
  <c r="U17" i="6" s="1"/>
  <c r="M320" i="5"/>
  <c r="L320" i="5"/>
  <c r="K320" i="5"/>
  <c r="J320" i="5"/>
  <c r="M319" i="5"/>
  <c r="N319" i="5" s="1"/>
  <c r="L319" i="5"/>
  <c r="K319" i="5"/>
  <c r="J319" i="5"/>
  <c r="M318" i="5"/>
  <c r="L318" i="5"/>
  <c r="K318" i="5"/>
  <c r="J318" i="5"/>
  <c r="P317" i="5"/>
  <c r="M317" i="5"/>
  <c r="K317" i="5"/>
  <c r="J317" i="5"/>
  <c r="L317" i="5" s="1"/>
  <c r="N317" i="5" s="1"/>
  <c r="U14" i="6" s="1"/>
  <c r="N316" i="5"/>
  <c r="U13" i="6" s="1"/>
  <c r="M316" i="5"/>
  <c r="L316" i="5"/>
  <c r="K316" i="5"/>
  <c r="J316" i="5"/>
  <c r="N315" i="5"/>
  <c r="M315" i="5"/>
  <c r="L315" i="5"/>
  <c r="K315" i="5"/>
  <c r="J315" i="5"/>
  <c r="M314" i="5"/>
  <c r="L314" i="5"/>
  <c r="K314" i="5"/>
  <c r="J314" i="5"/>
  <c r="M313" i="5"/>
  <c r="K313" i="5"/>
  <c r="J313" i="5"/>
  <c r="P312" i="5"/>
  <c r="N312" i="5"/>
  <c r="T22" i="6" s="1"/>
  <c r="M312" i="5"/>
  <c r="L312" i="5"/>
  <c r="K312" i="5"/>
  <c r="J312" i="5"/>
  <c r="M311" i="5"/>
  <c r="L311" i="5"/>
  <c r="K311" i="5"/>
  <c r="J311" i="5"/>
  <c r="M310" i="5"/>
  <c r="L310" i="5"/>
  <c r="K310" i="5"/>
  <c r="J310" i="5"/>
  <c r="P309" i="5"/>
  <c r="M309" i="5"/>
  <c r="K309" i="5"/>
  <c r="J309" i="5"/>
  <c r="L309" i="5" s="1"/>
  <c r="N309" i="5" s="1"/>
  <c r="T19" i="6" s="1"/>
  <c r="N308" i="5"/>
  <c r="T18" i="6" s="1"/>
  <c r="M308" i="5"/>
  <c r="L308" i="5"/>
  <c r="K308" i="5"/>
  <c r="J308" i="5"/>
  <c r="N307" i="5"/>
  <c r="M307" i="5"/>
  <c r="L307" i="5"/>
  <c r="K307" i="5"/>
  <c r="J307" i="5"/>
  <c r="M306" i="5"/>
  <c r="K306" i="5"/>
  <c r="J306" i="5"/>
  <c r="L306" i="5" s="1"/>
  <c r="M305" i="5"/>
  <c r="K305" i="5"/>
  <c r="J305" i="5"/>
  <c r="P304" i="5"/>
  <c r="N304" i="5"/>
  <c r="T14" i="6" s="1"/>
  <c r="M304" i="5"/>
  <c r="L304" i="5"/>
  <c r="K304" i="5"/>
  <c r="J304" i="5"/>
  <c r="M303" i="5"/>
  <c r="N303" i="5" s="1"/>
  <c r="L303" i="5"/>
  <c r="K303" i="5"/>
  <c r="J303" i="5"/>
  <c r="M302" i="5"/>
  <c r="L302" i="5"/>
  <c r="K302" i="5"/>
  <c r="J302" i="5"/>
  <c r="P301" i="5"/>
  <c r="M301" i="5"/>
  <c r="K301" i="5"/>
  <c r="J301" i="5"/>
  <c r="L301" i="5" s="1"/>
  <c r="N301" i="5" s="1"/>
  <c r="T11" i="6" s="1"/>
  <c r="N300" i="5"/>
  <c r="M300" i="5"/>
  <c r="L300" i="5"/>
  <c r="K300" i="5"/>
  <c r="J300" i="5"/>
  <c r="M299" i="5"/>
  <c r="L299" i="5"/>
  <c r="N299" i="5" s="1"/>
  <c r="K299" i="5"/>
  <c r="J299" i="5"/>
  <c r="M298" i="5"/>
  <c r="N298" i="5" s="1"/>
  <c r="L298" i="5"/>
  <c r="K298" i="5"/>
  <c r="J298" i="5"/>
  <c r="M297" i="5"/>
  <c r="K297" i="5"/>
  <c r="J297" i="5"/>
  <c r="N296" i="5"/>
  <c r="M296" i="5"/>
  <c r="L296" i="5"/>
  <c r="K296" i="5"/>
  <c r="J296" i="5"/>
  <c r="M295" i="5"/>
  <c r="L295" i="5"/>
  <c r="K295" i="5"/>
  <c r="J295" i="5"/>
  <c r="M294" i="5"/>
  <c r="L294" i="5"/>
  <c r="K294" i="5"/>
  <c r="J294" i="5"/>
  <c r="M293" i="5"/>
  <c r="K293" i="5"/>
  <c r="J293" i="5"/>
  <c r="L293" i="5" s="1"/>
  <c r="N293" i="5" s="1"/>
  <c r="N292" i="5"/>
  <c r="M292" i="5"/>
  <c r="L292" i="5"/>
  <c r="K292" i="5"/>
  <c r="J292" i="5"/>
  <c r="M291" i="5"/>
  <c r="L291" i="5"/>
  <c r="N291" i="5" s="1"/>
  <c r="K291" i="5"/>
  <c r="J291" i="5"/>
  <c r="M290" i="5"/>
  <c r="L290" i="5"/>
  <c r="K290" i="5"/>
  <c r="J290" i="5"/>
  <c r="M289" i="5"/>
  <c r="K289" i="5"/>
  <c r="J289" i="5"/>
  <c r="P288" i="5"/>
  <c r="N288" i="5"/>
  <c r="S17" i="6" s="1"/>
  <c r="M288" i="5"/>
  <c r="L288" i="5"/>
  <c r="K288" i="5"/>
  <c r="J288" i="5"/>
  <c r="M287" i="5"/>
  <c r="N287" i="5" s="1"/>
  <c r="L287" i="5"/>
  <c r="K287" i="5"/>
  <c r="J287" i="5"/>
  <c r="M286" i="5"/>
  <c r="L286" i="5"/>
  <c r="K286" i="5"/>
  <c r="J286" i="5"/>
  <c r="P285" i="5"/>
  <c r="M285" i="5"/>
  <c r="K285" i="5"/>
  <c r="J285" i="5"/>
  <c r="L285" i="5" s="1"/>
  <c r="N285" i="5" s="1"/>
  <c r="S14" i="6" s="1"/>
  <c r="N284" i="5"/>
  <c r="M284" i="5"/>
  <c r="L284" i="5"/>
  <c r="K284" i="5"/>
  <c r="J284" i="5"/>
  <c r="M283" i="5"/>
  <c r="L283" i="5"/>
  <c r="N283" i="5" s="1"/>
  <c r="K283" i="5"/>
  <c r="J283" i="5"/>
  <c r="M282" i="5"/>
  <c r="K282" i="5"/>
  <c r="J282" i="5"/>
  <c r="L282" i="5" s="1"/>
  <c r="M281" i="5"/>
  <c r="K281" i="5"/>
  <c r="J281" i="5"/>
  <c r="N280" i="5"/>
  <c r="S9" i="6" s="1"/>
  <c r="M280" i="5"/>
  <c r="L280" i="5"/>
  <c r="K280" i="5"/>
  <c r="J280" i="5"/>
  <c r="M279" i="5"/>
  <c r="N279" i="5" s="1"/>
  <c r="L279" i="5"/>
  <c r="K279" i="5"/>
  <c r="J279" i="5"/>
  <c r="M278" i="5"/>
  <c r="L278" i="5"/>
  <c r="K278" i="5"/>
  <c r="J278" i="5"/>
  <c r="M277" i="5"/>
  <c r="K277" i="5"/>
  <c r="J277" i="5"/>
  <c r="L277" i="5" s="1"/>
  <c r="N277" i="5" s="1"/>
  <c r="S6" i="6" s="1"/>
  <c r="N276" i="5"/>
  <c r="M276" i="5"/>
  <c r="L276" i="5"/>
  <c r="K276" i="5"/>
  <c r="J276" i="5"/>
  <c r="M275" i="5"/>
  <c r="L275" i="5"/>
  <c r="N275" i="5" s="1"/>
  <c r="K275" i="5"/>
  <c r="J275" i="5"/>
  <c r="M274" i="5"/>
  <c r="K274" i="5"/>
  <c r="J274" i="5"/>
  <c r="L274" i="5" s="1"/>
  <c r="M273" i="5"/>
  <c r="K273" i="5"/>
  <c r="J273" i="5"/>
  <c r="P272" i="5"/>
  <c r="N272" i="5"/>
  <c r="R21" i="6" s="1"/>
  <c r="M272" i="5"/>
  <c r="L272" i="5"/>
  <c r="K272" i="5"/>
  <c r="J272" i="5"/>
  <c r="M271" i="5"/>
  <c r="N271" i="5" s="1"/>
  <c r="L271" i="5"/>
  <c r="K271" i="5"/>
  <c r="J271" i="5"/>
  <c r="M270" i="5"/>
  <c r="L270" i="5"/>
  <c r="K270" i="5"/>
  <c r="J270" i="5"/>
  <c r="P269" i="5"/>
  <c r="M269" i="5"/>
  <c r="K269" i="5"/>
  <c r="J269" i="5"/>
  <c r="L269" i="5" s="1"/>
  <c r="N269" i="5" s="1"/>
  <c r="R18" i="6" s="1"/>
  <c r="N268" i="5"/>
  <c r="M268" i="5"/>
  <c r="L268" i="5"/>
  <c r="K268" i="5"/>
  <c r="J268" i="5"/>
  <c r="M267" i="5"/>
  <c r="L267" i="5"/>
  <c r="N267" i="5" s="1"/>
  <c r="K267" i="5"/>
  <c r="J267" i="5"/>
  <c r="M266" i="5"/>
  <c r="K266" i="5"/>
  <c r="J266" i="5"/>
  <c r="L266" i="5" s="1"/>
  <c r="M265" i="5"/>
  <c r="K265" i="5"/>
  <c r="J265" i="5"/>
  <c r="N264" i="5"/>
  <c r="R13" i="6" s="1"/>
  <c r="M264" i="5"/>
  <c r="L264" i="5"/>
  <c r="K264" i="5"/>
  <c r="J264" i="5"/>
  <c r="M263" i="5"/>
  <c r="N263" i="5" s="1"/>
  <c r="L263" i="5"/>
  <c r="K263" i="5"/>
  <c r="J263" i="5"/>
  <c r="M262" i="5"/>
  <c r="L262" i="5"/>
  <c r="K262" i="5"/>
  <c r="J262" i="5"/>
  <c r="P261" i="5"/>
  <c r="M261" i="5"/>
  <c r="K261" i="5"/>
  <c r="J261" i="5"/>
  <c r="L261" i="5" s="1"/>
  <c r="N261" i="5" s="1"/>
  <c r="R10" i="6" s="1"/>
  <c r="N260" i="5"/>
  <c r="M260" i="5"/>
  <c r="L260" i="5"/>
  <c r="K260" i="5"/>
  <c r="J260" i="5"/>
  <c r="M259" i="5"/>
  <c r="L259" i="5"/>
  <c r="N259" i="5" s="1"/>
  <c r="K259" i="5"/>
  <c r="J259" i="5"/>
  <c r="M258" i="5"/>
  <c r="L258" i="5"/>
  <c r="K258" i="5"/>
  <c r="J258" i="5"/>
  <c r="M257" i="5"/>
  <c r="K257" i="5"/>
  <c r="J257" i="5"/>
  <c r="M256" i="5"/>
  <c r="L256" i="5"/>
  <c r="N256" i="5" s="1"/>
  <c r="K256" i="5"/>
  <c r="J256" i="5"/>
  <c r="M255" i="5"/>
  <c r="K255" i="5"/>
  <c r="J255" i="5"/>
  <c r="L255" i="5" s="1"/>
  <c r="M254" i="5"/>
  <c r="L254" i="5"/>
  <c r="K254" i="5"/>
  <c r="J254" i="5"/>
  <c r="M253" i="5"/>
  <c r="K253" i="5"/>
  <c r="J253" i="5"/>
  <c r="P252" i="5"/>
  <c r="M252" i="5"/>
  <c r="L252" i="5"/>
  <c r="N252" i="5" s="1"/>
  <c r="Q23" i="6" s="1"/>
  <c r="K252" i="5"/>
  <c r="J252" i="5"/>
  <c r="M251" i="5"/>
  <c r="K251" i="5"/>
  <c r="J251" i="5"/>
  <c r="L251" i="5" s="1"/>
  <c r="M250" i="5"/>
  <c r="K250" i="5"/>
  <c r="L250" i="5" s="1"/>
  <c r="J250" i="5"/>
  <c r="M249" i="5"/>
  <c r="K249" i="5"/>
  <c r="J249" i="5"/>
  <c r="L249" i="5" s="1"/>
  <c r="N249" i="5" s="1"/>
  <c r="N248" i="5"/>
  <c r="M248" i="5"/>
  <c r="L248" i="5"/>
  <c r="K248" i="5"/>
  <c r="J248" i="5"/>
  <c r="M247" i="5"/>
  <c r="L247" i="5"/>
  <c r="N247" i="5" s="1"/>
  <c r="K247" i="5"/>
  <c r="J247" i="5"/>
  <c r="M246" i="5"/>
  <c r="K246" i="5"/>
  <c r="J246" i="5"/>
  <c r="L246" i="5" s="1"/>
  <c r="M245" i="5"/>
  <c r="K245" i="5"/>
  <c r="J245" i="5"/>
  <c r="M244" i="5"/>
  <c r="N244" i="5" s="1"/>
  <c r="L244" i="5"/>
  <c r="K244" i="5"/>
  <c r="J244" i="5"/>
  <c r="M243" i="5"/>
  <c r="K243" i="5"/>
  <c r="L243" i="5" s="1"/>
  <c r="N243" i="5" s="1"/>
  <c r="Q14" i="6" s="1"/>
  <c r="J243" i="5"/>
  <c r="M242" i="5"/>
  <c r="K242" i="5"/>
  <c r="J242" i="5"/>
  <c r="N241" i="5"/>
  <c r="M241" i="5"/>
  <c r="K241" i="5"/>
  <c r="J241" i="5"/>
  <c r="L241" i="5" s="1"/>
  <c r="N240" i="5"/>
  <c r="M240" i="5"/>
  <c r="L240" i="5"/>
  <c r="K240" i="5"/>
  <c r="J240" i="5"/>
  <c r="N239" i="5"/>
  <c r="M239" i="5"/>
  <c r="L239" i="5"/>
  <c r="K239" i="5"/>
  <c r="J239" i="5"/>
  <c r="M238" i="5"/>
  <c r="K238" i="5"/>
  <c r="J238" i="5"/>
  <c r="L238" i="5" s="1"/>
  <c r="M237" i="5"/>
  <c r="K237" i="5"/>
  <c r="J237" i="5"/>
  <c r="L237" i="5" s="1"/>
  <c r="N237" i="5" s="1"/>
  <c r="P236" i="5"/>
  <c r="M236" i="5"/>
  <c r="N236" i="5" s="1"/>
  <c r="Q7" i="6" s="1"/>
  <c r="L236" i="5"/>
  <c r="K236" i="5"/>
  <c r="J236" i="5"/>
  <c r="M235" i="5"/>
  <c r="N235" i="5" s="1"/>
  <c r="K235" i="5"/>
  <c r="L235" i="5" s="1"/>
  <c r="J235" i="5"/>
  <c r="M234" i="5"/>
  <c r="K234" i="5"/>
  <c r="J234" i="5"/>
  <c r="L234" i="5" s="1"/>
  <c r="M233" i="5"/>
  <c r="K233" i="5"/>
  <c r="J233" i="5"/>
  <c r="L233" i="5" s="1"/>
  <c r="N233" i="5" s="1"/>
  <c r="P24" i="6" s="1"/>
  <c r="M232" i="5"/>
  <c r="N232" i="5" s="1"/>
  <c r="L232" i="5"/>
  <c r="K232" i="5"/>
  <c r="J232" i="5"/>
  <c r="M231" i="5"/>
  <c r="K231" i="5"/>
  <c r="J231" i="5"/>
  <c r="M230" i="5"/>
  <c r="K230" i="5"/>
  <c r="J230" i="5"/>
  <c r="L230" i="5" s="1"/>
  <c r="M229" i="5"/>
  <c r="K229" i="5"/>
  <c r="J229" i="5"/>
  <c r="M228" i="5"/>
  <c r="N228" i="5" s="1"/>
  <c r="P19" i="6" s="1"/>
  <c r="L228" i="5"/>
  <c r="K228" i="5"/>
  <c r="J228" i="5"/>
  <c r="M227" i="5"/>
  <c r="K227" i="5"/>
  <c r="J227" i="5"/>
  <c r="M226" i="5"/>
  <c r="K226" i="5"/>
  <c r="J226" i="5"/>
  <c r="L226" i="5" s="1"/>
  <c r="M225" i="5"/>
  <c r="K225" i="5"/>
  <c r="J225" i="5"/>
  <c r="L225" i="5" s="1"/>
  <c r="N225" i="5" s="1"/>
  <c r="M224" i="5"/>
  <c r="N224" i="5" s="1"/>
  <c r="K224" i="5"/>
  <c r="L224" i="5" s="1"/>
  <c r="J224" i="5"/>
  <c r="M223" i="5"/>
  <c r="N223" i="5" s="1"/>
  <c r="K223" i="5"/>
  <c r="L223" i="5" s="1"/>
  <c r="J223" i="5"/>
  <c r="M222" i="5"/>
  <c r="K222" i="5"/>
  <c r="J222" i="5"/>
  <c r="L222" i="5" s="1"/>
  <c r="M221" i="5"/>
  <c r="K221" i="5"/>
  <c r="J221" i="5"/>
  <c r="M220" i="5"/>
  <c r="K220" i="5"/>
  <c r="L220" i="5" s="1"/>
  <c r="N220" i="5" s="1"/>
  <c r="J220" i="5"/>
  <c r="M219" i="5"/>
  <c r="L219" i="5"/>
  <c r="N219" i="5" s="1"/>
  <c r="K219" i="5"/>
  <c r="J219" i="5"/>
  <c r="M218" i="5"/>
  <c r="L218" i="5"/>
  <c r="K218" i="5"/>
  <c r="J218" i="5"/>
  <c r="M217" i="5"/>
  <c r="K217" i="5"/>
  <c r="J217" i="5"/>
  <c r="M216" i="5"/>
  <c r="K216" i="5"/>
  <c r="L216" i="5" s="1"/>
  <c r="N216" i="5" s="1"/>
  <c r="J216" i="5"/>
  <c r="M215" i="5"/>
  <c r="N215" i="5" s="1"/>
  <c r="P6" i="6" s="1"/>
  <c r="K215" i="5"/>
  <c r="J215" i="5"/>
  <c r="L215" i="5" s="1"/>
  <c r="M214" i="5"/>
  <c r="L214" i="5"/>
  <c r="K214" i="5"/>
  <c r="J214" i="5"/>
  <c r="M213" i="5"/>
  <c r="K213" i="5"/>
  <c r="J213" i="5"/>
  <c r="P212" i="5"/>
  <c r="M212" i="5"/>
  <c r="N212" i="5" s="1"/>
  <c r="O21" i="6" s="1"/>
  <c r="L212" i="5"/>
  <c r="K212" i="5"/>
  <c r="J212" i="5"/>
  <c r="M211" i="5"/>
  <c r="K211" i="5"/>
  <c r="J211" i="5"/>
  <c r="M210" i="5"/>
  <c r="N210" i="5" s="1"/>
  <c r="K210" i="5"/>
  <c r="J210" i="5"/>
  <c r="L210" i="5" s="1"/>
  <c r="N209" i="5"/>
  <c r="M209" i="5"/>
  <c r="K209" i="5"/>
  <c r="J209" i="5"/>
  <c r="L209" i="5" s="1"/>
  <c r="P208" i="5"/>
  <c r="M208" i="5"/>
  <c r="K208" i="5"/>
  <c r="L208" i="5" s="1"/>
  <c r="N208" i="5" s="1"/>
  <c r="O17" i="6" s="1"/>
  <c r="J208" i="5"/>
  <c r="M207" i="5"/>
  <c r="K207" i="5"/>
  <c r="L207" i="5" s="1"/>
  <c r="J207" i="5"/>
  <c r="M206" i="5"/>
  <c r="K206" i="5"/>
  <c r="J206" i="5"/>
  <c r="L206" i="5" s="1"/>
  <c r="N206" i="5" s="1"/>
  <c r="M205" i="5"/>
  <c r="N205" i="5" s="1"/>
  <c r="K205" i="5"/>
  <c r="J205" i="5"/>
  <c r="L205" i="5" s="1"/>
  <c r="M204" i="5"/>
  <c r="K204" i="5"/>
  <c r="J204" i="5"/>
  <c r="M203" i="5"/>
  <c r="K203" i="5"/>
  <c r="L203" i="5" s="1"/>
  <c r="N203" i="5" s="1"/>
  <c r="J203" i="5"/>
  <c r="M202" i="5"/>
  <c r="K202" i="5"/>
  <c r="J202" i="5"/>
  <c r="M201" i="5"/>
  <c r="N201" i="5" s="1"/>
  <c r="O10" i="6" s="1"/>
  <c r="K201" i="5"/>
  <c r="J201" i="5"/>
  <c r="L201" i="5" s="1"/>
  <c r="M200" i="5"/>
  <c r="K200" i="5"/>
  <c r="J200" i="5"/>
  <c r="M199" i="5"/>
  <c r="K199" i="5"/>
  <c r="L199" i="5" s="1"/>
  <c r="N199" i="5" s="1"/>
  <c r="J199" i="5"/>
  <c r="P198" i="5"/>
  <c r="M198" i="5"/>
  <c r="K198" i="5"/>
  <c r="J198" i="5"/>
  <c r="L198" i="5" s="1"/>
  <c r="N198" i="5" s="1"/>
  <c r="O7" i="6" s="1"/>
  <c r="M197" i="5"/>
  <c r="K197" i="5"/>
  <c r="J197" i="5"/>
  <c r="L197" i="5" s="1"/>
  <c r="M196" i="5"/>
  <c r="K196" i="5"/>
  <c r="J196" i="5"/>
  <c r="M195" i="5"/>
  <c r="L195" i="5"/>
  <c r="N195" i="5" s="1"/>
  <c r="K195" i="5"/>
  <c r="J195" i="5"/>
  <c r="M194" i="5"/>
  <c r="K194" i="5"/>
  <c r="J194" i="5"/>
  <c r="L194" i="5" s="1"/>
  <c r="N194" i="5" s="1"/>
  <c r="M193" i="5"/>
  <c r="K193" i="5"/>
  <c r="J193" i="5"/>
  <c r="L193" i="5" s="1"/>
  <c r="M192" i="5"/>
  <c r="K192" i="5"/>
  <c r="J192" i="5"/>
  <c r="L192" i="5" s="1"/>
  <c r="M191" i="5"/>
  <c r="L191" i="5"/>
  <c r="N191" i="5" s="1"/>
  <c r="K191" i="5"/>
  <c r="J191" i="5"/>
  <c r="M190" i="5"/>
  <c r="L190" i="5"/>
  <c r="N190" i="5" s="1"/>
  <c r="K190" i="5"/>
  <c r="J190" i="5"/>
  <c r="M189" i="5"/>
  <c r="K189" i="5"/>
  <c r="J189" i="5"/>
  <c r="L189" i="5" s="1"/>
  <c r="N188" i="5"/>
  <c r="M188" i="5"/>
  <c r="K188" i="5"/>
  <c r="J188" i="5"/>
  <c r="L188" i="5" s="1"/>
  <c r="M187" i="5"/>
  <c r="L187" i="5"/>
  <c r="N187" i="5" s="1"/>
  <c r="K187" i="5"/>
  <c r="J187" i="5"/>
  <c r="M186" i="5"/>
  <c r="L186" i="5"/>
  <c r="N186" i="5" s="1"/>
  <c r="N12" i="6" s="1"/>
  <c r="K186" i="5"/>
  <c r="J186" i="5"/>
  <c r="M185" i="5"/>
  <c r="K185" i="5"/>
  <c r="J185" i="5"/>
  <c r="L185" i="5" s="1"/>
  <c r="N184" i="5"/>
  <c r="N10" i="6" s="1"/>
  <c r="M184" i="5"/>
  <c r="K184" i="5"/>
  <c r="J184" i="5"/>
  <c r="L184" i="5" s="1"/>
  <c r="M183" i="5"/>
  <c r="N183" i="5" s="1"/>
  <c r="L183" i="5"/>
  <c r="K183" i="5"/>
  <c r="J183" i="5"/>
  <c r="M182" i="5"/>
  <c r="K182" i="5"/>
  <c r="J182" i="5"/>
  <c r="L182" i="5" s="1"/>
  <c r="N182" i="5" s="1"/>
  <c r="M181" i="5"/>
  <c r="K181" i="5"/>
  <c r="J181" i="5"/>
  <c r="L181" i="5" s="1"/>
  <c r="M180" i="5"/>
  <c r="K180" i="5"/>
  <c r="J180" i="5"/>
  <c r="M179" i="5"/>
  <c r="N179" i="5" s="1"/>
  <c r="L179" i="5"/>
  <c r="K179" i="5"/>
  <c r="J179" i="5"/>
  <c r="M178" i="5"/>
  <c r="K178" i="5"/>
  <c r="J178" i="5"/>
  <c r="L178" i="5" s="1"/>
  <c r="N178" i="5" s="1"/>
  <c r="M177" i="5"/>
  <c r="K177" i="5"/>
  <c r="J177" i="5"/>
  <c r="L177" i="5" s="1"/>
  <c r="M176" i="5"/>
  <c r="K176" i="5"/>
  <c r="J176" i="5"/>
  <c r="M175" i="5"/>
  <c r="K175" i="5"/>
  <c r="L175" i="5" s="1"/>
  <c r="J175" i="5"/>
  <c r="M174" i="5"/>
  <c r="K174" i="5"/>
  <c r="J174" i="5"/>
  <c r="L174" i="5" s="1"/>
  <c r="N174" i="5" s="1"/>
  <c r="M173" i="5"/>
  <c r="N173" i="5" s="1"/>
  <c r="K173" i="5"/>
  <c r="J173" i="5"/>
  <c r="L173" i="5" s="1"/>
  <c r="M172" i="5"/>
  <c r="K172" i="5"/>
  <c r="J172" i="5"/>
  <c r="N171" i="5"/>
  <c r="M171" i="5"/>
  <c r="K171" i="5"/>
  <c r="L171" i="5" s="1"/>
  <c r="J171" i="5"/>
  <c r="M170" i="5"/>
  <c r="K170" i="5"/>
  <c r="J170" i="5"/>
  <c r="M169" i="5"/>
  <c r="N169" i="5" s="1"/>
  <c r="K169" i="5"/>
  <c r="J169" i="5"/>
  <c r="L169" i="5" s="1"/>
  <c r="M168" i="5"/>
  <c r="K168" i="5"/>
  <c r="J168" i="5"/>
  <c r="N167" i="5"/>
  <c r="M167" i="5"/>
  <c r="K167" i="5"/>
  <c r="L167" i="5" s="1"/>
  <c r="J167" i="5"/>
  <c r="P166" i="5"/>
  <c r="M166" i="5"/>
  <c r="K166" i="5"/>
  <c r="J166" i="5"/>
  <c r="L166" i="5" s="1"/>
  <c r="N166" i="5" s="1"/>
  <c r="M12" i="6" s="1"/>
  <c r="M165" i="5"/>
  <c r="K165" i="5"/>
  <c r="J165" i="5"/>
  <c r="L165" i="5" s="1"/>
  <c r="M164" i="5"/>
  <c r="K164" i="5"/>
  <c r="J164" i="5"/>
  <c r="M163" i="5"/>
  <c r="L163" i="5"/>
  <c r="N163" i="5" s="1"/>
  <c r="K163" i="5"/>
  <c r="J163" i="5"/>
  <c r="P162" i="5"/>
  <c r="M162" i="5"/>
  <c r="K162" i="5"/>
  <c r="J162" i="5"/>
  <c r="L162" i="5" s="1"/>
  <c r="N162" i="5" s="1"/>
  <c r="M8" i="6" s="1"/>
  <c r="M161" i="5"/>
  <c r="K161" i="5"/>
  <c r="J161" i="5"/>
  <c r="L161" i="5" s="1"/>
  <c r="M160" i="5"/>
  <c r="K160" i="5"/>
  <c r="J160" i="5"/>
  <c r="L160" i="5" s="1"/>
  <c r="M159" i="5"/>
  <c r="L159" i="5"/>
  <c r="N159" i="5" s="1"/>
  <c r="K159" i="5"/>
  <c r="J159" i="5"/>
  <c r="M158" i="5"/>
  <c r="L158" i="5"/>
  <c r="N158" i="5" s="1"/>
  <c r="K158" i="5"/>
  <c r="J158" i="5"/>
  <c r="M157" i="5"/>
  <c r="K157" i="5"/>
  <c r="J157" i="5"/>
  <c r="L157" i="5" s="1"/>
  <c r="M156" i="5"/>
  <c r="K156" i="5"/>
  <c r="J156" i="5"/>
  <c r="L156" i="5" s="1"/>
  <c r="N156" i="5" s="1"/>
  <c r="M155" i="5"/>
  <c r="L155" i="5"/>
  <c r="N155" i="5" s="1"/>
  <c r="K155" i="5"/>
  <c r="J155" i="5"/>
  <c r="M154" i="5"/>
  <c r="L154" i="5"/>
  <c r="N154" i="5" s="1"/>
  <c r="K154" i="5"/>
  <c r="J154" i="5"/>
  <c r="M153" i="5"/>
  <c r="K153" i="5"/>
  <c r="J153" i="5"/>
  <c r="L153" i="5" s="1"/>
  <c r="N152" i="5"/>
  <c r="M152" i="5"/>
  <c r="K152" i="5"/>
  <c r="J152" i="5"/>
  <c r="L152" i="5" s="1"/>
  <c r="M151" i="5"/>
  <c r="N151" i="5" s="1"/>
  <c r="L151" i="5"/>
  <c r="K151" i="5"/>
  <c r="J151" i="5"/>
  <c r="M150" i="5"/>
  <c r="K150" i="5"/>
  <c r="J150" i="5"/>
  <c r="L150" i="5" s="1"/>
  <c r="N150" i="5" s="1"/>
  <c r="M149" i="5"/>
  <c r="K149" i="5"/>
  <c r="J149" i="5"/>
  <c r="L149" i="5" s="1"/>
  <c r="M148" i="5"/>
  <c r="K148" i="5"/>
  <c r="J148" i="5"/>
  <c r="M147" i="5"/>
  <c r="N147" i="5" s="1"/>
  <c r="L147" i="5"/>
  <c r="K147" i="5"/>
  <c r="J147" i="5"/>
  <c r="M146" i="5"/>
  <c r="K146" i="5"/>
  <c r="J146" i="5"/>
  <c r="M145" i="5"/>
  <c r="K145" i="5"/>
  <c r="J145" i="5"/>
  <c r="L145" i="5" s="1"/>
  <c r="N144" i="5"/>
  <c r="M144" i="5"/>
  <c r="K144" i="5"/>
  <c r="J144" i="5"/>
  <c r="L144" i="5" s="1"/>
  <c r="M143" i="5"/>
  <c r="N143" i="5" s="1"/>
  <c r="L143" i="5"/>
  <c r="K143" i="5"/>
  <c r="J143" i="5"/>
  <c r="M142" i="5"/>
  <c r="K142" i="5"/>
  <c r="J142" i="5"/>
  <c r="M141" i="5"/>
  <c r="N141" i="5" s="1"/>
  <c r="K141" i="5"/>
  <c r="J141" i="5"/>
  <c r="L141" i="5" s="1"/>
  <c r="M140" i="5"/>
  <c r="K140" i="5"/>
  <c r="J140" i="5"/>
  <c r="L140" i="5" s="1"/>
  <c r="N140" i="5" s="1"/>
  <c r="M139" i="5"/>
  <c r="L139" i="5"/>
  <c r="N139" i="5" s="1"/>
  <c r="K139" i="5"/>
  <c r="J139" i="5"/>
  <c r="M138" i="5"/>
  <c r="K138" i="5"/>
  <c r="J138" i="5"/>
  <c r="L138" i="5" s="1"/>
  <c r="N138" i="5" s="1"/>
  <c r="M137" i="5"/>
  <c r="K137" i="5"/>
  <c r="J137" i="5"/>
  <c r="L137" i="5" s="1"/>
  <c r="M136" i="5"/>
  <c r="N136" i="5" s="1"/>
  <c r="K136" i="5"/>
  <c r="J136" i="5"/>
  <c r="L136" i="5" s="1"/>
  <c r="M135" i="5"/>
  <c r="L135" i="5"/>
  <c r="N135" i="5" s="1"/>
  <c r="K135" i="5"/>
  <c r="J135" i="5"/>
  <c r="P134" i="5"/>
  <c r="M134" i="5"/>
  <c r="K134" i="5"/>
  <c r="J134" i="5"/>
  <c r="L134" i="5" s="1"/>
  <c r="N134" i="5" s="1"/>
  <c r="K15" i="6" s="1"/>
  <c r="M133" i="5"/>
  <c r="L133" i="5"/>
  <c r="K133" i="5"/>
  <c r="J133" i="5"/>
  <c r="M132" i="5"/>
  <c r="K132" i="5"/>
  <c r="J132" i="5"/>
  <c r="M131" i="5"/>
  <c r="L131" i="5"/>
  <c r="N131" i="5" s="1"/>
  <c r="K131" i="5"/>
  <c r="J131" i="5"/>
  <c r="M130" i="5"/>
  <c r="K130" i="5"/>
  <c r="J130" i="5"/>
  <c r="L130" i="5" s="1"/>
  <c r="N130" i="5" s="1"/>
  <c r="M129" i="5"/>
  <c r="L129" i="5"/>
  <c r="K129" i="5"/>
  <c r="J129" i="5"/>
  <c r="M128" i="5"/>
  <c r="K128" i="5"/>
  <c r="J128" i="5"/>
  <c r="N127" i="5"/>
  <c r="M127" i="5"/>
  <c r="K127" i="5"/>
  <c r="L127" i="5" s="1"/>
  <c r="J127" i="5"/>
  <c r="M126" i="5"/>
  <c r="L126" i="5"/>
  <c r="N126" i="5" s="1"/>
  <c r="K7" i="6" s="1"/>
  <c r="K126" i="5"/>
  <c r="J126" i="5"/>
  <c r="M125" i="5"/>
  <c r="L125" i="5"/>
  <c r="K125" i="5"/>
  <c r="J125" i="5"/>
  <c r="M124" i="5"/>
  <c r="K124" i="5"/>
  <c r="J124" i="5"/>
  <c r="M123" i="5"/>
  <c r="K123" i="5"/>
  <c r="L123" i="5" s="1"/>
  <c r="N123" i="5" s="1"/>
  <c r="J123" i="5"/>
  <c r="M122" i="5"/>
  <c r="L122" i="5"/>
  <c r="N122" i="5" s="1"/>
  <c r="K122" i="5"/>
  <c r="J122" i="5"/>
  <c r="M121" i="5"/>
  <c r="K121" i="5"/>
  <c r="J121" i="5"/>
  <c r="L121" i="5" s="1"/>
  <c r="M120" i="5"/>
  <c r="K120" i="5"/>
  <c r="J120" i="5"/>
  <c r="M119" i="5"/>
  <c r="N119" i="5" s="1"/>
  <c r="K119" i="5"/>
  <c r="L119" i="5" s="1"/>
  <c r="J119" i="5"/>
  <c r="M118" i="5"/>
  <c r="K118" i="5"/>
  <c r="J118" i="5"/>
  <c r="M117" i="5"/>
  <c r="K117" i="5"/>
  <c r="J117" i="5"/>
  <c r="L117" i="5" s="1"/>
  <c r="M116" i="5"/>
  <c r="K116" i="5"/>
  <c r="J116" i="5"/>
  <c r="M115" i="5"/>
  <c r="N115" i="5" s="1"/>
  <c r="L115" i="5"/>
  <c r="K115" i="5"/>
  <c r="J115" i="5"/>
  <c r="M114" i="5"/>
  <c r="K114" i="5"/>
  <c r="J114" i="5"/>
  <c r="M113" i="5"/>
  <c r="K113" i="5"/>
  <c r="J113" i="5"/>
  <c r="L113" i="5" s="1"/>
  <c r="M112" i="5"/>
  <c r="K112" i="5"/>
  <c r="J112" i="5"/>
  <c r="L112" i="5" s="1"/>
  <c r="N112" i="5" s="1"/>
  <c r="M111" i="5"/>
  <c r="N111" i="5" s="1"/>
  <c r="L111" i="5"/>
  <c r="K111" i="5"/>
  <c r="J111" i="5"/>
  <c r="M110" i="5"/>
  <c r="K110" i="5"/>
  <c r="J110" i="5"/>
  <c r="M109" i="5"/>
  <c r="N109" i="5" s="1"/>
  <c r="K109" i="5"/>
  <c r="J109" i="5"/>
  <c r="L109" i="5" s="1"/>
  <c r="N108" i="5"/>
  <c r="M108" i="5"/>
  <c r="K108" i="5"/>
  <c r="J108" i="5"/>
  <c r="L108" i="5" s="1"/>
  <c r="M107" i="5"/>
  <c r="L107" i="5"/>
  <c r="N107" i="5" s="1"/>
  <c r="K107" i="5"/>
  <c r="J107" i="5"/>
  <c r="M106" i="5"/>
  <c r="K106" i="5"/>
  <c r="J106" i="5"/>
  <c r="L106" i="5" s="1"/>
  <c r="N106" i="5" s="1"/>
  <c r="M105" i="5"/>
  <c r="K105" i="5"/>
  <c r="J105" i="5"/>
  <c r="L105" i="5" s="1"/>
  <c r="M104" i="5"/>
  <c r="K104" i="5"/>
  <c r="J104" i="5"/>
  <c r="L104" i="5" s="1"/>
  <c r="M103" i="5"/>
  <c r="L103" i="5"/>
  <c r="N103" i="5" s="1"/>
  <c r="K103" i="5"/>
  <c r="J103" i="5"/>
  <c r="P102" i="5"/>
  <c r="M102" i="5"/>
  <c r="K102" i="5"/>
  <c r="J102" i="5"/>
  <c r="L102" i="5" s="1"/>
  <c r="N102" i="5" s="1"/>
  <c r="I17" i="6" s="1"/>
  <c r="M101" i="5"/>
  <c r="K101" i="5"/>
  <c r="J101" i="5"/>
  <c r="L101" i="5" s="1"/>
  <c r="M100" i="5"/>
  <c r="K100" i="5"/>
  <c r="J100" i="5"/>
  <c r="N99" i="5"/>
  <c r="M99" i="5"/>
  <c r="L99" i="5"/>
  <c r="K99" i="5"/>
  <c r="J99" i="5"/>
  <c r="M98" i="5"/>
  <c r="K98" i="5"/>
  <c r="J98" i="5"/>
  <c r="L98" i="5" s="1"/>
  <c r="N98" i="5" s="1"/>
  <c r="M97" i="5"/>
  <c r="L97" i="5"/>
  <c r="K97" i="5"/>
  <c r="J97" i="5"/>
  <c r="M96" i="5"/>
  <c r="K96" i="5"/>
  <c r="J96" i="5"/>
  <c r="M95" i="5"/>
  <c r="K95" i="5"/>
  <c r="L95" i="5" s="1"/>
  <c r="N95" i="5" s="1"/>
  <c r="J95" i="5"/>
  <c r="M94" i="5"/>
  <c r="L94" i="5"/>
  <c r="N94" i="5" s="1"/>
  <c r="I9" i="6" s="1"/>
  <c r="K94" i="5"/>
  <c r="J94" i="5"/>
  <c r="M93" i="5"/>
  <c r="L93" i="5"/>
  <c r="K93" i="5"/>
  <c r="J93" i="5"/>
  <c r="M92" i="5"/>
  <c r="K92" i="5"/>
  <c r="J92" i="5"/>
  <c r="M91" i="5"/>
  <c r="K91" i="5"/>
  <c r="L91" i="5" s="1"/>
  <c r="N91" i="5" s="1"/>
  <c r="J91" i="5"/>
  <c r="M90" i="5"/>
  <c r="K90" i="5"/>
  <c r="J90" i="5"/>
  <c r="L90" i="5" s="1"/>
  <c r="M89" i="5"/>
  <c r="L89" i="5"/>
  <c r="K89" i="5"/>
  <c r="J89" i="5"/>
  <c r="M88" i="5"/>
  <c r="K88" i="5"/>
  <c r="J88" i="5"/>
  <c r="P87" i="5"/>
  <c r="M87" i="5"/>
  <c r="N87" i="5" s="1"/>
  <c r="H19" i="6" s="1"/>
  <c r="L87" i="5"/>
  <c r="K87" i="5"/>
  <c r="J87" i="5"/>
  <c r="M86" i="5"/>
  <c r="K86" i="5"/>
  <c r="J86" i="5"/>
  <c r="M85" i="5"/>
  <c r="L85" i="5"/>
  <c r="K85" i="5"/>
  <c r="J85" i="5"/>
  <c r="N84" i="5"/>
  <c r="M84" i="5"/>
  <c r="K84" i="5"/>
  <c r="J84" i="5"/>
  <c r="L84" i="5" s="1"/>
  <c r="M83" i="5"/>
  <c r="N83" i="5" s="1"/>
  <c r="H15" i="6" s="1"/>
  <c r="K83" i="5"/>
  <c r="L83" i="5" s="1"/>
  <c r="J83" i="5"/>
  <c r="M82" i="5"/>
  <c r="K82" i="5"/>
  <c r="J82" i="5"/>
  <c r="M81" i="5"/>
  <c r="K81" i="5"/>
  <c r="J81" i="5"/>
  <c r="M80" i="5"/>
  <c r="K80" i="5"/>
  <c r="J80" i="5"/>
  <c r="M79" i="5"/>
  <c r="N79" i="5" s="1"/>
  <c r="K79" i="5"/>
  <c r="L79" i="5" s="1"/>
  <c r="J79" i="5"/>
  <c r="M78" i="5"/>
  <c r="L78" i="5"/>
  <c r="N78" i="5" s="1"/>
  <c r="H10" i="6" s="1"/>
  <c r="K78" i="5"/>
  <c r="J78" i="5"/>
  <c r="M77" i="5"/>
  <c r="L77" i="5"/>
  <c r="K77" i="5"/>
  <c r="J77" i="5"/>
  <c r="M76" i="5"/>
  <c r="K76" i="5"/>
  <c r="J76" i="5"/>
  <c r="M75" i="5"/>
  <c r="K75" i="5"/>
  <c r="L75" i="5" s="1"/>
  <c r="N75" i="5" s="1"/>
  <c r="J75" i="5"/>
  <c r="M74" i="5"/>
  <c r="N74" i="5" s="1"/>
  <c r="H6" i="6" s="1"/>
  <c r="K74" i="5"/>
  <c r="J74" i="5"/>
  <c r="L74" i="5" s="1"/>
  <c r="M73" i="5"/>
  <c r="L73" i="5"/>
  <c r="K73" i="5"/>
  <c r="J73" i="5"/>
  <c r="M72" i="5"/>
  <c r="K72" i="5"/>
  <c r="J72" i="5"/>
  <c r="P71" i="5"/>
  <c r="M71" i="5"/>
  <c r="N71" i="5" s="1"/>
  <c r="G22" i="6" s="1"/>
  <c r="L71" i="5"/>
  <c r="K71" i="5"/>
  <c r="J71" i="5"/>
  <c r="M70" i="5"/>
  <c r="K70" i="5"/>
  <c r="J70" i="5"/>
  <c r="L70" i="5" s="1"/>
  <c r="M69" i="5"/>
  <c r="L69" i="5"/>
  <c r="K69" i="5"/>
  <c r="J69" i="5"/>
  <c r="N68" i="5"/>
  <c r="M68" i="5"/>
  <c r="K68" i="5"/>
  <c r="J68" i="5"/>
  <c r="L68" i="5" s="1"/>
  <c r="M67" i="5"/>
  <c r="N67" i="5" s="1"/>
  <c r="G18" i="6" s="1"/>
  <c r="K67" i="5"/>
  <c r="L67" i="5" s="1"/>
  <c r="J67" i="5"/>
  <c r="N66" i="5"/>
  <c r="M66" i="5"/>
  <c r="K66" i="5"/>
  <c r="J66" i="5"/>
  <c r="L66" i="5" s="1"/>
  <c r="M65" i="5"/>
  <c r="K65" i="5"/>
  <c r="J65" i="5"/>
  <c r="N64" i="5"/>
  <c r="M64" i="5"/>
  <c r="K64" i="5"/>
  <c r="J64" i="5"/>
  <c r="L64" i="5" s="1"/>
  <c r="M63" i="5"/>
  <c r="N63" i="5" s="1"/>
  <c r="K63" i="5"/>
  <c r="L63" i="5" s="1"/>
  <c r="J63" i="5"/>
  <c r="M62" i="5"/>
  <c r="L62" i="5"/>
  <c r="N62" i="5" s="1"/>
  <c r="K62" i="5"/>
  <c r="J62" i="5"/>
  <c r="M61" i="5"/>
  <c r="L61" i="5"/>
  <c r="K61" i="5"/>
  <c r="J61" i="5"/>
  <c r="M60" i="5"/>
  <c r="K60" i="5"/>
  <c r="J60" i="5"/>
  <c r="M59" i="5"/>
  <c r="L59" i="5"/>
  <c r="N59" i="5" s="1"/>
  <c r="K59" i="5"/>
  <c r="J59" i="5"/>
  <c r="M58" i="5"/>
  <c r="L58" i="5"/>
  <c r="K58" i="5"/>
  <c r="J58" i="5"/>
  <c r="M57" i="5"/>
  <c r="L57" i="5"/>
  <c r="K57" i="5"/>
  <c r="J57" i="5"/>
  <c r="M56" i="5"/>
  <c r="K56" i="5"/>
  <c r="J56" i="5"/>
  <c r="M55" i="5"/>
  <c r="N55" i="5" s="1"/>
  <c r="G4" i="6" s="1"/>
  <c r="L55" i="5"/>
  <c r="K55" i="5"/>
  <c r="J55" i="5"/>
  <c r="M54" i="5"/>
  <c r="K54" i="5"/>
  <c r="J54" i="5"/>
  <c r="M53" i="5"/>
  <c r="K53" i="5"/>
  <c r="J53" i="5"/>
  <c r="L53" i="5" s="1"/>
  <c r="M52" i="5"/>
  <c r="K52" i="5"/>
  <c r="J52" i="5"/>
  <c r="L52" i="5" s="1"/>
  <c r="N52" i="5" s="1"/>
  <c r="P51" i="5"/>
  <c r="M51" i="5"/>
  <c r="N51" i="5" s="1"/>
  <c r="F19" i="6" s="1"/>
  <c r="K51" i="5"/>
  <c r="L51" i="5" s="1"/>
  <c r="J51" i="5"/>
  <c r="M50" i="5"/>
  <c r="K50" i="5"/>
  <c r="J50" i="5"/>
  <c r="M49" i="5"/>
  <c r="K49" i="5"/>
  <c r="J49" i="5"/>
  <c r="L49" i="5" s="1"/>
  <c r="M48" i="5"/>
  <c r="K48" i="5"/>
  <c r="J48" i="5"/>
  <c r="N47" i="5"/>
  <c r="M47" i="5"/>
  <c r="K47" i="5"/>
  <c r="L47" i="5" s="1"/>
  <c r="J47" i="5"/>
  <c r="M46" i="5"/>
  <c r="K46" i="5"/>
  <c r="L46" i="5" s="1"/>
  <c r="N46" i="5" s="1"/>
  <c r="J46" i="5"/>
  <c r="M45" i="5"/>
  <c r="N45" i="5" s="1"/>
  <c r="F13" i="6" s="1"/>
  <c r="L45" i="5"/>
  <c r="K45" i="5"/>
  <c r="J45" i="5"/>
  <c r="M44" i="5"/>
  <c r="K44" i="5"/>
  <c r="J44" i="5"/>
  <c r="L44" i="5" s="1"/>
  <c r="N44" i="5" s="1"/>
  <c r="M43" i="5"/>
  <c r="K43" i="5"/>
  <c r="L43" i="5" s="1"/>
  <c r="N43" i="5" s="1"/>
  <c r="J43" i="5"/>
  <c r="M42" i="5"/>
  <c r="K42" i="5"/>
  <c r="J42" i="5"/>
  <c r="L42" i="5" s="1"/>
  <c r="N42" i="5" s="1"/>
  <c r="M41" i="5"/>
  <c r="K41" i="5"/>
  <c r="L41" i="5" s="1"/>
  <c r="J41" i="5"/>
  <c r="M40" i="5"/>
  <c r="K40" i="5"/>
  <c r="J40" i="5"/>
  <c r="M39" i="5"/>
  <c r="N39" i="5" s="1"/>
  <c r="L39" i="5"/>
  <c r="K39" i="5"/>
  <c r="J39" i="5"/>
  <c r="M38" i="5"/>
  <c r="K38" i="5"/>
  <c r="J38" i="5"/>
  <c r="L38" i="5" s="1"/>
  <c r="M37" i="5"/>
  <c r="K37" i="5"/>
  <c r="J37" i="5"/>
  <c r="L37" i="5" s="1"/>
  <c r="P36" i="5"/>
  <c r="N36" i="5"/>
  <c r="E22" i="6" s="1"/>
  <c r="M36" i="5"/>
  <c r="K36" i="5"/>
  <c r="J36" i="5"/>
  <c r="L36" i="5" s="1"/>
  <c r="M35" i="5"/>
  <c r="K35" i="5"/>
  <c r="L35" i="5" s="1"/>
  <c r="J35" i="5"/>
  <c r="M34" i="5"/>
  <c r="K34" i="5"/>
  <c r="J34" i="5"/>
  <c r="M33" i="5"/>
  <c r="K33" i="5"/>
  <c r="J33" i="5"/>
  <c r="M32" i="5"/>
  <c r="K32" i="5"/>
  <c r="J32" i="5"/>
  <c r="M31" i="5"/>
  <c r="K31" i="5"/>
  <c r="L31" i="5" s="1"/>
  <c r="N31" i="5" s="1"/>
  <c r="J31" i="5"/>
  <c r="M30" i="5"/>
  <c r="K30" i="5"/>
  <c r="L30" i="5" s="1"/>
  <c r="N30" i="5" s="1"/>
  <c r="J30" i="5"/>
  <c r="M29" i="5"/>
  <c r="K29" i="5"/>
  <c r="L29" i="5" s="1"/>
  <c r="J29" i="5"/>
  <c r="M28" i="5"/>
  <c r="K28" i="5"/>
  <c r="J28" i="5"/>
  <c r="M27" i="5"/>
  <c r="K27" i="5"/>
  <c r="L27" i="5" s="1"/>
  <c r="N27" i="5" s="1"/>
  <c r="J27" i="5"/>
  <c r="M26" i="5"/>
  <c r="L26" i="5"/>
  <c r="N26" i="5" s="1"/>
  <c r="K26" i="5"/>
  <c r="J26" i="5"/>
  <c r="M25" i="5"/>
  <c r="L25" i="5"/>
  <c r="K25" i="5"/>
  <c r="J25" i="5"/>
  <c r="M24" i="5"/>
  <c r="K24" i="5"/>
  <c r="J24" i="5"/>
  <c r="L24" i="5" s="1"/>
  <c r="M23" i="5"/>
  <c r="K23" i="5"/>
  <c r="J23" i="5"/>
  <c r="M22" i="5"/>
  <c r="N22" i="5" s="1"/>
  <c r="K22" i="5"/>
  <c r="L22" i="5" s="1"/>
  <c r="J22" i="5"/>
  <c r="M21" i="5"/>
  <c r="K21" i="5"/>
  <c r="J21" i="5"/>
  <c r="L21" i="5" s="1"/>
  <c r="N21" i="5" s="1"/>
  <c r="M20" i="5"/>
  <c r="K20" i="5"/>
  <c r="J20" i="5"/>
  <c r="L20" i="5" s="1"/>
  <c r="M19" i="5"/>
  <c r="K19" i="5"/>
  <c r="J19" i="5"/>
  <c r="M18" i="5"/>
  <c r="K18" i="5"/>
  <c r="L18" i="5" s="1"/>
  <c r="N18" i="5" s="1"/>
  <c r="J18" i="5"/>
  <c r="M17" i="5"/>
  <c r="L17" i="5"/>
  <c r="N17" i="5" s="1"/>
  <c r="K17" i="5"/>
  <c r="J17" i="5"/>
  <c r="M16" i="5"/>
  <c r="K16" i="5"/>
  <c r="L16" i="5" s="1"/>
  <c r="J16" i="5"/>
  <c r="M15" i="5"/>
  <c r="K15" i="5"/>
  <c r="J15" i="5"/>
  <c r="M14" i="5"/>
  <c r="L14" i="5"/>
  <c r="N14" i="5" s="1"/>
  <c r="K14" i="5"/>
  <c r="J14" i="5"/>
  <c r="M13" i="5"/>
  <c r="N13" i="5" s="1"/>
  <c r="K13" i="5"/>
  <c r="J13" i="5"/>
  <c r="L13" i="5" s="1"/>
  <c r="M12" i="5"/>
  <c r="K12" i="5"/>
  <c r="J12" i="5"/>
  <c r="L12" i="5" s="1"/>
  <c r="M11" i="5"/>
  <c r="K11" i="5"/>
  <c r="J11" i="5"/>
  <c r="M10" i="5"/>
  <c r="N10" i="5" s="1"/>
  <c r="L10" i="5"/>
  <c r="K10" i="5"/>
  <c r="J10" i="5"/>
  <c r="M9" i="5"/>
  <c r="K9" i="5"/>
  <c r="J9" i="5"/>
  <c r="L9" i="5" s="1"/>
  <c r="M8" i="5"/>
  <c r="K8" i="5"/>
  <c r="J8" i="5"/>
  <c r="L8" i="5" s="1"/>
  <c r="M7" i="5"/>
  <c r="N7" i="5" s="1"/>
  <c r="K7" i="5"/>
  <c r="J7" i="5"/>
  <c r="L7" i="5" s="1"/>
  <c r="M6" i="5"/>
  <c r="K6" i="5"/>
  <c r="L6" i="5" s="1"/>
  <c r="J6" i="5"/>
  <c r="M5" i="5"/>
  <c r="K5" i="5"/>
  <c r="J5" i="5"/>
  <c r="L5" i="5" s="1"/>
  <c r="N5" i="5" s="1"/>
  <c r="M4" i="5"/>
  <c r="K4" i="5"/>
  <c r="J4" i="5"/>
  <c r="L4" i="5" s="1"/>
  <c r="M3" i="5"/>
  <c r="K3" i="5"/>
  <c r="J3" i="5"/>
  <c r="L3" i="5" s="1"/>
  <c r="N3" i="5" s="1"/>
  <c r="M2" i="5"/>
  <c r="K2" i="5"/>
  <c r="L2" i="5" s="1"/>
  <c r="N2" i="5" s="1"/>
  <c r="J2" i="5"/>
  <c r="D18" i="4"/>
  <c r="E18" i="4" s="1"/>
  <c r="C18" i="4"/>
  <c r="E17" i="4"/>
  <c r="D17" i="4"/>
  <c r="C17" i="4"/>
  <c r="D16" i="4"/>
  <c r="C16" i="4"/>
  <c r="E16" i="4" s="1"/>
  <c r="D15" i="4"/>
  <c r="C15" i="4"/>
  <c r="E15" i="4" s="1"/>
  <c r="E14" i="4"/>
  <c r="D14" i="4"/>
  <c r="C14" i="4"/>
  <c r="M10" i="4"/>
  <c r="L10" i="4"/>
  <c r="K10" i="4"/>
  <c r="J10" i="4"/>
  <c r="I10" i="4"/>
  <c r="H10" i="4"/>
  <c r="G10" i="4"/>
  <c r="F10" i="4"/>
  <c r="E10" i="4"/>
  <c r="D10" i="4"/>
  <c r="C10" i="4"/>
  <c r="M9" i="4"/>
  <c r="L9" i="4"/>
  <c r="K9" i="4"/>
  <c r="J9" i="4"/>
  <c r="I9" i="4"/>
  <c r="H9" i="4"/>
  <c r="G9" i="4"/>
  <c r="F9" i="4"/>
  <c r="E9" i="4"/>
  <c r="D9" i="4"/>
  <c r="C9" i="4"/>
  <c r="M8" i="4"/>
  <c r="L8" i="4"/>
  <c r="K8" i="4"/>
  <c r="J8" i="4"/>
  <c r="I8" i="4"/>
  <c r="H8" i="4"/>
  <c r="G8" i="4"/>
  <c r="F8" i="4"/>
  <c r="E8" i="4"/>
  <c r="D8" i="4"/>
  <c r="C8" i="4"/>
  <c r="M7" i="4"/>
  <c r="L7" i="4"/>
  <c r="K7" i="4"/>
  <c r="J7" i="4"/>
  <c r="I7" i="4"/>
  <c r="H7" i="4"/>
  <c r="G7" i="4"/>
  <c r="F7" i="4"/>
  <c r="E7" i="4"/>
  <c r="D7" i="4"/>
  <c r="C7" i="4"/>
  <c r="M6" i="4"/>
  <c r="L6" i="4"/>
  <c r="K6" i="4"/>
  <c r="J6" i="4"/>
  <c r="I6" i="4"/>
  <c r="H6" i="4"/>
  <c r="G6" i="4"/>
  <c r="F6" i="4"/>
  <c r="E6" i="4"/>
  <c r="D6" i="4"/>
  <c r="C6" i="4"/>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 r="S2" i="3"/>
  <c r="N6" i="5" l="1"/>
  <c r="E12" i="6"/>
  <c r="P26" i="5"/>
  <c r="F14" i="6"/>
  <c r="P46" i="5"/>
  <c r="G13" i="6"/>
  <c r="P62" i="5"/>
  <c r="F12" i="6"/>
  <c r="P44" i="5"/>
  <c r="N9" i="5"/>
  <c r="D18" i="6"/>
  <c r="P14" i="5"/>
  <c r="J21" i="6"/>
  <c r="P123" i="5"/>
  <c r="K11" i="6"/>
  <c r="P130" i="5"/>
  <c r="F10" i="6"/>
  <c r="P42" i="5"/>
  <c r="O12" i="6"/>
  <c r="P203" i="5"/>
  <c r="D4" i="6"/>
  <c r="P2" i="5"/>
  <c r="D11" i="6"/>
  <c r="P7" i="5"/>
  <c r="F7" i="6"/>
  <c r="P39" i="5"/>
  <c r="F20" i="6"/>
  <c r="P52" i="5"/>
  <c r="I10" i="6"/>
  <c r="P95" i="5"/>
  <c r="L21" i="6"/>
  <c r="P156" i="5"/>
  <c r="E13" i="6"/>
  <c r="P27" i="5"/>
  <c r="K21" i="6"/>
  <c r="P140" i="5"/>
  <c r="D9" i="6"/>
  <c r="P5" i="5"/>
  <c r="D21" i="6"/>
  <c r="P17" i="5"/>
  <c r="E8" i="6"/>
  <c r="P22" i="5"/>
  <c r="E16" i="6"/>
  <c r="P30" i="5"/>
  <c r="G14" i="6"/>
  <c r="P63" i="5"/>
  <c r="I13" i="6"/>
  <c r="P98" i="5"/>
  <c r="D7" i="6"/>
  <c r="P3" i="5"/>
  <c r="D14" i="6"/>
  <c r="P10" i="5"/>
  <c r="G10" i="6"/>
  <c r="P59" i="5"/>
  <c r="H11" i="6"/>
  <c r="P79" i="5"/>
  <c r="I4" i="6"/>
  <c r="P91" i="5"/>
  <c r="J10" i="6"/>
  <c r="P112" i="5"/>
  <c r="D17" i="6"/>
  <c r="P13" i="5"/>
  <c r="D22" i="6"/>
  <c r="P18" i="5"/>
  <c r="E7" i="6"/>
  <c r="P21" i="5"/>
  <c r="F11" i="6"/>
  <c r="P43" i="5"/>
  <c r="H7" i="6"/>
  <c r="P75" i="5"/>
  <c r="J20" i="6"/>
  <c r="P122" i="5"/>
  <c r="K12" i="6"/>
  <c r="P131" i="5"/>
  <c r="E17" i="6"/>
  <c r="P31" i="5"/>
  <c r="L19" i="5"/>
  <c r="N19" i="5" s="1"/>
  <c r="N20" i="5"/>
  <c r="L28" i="5"/>
  <c r="N28" i="5" s="1"/>
  <c r="N29" i="5"/>
  <c r="L33" i="5"/>
  <c r="N33" i="5" s="1"/>
  <c r="N49" i="5"/>
  <c r="L82" i="5"/>
  <c r="N82" i="5" s="1"/>
  <c r="L86" i="5"/>
  <c r="P94" i="5"/>
  <c r="N104" i="5"/>
  <c r="J9" i="6"/>
  <c r="P111" i="5"/>
  <c r="L114" i="5"/>
  <c r="N114" i="5" s="1"/>
  <c r="L118" i="5"/>
  <c r="N118" i="5" s="1"/>
  <c r="N137" i="5"/>
  <c r="N13" i="6"/>
  <c r="P187" i="5"/>
  <c r="N20" i="6"/>
  <c r="P194" i="5"/>
  <c r="P15" i="6"/>
  <c r="P224" i="5"/>
  <c r="Q18" i="6"/>
  <c r="P247" i="5"/>
  <c r="Y15" i="6"/>
  <c r="P374" i="5"/>
  <c r="N38" i="5"/>
  <c r="F15" i="6"/>
  <c r="P47" i="5"/>
  <c r="N53" i="5"/>
  <c r="R5" i="6"/>
  <c r="P256" i="5"/>
  <c r="T17" i="6"/>
  <c r="P307" i="5"/>
  <c r="Y13" i="6"/>
  <c r="P372" i="5"/>
  <c r="L15" i="5"/>
  <c r="N15" i="5" s="1"/>
  <c r="N16" i="5"/>
  <c r="L48" i="5"/>
  <c r="N48" i="5" s="1"/>
  <c r="L50" i="5"/>
  <c r="N50" i="5" s="1"/>
  <c r="L54" i="5"/>
  <c r="P55" i="5"/>
  <c r="P67" i="5"/>
  <c r="N69" i="5"/>
  <c r="N86" i="5"/>
  <c r="L110" i="5"/>
  <c r="N110" i="5" s="1"/>
  <c r="M17" i="6"/>
  <c r="P171" i="5"/>
  <c r="M20" i="6"/>
  <c r="P174" i="5"/>
  <c r="N9" i="6"/>
  <c r="P183" i="5"/>
  <c r="O8" i="6"/>
  <c r="P199" i="5"/>
  <c r="L202" i="5"/>
  <c r="N202" i="5" s="1"/>
  <c r="P11" i="6"/>
  <c r="P220" i="5"/>
  <c r="X18" i="6"/>
  <c r="P360" i="5"/>
  <c r="Y20" i="6"/>
  <c r="P379" i="5"/>
  <c r="I22" i="6"/>
  <c r="P107" i="5"/>
  <c r="L16" i="6"/>
  <c r="P151" i="5"/>
  <c r="P16" i="6"/>
  <c r="P225" i="5"/>
  <c r="Q8" i="6"/>
  <c r="P237" i="5"/>
  <c r="L15" i="6"/>
  <c r="P150" i="5"/>
  <c r="L19" i="6"/>
  <c r="P154" i="5"/>
  <c r="L23" i="6"/>
  <c r="P158" i="5"/>
  <c r="N160" i="5"/>
  <c r="M15" i="6"/>
  <c r="P169" i="5"/>
  <c r="N16" i="6"/>
  <c r="P190" i="5"/>
  <c r="N192" i="5"/>
  <c r="P7" i="6"/>
  <c r="P216" i="5"/>
  <c r="Q4" i="6"/>
  <c r="P235" i="5"/>
  <c r="P243" i="5"/>
  <c r="T8" i="6"/>
  <c r="P298" i="5"/>
  <c r="W22" i="6"/>
  <c r="P351" i="5"/>
  <c r="N4" i="5"/>
  <c r="K8" i="6"/>
  <c r="P127" i="5"/>
  <c r="K16" i="6"/>
  <c r="P135" i="5"/>
  <c r="K19" i="6"/>
  <c r="P138" i="5"/>
  <c r="L9" i="6"/>
  <c r="P144" i="5"/>
  <c r="M19" i="6"/>
  <c r="P173" i="5"/>
  <c r="N35" i="5"/>
  <c r="P78" i="5"/>
  <c r="H16" i="6"/>
  <c r="P84" i="5"/>
  <c r="N90" i="5"/>
  <c r="N105" i="5"/>
  <c r="L11" i="5"/>
  <c r="N11" i="5" s="1"/>
  <c r="N12" i="5"/>
  <c r="L32" i="5"/>
  <c r="N32" i="5" s="1"/>
  <c r="L34" i="5"/>
  <c r="N34" i="5" s="1"/>
  <c r="N54" i="5"/>
  <c r="L81" i="5"/>
  <c r="I18" i="6"/>
  <c r="P103" i="5"/>
  <c r="I21" i="6"/>
  <c r="P106" i="5"/>
  <c r="L12" i="6"/>
  <c r="P147" i="5"/>
  <c r="L170" i="5"/>
  <c r="N170" i="5" s="1"/>
  <c r="N8" i="6"/>
  <c r="P182" i="5"/>
  <c r="N207" i="5"/>
  <c r="Q12" i="6"/>
  <c r="P241" i="5"/>
  <c r="R8" i="6"/>
  <c r="P259" i="5"/>
  <c r="R16" i="6"/>
  <c r="P267" i="5"/>
  <c r="S12" i="6"/>
  <c r="P283" i="5"/>
  <c r="T6" i="6"/>
  <c r="P296" i="5"/>
  <c r="G17" i="6"/>
  <c r="P66" i="5"/>
  <c r="J7" i="6"/>
  <c r="P109" i="5"/>
  <c r="L23" i="5"/>
  <c r="N23" i="5" s="1"/>
  <c r="N24" i="5"/>
  <c r="N37" i="5"/>
  <c r="N70" i="5"/>
  <c r="P126" i="5"/>
  <c r="K17" i="6"/>
  <c r="P136" i="5"/>
  <c r="L8" i="6"/>
  <c r="P143" i="5"/>
  <c r="L146" i="5"/>
  <c r="N146" i="5" s="1"/>
  <c r="L17" i="6"/>
  <c r="P152" i="5"/>
  <c r="M13" i="6"/>
  <c r="P167" i="5"/>
  <c r="M25" i="6"/>
  <c r="P179" i="5"/>
  <c r="N14" i="6"/>
  <c r="P188" i="5"/>
  <c r="N21" i="6"/>
  <c r="P195" i="5"/>
  <c r="P14" i="6"/>
  <c r="P223" i="5"/>
  <c r="S4" i="6"/>
  <c r="P275" i="5"/>
  <c r="S22" i="6"/>
  <c r="P293" i="5"/>
  <c r="G15" i="6"/>
  <c r="P64" i="5"/>
  <c r="G19" i="6"/>
  <c r="P68" i="5"/>
  <c r="I14" i="6"/>
  <c r="P99" i="5"/>
  <c r="O14" i="6"/>
  <c r="P205" i="5"/>
  <c r="S16" i="6"/>
  <c r="P287" i="5"/>
  <c r="S20" i="6"/>
  <c r="P291" i="5"/>
  <c r="T9" i="6"/>
  <c r="P299" i="5"/>
  <c r="N8" i="5"/>
  <c r="J4" i="6"/>
  <c r="P108" i="5"/>
  <c r="J17" i="6"/>
  <c r="P119" i="5"/>
  <c r="K20" i="6"/>
  <c r="P139" i="5"/>
  <c r="K22" i="6"/>
  <c r="P141" i="5"/>
  <c r="M9" i="6"/>
  <c r="P163" i="5"/>
  <c r="P45" i="5"/>
  <c r="N58" i="5"/>
  <c r="L65" i="5"/>
  <c r="N65" i="5" s="1"/>
  <c r="P74" i="5"/>
  <c r="P83" i="5"/>
  <c r="N85" i="5"/>
  <c r="N96" i="5"/>
  <c r="N113" i="5"/>
  <c r="J13" i="6"/>
  <c r="P115" i="5"/>
  <c r="L142" i="5"/>
  <c r="N142" i="5" s="1"/>
  <c r="L20" i="6"/>
  <c r="P155" i="5"/>
  <c r="L24" i="6"/>
  <c r="P159" i="5"/>
  <c r="N175" i="5"/>
  <c r="M24" i="6"/>
  <c r="P178" i="5"/>
  <c r="N17" i="6"/>
  <c r="P191" i="5"/>
  <c r="O15" i="6"/>
  <c r="P206" i="5"/>
  <c r="O19" i="6"/>
  <c r="P210" i="5"/>
  <c r="P10" i="6"/>
  <c r="P219" i="5"/>
  <c r="Q15" i="6"/>
  <c r="P244" i="5"/>
  <c r="Q20" i="6"/>
  <c r="P249" i="5"/>
  <c r="AA10" i="6"/>
  <c r="P403" i="5"/>
  <c r="AB21" i="6"/>
  <c r="P431" i="5"/>
  <c r="AF12" i="6"/>
  <c r="P485" i="5"/>
  <c r="AP9" i="6"/>
  <c r="P638" i="5"/>
  <c r="AQ18" i="6"/>
  <c r="P668" i="5"/>
  <c r="L60" i="5"/>
  <c r="N60" i="5" s="1"/>
  <c r="N61" i="5"/>
  <c r="L76" i="5"/>
  <c r="N76" i="5" s="1"/>
  <c r="N77" i="5"/>
  <c r="L92" i="5"/>
  <c r="N92" i="5" s="1"/>
  <c r="N93" i="5"/>
  <c r="L124" i="5"/>
  <c r="N124" i="5" s="1"/>
  <c r="N125" i="5"/>
  <c r="N153" i="5"/>
  <c r="L172" i="5"/>
  <c r="N172" i="5" s="1"/>
  <c r="N185" i="5"/>
  <c r="L204" i="5"/>
  <c r="N204" i="5" s="1"/>
  <c r="L211" i="5"/>
  <c r="N211" i="5" s="1"/>
  <c r="N214" i="5"/>
  <c r="N234" i="5"/>
  <c r="L242" i="5"/>
  <c r="N242" i="5" s="1"/>
  <c r="N251" i="5"/>
  <c r="N258" i="5"/>
  <c r="S5" i="6"/>
  <c r="P276" i="5"/>
  <c r="N311" i="5"/>
  <c r="N322" i="5"/>
  <c r="V14" i="6"/>
  <c r="P331" i="5"/>
  <c r="X19" i="6"/>
  <c r="P361" i="5"/>
  <c r="Y21" i="6"/>
  <c r="P380" i="5"/>
  <c r="Z15" i="6"/>
  <c r="P391" i="5"/>
  <c r="Z19" i="6"/>
  <c r="P395" i="5"/>
  <c r="AA20" i="6"/>
  <c r="P413" i="5"/>
  <c r="AA22" i="6"/>
  <c r="P415" i="5"/>
  <c r="AC7" i="6"/>
  <c r="P434" i="5"/>
  <c r="AF9" i="6"/>
  <c r="P482" i="5"/>
  <c r="N145" i="5"/>
  <c r="N165" i="5"/>
  <c r="N197" i="5"/>
  <c r="N226" i="5"/>
  <c r="P23" i="6"/>
  <c r="P232" i="5"/>
  <c r="N238" i="5"/>
  <c r="R20" i="6"/>
  <c r="P271" i="5"/>
  <c r="N282" i="5"/>
  <c r="T10" i="6"/>
  <c r="P300" i="5"/>
  <c r="V18" i="6"/>
  <c r="P335" i="5"/>
  <c r="N346" i="5"/>
  <c r="X17" i="6"/>
  <c r="P359" i="5"/>
  <c r="X21" i="6"/>
  <c r="P363" i="5"/>
  <c r="L381" i="5"/>
  <c r="N381" i="5" s="1"/>
  <c r="Z7" i="6"/>
  <c r="P383" i="5"/>
  <c r="P387" i="5"/>
  <c r="N25" i="5"/>
  <c r="L40" i="5"/>
  <c r="N40" i="5" s="1"/>
  <c r="N41" i="5"/>
  <c r="L56" i="5"/>
  <c r="N56" i="5" s="1"/>
  <c r="N57" i="5"/>
  <c r="L72" i="5"/>
  <c r="N72" i="5" s="1"/>
  <c r="N73" i="5"/>
  <c r="L88" i="5"/>
  <c r="N88" i="5" s="1"/>
  <c r="N89" i="5"/>
  <c r="L100" i="5"/>
  <c r="N100" i="5" s="1"/>
  <c r="N101" i="5"/>
  <c r="L132" i="5"/>
  <c r="N132" i="5" s="1"/>
  <c r="N133" i="5"/>
  <c r="L164" i="5"/>
  <c r="N164" i="5" s="1"/>
  <c r="N177" i="5"/>
  <c r="L196" i="5"/>
  <c r="N196" i="5" s="1"/>
  <c r="L213" i="5"/>
  <c r="N213" i="5" s="1"/>
  <c r="L227" i="5"/>
  <c r="P228" i="5"/>
  <c r="L231" i="5"/>
  <c r="N231" i="5" s="1"/>
  <c r="R9" i="6"/>
  <c r="P260" i="5"/>
  <c r="P280" i="5"/>
  <c r="N295" i="5"/>
  <c r="N306" i="5"/>
  <c r="U12" i="6"/>
  <c r="P315" i="5"/>
  <c r="P344" i="5"/>
  <c r="Y12" i="6"/>
  <c r="P371" i="5"/>
  <c r="AA6" i="6"/>
  <c r="P399" i="5"/>
  <c r="AD11" i="6"/>
  <c r="P453" i="5"/>
  <c r="L120" i="5"/>
  <c r="N120" i="5" s="1"/>
  <c r="N121" i="5"/>
  <c r="N157" i="5"/>
  <c r="L176" i="5"/>
  <c r="N176" i="5" s="1"/>
  <c r="N189" i="5"/>
  <c r="O18" i="6"/>
  <c r="P209" i="5"/>
  <c r="Q11" i="6"/>
  <c r="P240" i="5"/>
  <c r="N255" i="5"/>
  <c r="N266" i="5"/>
  <c r="S13" i="6"/>
  <c r="P284" i="5"/>
  <c r="U16" i="6"/>
  <c r="P319" i="5"/>
  <c r="N330" i="5"/>
  <c r="W4" i="6"/>
  <c r="P339" i="5"/>
  <c r="AB8" i="6"/>
  <c r="P418" i="5"/>
  <c r="AB18" i="6"/>
  <c r="P428" i="5"/>
  <c r="AD16" i="6"/>
  <c r="P458" i="5"/>
  <c r="AH8" i="6"/>
  <c r="P515" i="5"/>
  <c r="AH10" i="6"/>
  <c r="P517" i="5"/>
  <c r="N227" i="5"/>
  <c r="P264" i="5"/>
  <c r="P277" i="5"/>
  <c r="S8" i="6"/>
  <c r="P279" i="5"/>
  <c r="N290" i="5"/>
  <c r="P328" i="5"/>
  <c r="P341" i="5"/>
  <c r="W14" i="6"/>
  <c r="P343" i="5"/>
  <c r="N354" i="5"/>
  <c r="P367" i="5"/>
  <c r="AA11" i="6"/>
  <c r="P404" i="5"/>
  <c r="AG20" i="6"/>
  <c r="P510" i="5"/>
  <c r="L96" i="5"/>
  <c r="N97" i="5"/>
  <c r="L128" i="5"/>
  <c r="N128" i="5" s="1"/>
  <c r="N129" i="5"/>
  <c r="N149" i="5"/>
  <c r="L168" i="5"/>
  <c r="N168" i="5" s="1"/>
  <c r="N181" i="5"/>
  <c r="P184" i="5"/>
  <c r="L200" i="5"/>
  <c r="N200" i="5" s="1"/>
  <c r="P201" i="5"/>
  <c r="P215" i="5"/>
  <c r="P233" i="5"/>
  <c r="N250" i="5"/>
  <c r="R17" i="6"/>
  <c r="P268" i="5"/>
  <c r="T13" i="6"/>
  <c r="P303" i="5"/>
  <c r="N314" i="5"/>
  <c r="U20" i="6"/>
  <c r="P323" i="5"/>
  <c r="P352" i="5"/>
  <c r="Z12" i="6"/>
  <c r="P388" i="5"/>
  <c r="Z18" i="6"/>
  <c r="P394" i="5"/>
  <c r="AB4" i="6"/>
  <c r="P416" i="5"/>
  <c r="AB16" i="6"/>
  <c r="P426" i="5"/>
  <c r="AC13" i="6"/>
  <c r="P440" i="5"/>
  <c r="AE6" i="6"/>
  <c r="P463" i="5"/>
  <c r="L80" i="5"/>
  <c r="N80" i="5" s="1"/>
  <c r="N81" i="5"/>
  <c r="L116" i="5"/>
  <c r="N116" i="5" s="1"/>
  <c r="N117" i="5"/>
  <c r="L148" i="5"/>
  <c r="N148" i="5" s="1"/>
  <c r="N161" i="5"/>
  <c r="L180" i="5"/>
  <c r="N180" i="5" s="1"/>
  <c r="P186" i="5"/>
  <c r="N193" i="5"/>
  <c r="Q10" i="6"/>
  <c r="P239" i="5"/>
  <c r="Q19" i="6"/>
  <c r="P248" i="5"/>
  <c r="R12" i="6"/>
  <c r="P263" i="5"/>
  <c r="N274" i="5"/>
  <c r="S21" i="6"/>
  <c r="P292" i="5"/>
  <c r="V4" i="6"/>
  <c r="P327" i="5"/>
  <c r="N338" i="5"/>
  <c r="W18" i="6"/>
  <c r="P347" i="5"/>
  <c r="X20" i="6"/>
  <c r="P362" i="5"/>
  <c r="Z8" i="6"/>
  <c r="P384" i="5"/>
  <c r="Z16" i="6"/>
  <c r="P392" i="5"/>
  <c r="N406" i="5"/>
  <c r="N474" i="5"/>
  <c r="AG16" i="6"/>
  <c r="P506" i="5"/>
  <c r="N522" i="5"/>
  <c r="AI22" i="6"/>
  <c r="P542" i="5"/>
  <c r="AN4" i="6"/>
  <c r="P600" i="5"/>
  <c r="AN12" i="6"/>
  <c r="P602" i="5"/>
  <c r="L257" i="5"/>
  <c r="N257" i="5" s="1"/>
  <c r="L265" i="5"/>
  <c r="N265" i="5" s="1"/>
  <c r="L273" i="5"/>
  <c r="N273" i="5" s="1"/>
  <c r="L281" i="5"/>
  <c r="N281" i="5" s="1"/>
  <c r="L289" i="5"/>
  <c r="N289" i="5" s="1"/>
  <c r="L297" i="5"/>
  <c r="N297" i="5" s="1"/>
  <c r="L305" i="5"/>
  <c r="N305" i="5" s="1"/>
  <c r="L313" i="5"/>
  <c r="N313" i="5" s="1"/>
  <c r="L321" i="5"/>
  <c r="N321" i="5" s="1"/>
  <c r="L329" i="5"/>
  <c r="N329" i="5" s="1"/>
  <c r="L337" i="5"/>
  <c r="N337" i="5" s="1"/>
  <c r="L345" i="5"/>
  <c r="N345" i="5" s="1"/>
  <c r="L353" i="5"/>
  <c r="N353" i="5" s="1"/>
  <c r="L373" i="5"/>
  <c r="N373" i="5" s="1"/>
  <c r="N386" i="5"/>
  <c r="L405" i="5"/>
  <c r="N405" i="5" s="1"/>
  <c r="P411" i="5"/>
  <c r="P420" i="5"/>
  <c r="N422" i="5"/>
  <c r="P436" i="5"/>
  <c r="L452" i="5"/>
  <c r="N472" i="5"/>
  <c r="AG14" i="6"/>
  <c r="P504" i="5"/>
  <c r="AH16" i="6"/>
  <c r="P523" i="5"/>
  <c r="P547" i="5"/>
  <c r="AJ20" i="6"/>
  <c r="P554" i="5"/>
  <c r="AM4" i="6"/>
  <c r="P586" i="5"/>
  <c r="L221" i="5"/>
  <c r="N221" i="5" s="1"/>
  <c r="N222" i="5"/>
  <c r="L245" i="5"/>
  <c r="N245" i="5" s="1"/>
  <c r="N246" i="5"/>
  <c r="X22" i="6"/>
  <c r="P364" i="5"/>
  <c r="N366" i="5"/>
  <c r="L385" i="5"/>
  <c r="N385" i="5" s="1"/>
  <c r="Z20" i="6"/>
  <c r="P396" i="5"/>
  <c r="N398" i="5"/>
  <c r="L417" i="5"/>
  <c r="N430" i="5"/>
  <c r="L433" i="5"/>
  <c r="AD7" i="6"/>
  <c r="P449" i="5"/>
  <c r="AG8" i="6"/>
  <c r="P498" i="5"/>
  <c r="AI18" i="6"/>
  <c r="P538" i="5"/>
  <c r="AM22" i="6"/>
  <c r="P598" i="5"/>
  <c r="Y17" i="6"/>
  <c r="P376" i="5"/>
  <c r="N378" i="5"/>
  <c r="P393" i="5"/>
  <c r="AA15" i="6"/>
  <c r="P408" i="5"/>
  <c r="N410" i="5"/>
  <c r="AC18" i="6"/>
  <c r="P445" i="5"/>
  <c r="AF17" i="6"/>
  <c r="P490" i="5"/>
  <c r="AH11" i="6"/>
  <c r="P518" i="5"/>
  <c r="AN20" i="6"/>
  <c r="P610" i="5"/>
  <c r="AP8" i="6"/>
  <c r="P637" i="5"/>
  <c r="L217" i="5"/>
  <c r="N217" i="5" s="1"/>
  <c r="N218" i="5"/>
  <c r="L253" i="5"/>
  <c r="N253" i="5" s="1"/>
  <c r="N254" i="5"/>
  <c r="N262" i="5"/>
  <c r="N270" i="5"/>
  <c r="N278" i="5"/>
  <c r="N286" i="5"/>
  <c r="N294" i="5"/>
  <c r="N302" i="5"/>
  <c r="P308" i="5"/>
  <c r="N310" i="5"/>
  <c r="P316" i="5"/>
  <c r="N318" i="5"/>
  <c r="P324" i="5"/>
  <c r="N326" i="5"/>
  <c r="P332" i="5"/>
  <c r="N334" i="5"/>
  <c r="P340" i="5"/>
  <c r="N342" i="5"/>
  <c r="P348" i="5"/>
  <c r="N350" i="5"/>
  <c r="P356" i="5"/>
  <c r="N358" i="5"/>
  <c r="L377" i="5"/>
  <c r="N377" i="5" s="1"/>
  <c r="N390" i="5"/>
  <c r="L409" i="5"/>
  <c r="N409" i="5" s="1"/>
  <c r="N419" i="5"/>
  <c r="N435" i="5"/>
  <c r="AC14" i="6"/>
  <c r="P441" i="5"/>
  <c r="AD12" i="6"/>
  <c r="P454" i="5"/>
  <c r="AE20" i="6"/>
  <c r="P477" i="5"/>
  <c r="N481" i="5"/>
  <c r="AH7" i="6"/>
  <c r="P514" i="5"/>
  <c r="AJ12" i="6"/>
  <c r="P546" i="5"/>
  <c r="Y9" i="6"/>
  <c r="P368" i="5"/>
  <c r="N370" i="5"/>
  <c r="AA7" i="6"/>
  <c r="P400" i="5"/>
  <c r="N402" i="5"/>
  <c r="AB11" i="6"/>
  <c r="P421" i="5"/>
  <c r="N427" i="5"/>
  <c r="AC10" i="6"/>
  <c r="P437" i="5"/>
  <c r="AD8" i="6"/>
  <c r="P450" i="5"/>
  <c r="AG7" i="6"/>
  <c r="P497" i="5"/>
  <c r="AI15" i="6"/>
  <c r="P535" i="5"/>
  <c r="AL12" i="6"/>
  <c r="P574" i="5"/>
  <c r="L229" i="5"/>
  <c r="N229" i="5" s="1"/>
  <c r="N230" i="5"/>
  <c r="P355" i="5"/>
  <c r="L369" i="5"/>
  <c r="N369" i="5" s="1"/>
  <c r="P375" i="5"/>
  <c r="N382" i="5"/>
  <c r="L401" i="5"/>
  <c r="N401" i="5" s="1"/>
  <c r="AA19" i="6"/>
  <c r="P412" i="5"/>
  <c r="AA21" i="6"/>
  <c r="P414" i="5"/>
  <c r="AB13" i="6"/>
  <c r="P423" i="5"/>
  <c r="AB19" i="6"/>
  <c r="P429" i="5"/>
  <c r="P448" i="5"/>
  <c r="AF13" i="6"/>
  <c r="P486" i="5"/>
  <c r="AM19" i="6"/>
  <c r="P595" i="5"/>
  <c r="AN14" i="6"/>
  <c r="P604" i="5"/>
  <c r="N464" i="5"/>
  <c r="N513" i="5"/>
  <c r="AH13" i="6"/>
  <c r="P520" i="5"/>
  <c r="N533" i="5"/>
  <c r="AO11" i="6"/>
  <c r="P619" i="5"/>
  <c r="AO13" i="6"/>
  <c r="P621" i="5"/>
  <c r="AP7" i="6"/>
  <c r="P636" i="5"/>
  <c r="N644" i="5"/>
  <c r="AQ4" i="6"/>
  <c r="P656" i="5"/>
  <c r="L424" i="5"/>
  <c r="N424" i="5" s="1"/>
  <c r="N425" i="5"/>
  <c r="L442" i="5"/>
  <c r="N442" i="5" s="1"/>
  <c r="N443" i="5"/>
  <c r="L455" i="5"/>
  <c r="N455" i="5" s="1"/>
  <c r="N456" i="5"/>
  <c r="N502" i="5"/>
  <c r="L519" i="5"/>
  <c r="N519" i="5" s="1"/>
  <c r="L521" i="5"/>
  <c r="P531" i="5"/>
  <c r="N537" i="5"/>
  <c r="N566" i="5"/>
  <c r="AK22" i="6"/>
  <c r="P570" i="5"/>
  <c r="AM20" i="6"/>
  <c r="P596" i="5"/>
  <c r="N613" i="5"/>
  <c r="AO24" i="6"/>
  <c r="P632" i="5"/>
  <c r="AR9" i="6"/>
  <c r="P676" i="5"/>
  <c r="AS15" i="6"/>
  <c r="P700" i="5"/>
  <c r="AT15" i="6"/>
  <c r="P717" i="5"/>
  <c r="AT19" i="6"/>
  <c r="P721" i="5"/>
  <c r="AU4" i="6"/>
  <c r="P725" i="5"/>
  <c r="AU19" i="6"/>
  <c r="P740" i="5"/>
  <c r="AH21" i="6"/>
  <c r="P528" i="5"/>
  <c r="AK4" i="6"/>
  <c r="P558" i="5"/>
  <c r="AK20" i="6"/>
  <c r="P568" i="5"/>
  <c r="AL14" i="6"/>
  <c r="P576" i="5"/>
  <c r="AL16" i="6"/>
  <c r="P578" i="5"/>
  <c r="AM14" i="6"/>
  <c r="P590" i="5"/>
  <c r="AM18" i="6"/>
  <c r="P594" i="5"/>
  <c r="N609" i="5"/>
  <c r="AP16" i="6"/>
  <c r="P645" i="5"/>
  <c r="N521" i="5"/>
  <c r="P526" i="5"/>
  <c r="AJ18" i="6"/>
  <c r="P552" i="5"/>
  <c r="P562" i="5"/>
  <c r="AL22" i="6"/>
  <c r="P584" i="5"/>
  <c r="P605" i="5"/>
  <c r="AN21" i="6"/>
  <c r="P611" i="5"/>
  <c r="AO14" i="6"/>
  <c r="P622" i="5"/>
  <c r="P624" i="5"/>
  <c r="P626" i="5"/>
  <c r="N628" i="5"/>
  <c r="AT11" i="6"/>
  <c r="P713" i="5"/>
  <c r="N473" i="5"/>
  <c r="N478" i="5"/>
  <c r="N488" i="5"/>
  <c r="N501" i="5"/>
  <c r="N512" i="5"/>
  <c r="P530" i="5"/>
  <c r="N532" i="5"/>
  <c r="N545" i="5"/>
  <c r="P550" i="5"/>
  <c r="AK15" i="6"/>
  <c r="P563" i="5"/>
  <c r="P582" i="5"/>
  <c r="N597" i="5"/>
  <c r="AO12" i="6"/>
  <c r="P620" i="5"/>
  <c r="N635" i="5"/>
  <c r="AQ10" i="6"/>
  <c r="P660" i="5"/>
  <c r="AR17" i="6"/>
  <c r="P684" i="5"/>
  <c r="N417" i="5"/>
  <c r="L432" i="5"/>
  <c r="N432" i="5" s="1"/>
  <c r="N433" i="5"/>
  <c r="L438" i="5"/>
  <c r="N438" i="5" s="1"/>
  <c r="N439" i="5"/>
  <c r="L446" i="5"/>
  <c r="N446" i="5" s="1"/>
  <c r="N447" i="5"/>
  <c r="N465" i="5"/>
  <c r="L469" i="5"/>
  <c r="N469" i="5" s="1"/>
  <c r="N470" i="5"/>
  <c r="L487" i="5"/>
  <c r="N487" i="5" s="1"/>
  <c r="L489" i="5"/>
  <c r="N489" i="5" s="1"/>
  <c r="P499" i="5"/>
  <c r="N505" i="5"/>
  <c r="N534" i="5"/>
  <c r="L551" i="5"/>
  <c r="N551" i="5" s="1"/>
  <c r="N561" i="5"/>
  <c r="N569" i="5"/>
  <c r="L583" i="5"/>
  <c r="N583" i="5" s="1"/>
  <c r="N593" i="5"/>
  <c r="AO8" i="6"/>
  <c r="P616" i="5"/>
  <c r="AO21" i="6"/>
  <c r="P629" i="5"/>
  <c r="AS20" i="6"/>
  <c r="P705" i="5"/>
  <c r="N457" i="5"/>
  <c r="L461" i="5"/>
  <c r="N461" i="5" s="1"/>
  <c r="N462" i="5"/>
  <c r="L479" i="5"/>
  <c r="N479" i="5" s="1"/>
  <c r="N480" i="5"/>
  <c r="L491" i="5"/>
  <c r="N491" i="5" s="1"/>
  <c r="N496" i="5"/>
  <c r="N516" i="5"/>
  <c r="L524" i="5"/>
  <c r="N524" i="5" s="1"/>
  <c r="N529" i="5"/>
  <c r="AI16" i="6"/>
  <c r="P536" i="5"/>
  <c r="L544" i="5"/>
  <c r="N544" i="5" s="1"/>
  <c r="N549" i="5"/>
  <c r="N553" i="5"/>
  <c r="P571" i="5"/>
  <c r="N585" i="5"/>
  <c r="AN16" i="6"/>
  <c r="P606" i="5"/>
  <c r="AN22" i="6"/>
  <c r="P612" i="5"/>
  <c r="AO4" i="6"/>
  <c r="P614" i="5"/>
  <c r="AP19" i="6"/>
  <c r="P648" i="5"/>
  <c r="AS7" i="6"/>
  <c r="P692" i="5"/>
  <c r="L451" i="5"/>
  <c r="N451" i="5" s="1"/>
  <c r="N452" i="5"/>
  <c r="L467" i="5"/>
  <c r="N467" i="5" s="1"/>
  <c r="N468" i="5"/>
  <c r="L483" i="5"/>
  <c r="N483" i="5" s="1"/>
  <c r="N484" i="5"/>
  <c r="N492" i="5"/>
  <c r="N509" i="5"/>
  <c r="L511" i="5"/>
  <c r="N511" i="5" s="1"/>
  <c r="L516" i="5"/>
  <c r="N541" i="5"/>
  <c r="L543" i="5"/>
  <c r="N543" i="5" s="1"/>
  <c r="L548" i="5"/>
  <c r="N548" i="5" s="1"/>
  <c r="N556" i="5"/>
  <c r="N573" i="5"/>
  <c r="L575" i="5"/>
  <c r="N575" i="5" s="1"/>
  <c r="L580" i="5"/>
  <c r="N588" i="5"/>
  <c r="L599" i="5"/>
  <c r="N599" i="5" s="1"/>
  <c r="L615" i="5"/>
  <c r="L631" i="5"/>
  <c r="L647" i="5"/>
  <c r="N651" i="5"/>
  <c r="P653" i="5"/>
  <c r="AQ19" i="6"/>
  <c r="P669" i="5"/>
  <c r="AR18" i="6"/>
  <c r="P685" i="5"/>
  <c r="AS16" i="6"/>
  <c r="P701" i="5"/>
  <c r="AU11" i="6"/>
  <c r="P732" i="5"/>
  <c r="AU7" i="6"/>
  <c r="P728" i="5"/>
  <c r="N565" i="5"/>
  <c r="L567" i="5"/>
  <c r="N567" i="5" s="1"/>
  <c r="L572" i="5"/>
  <c r="N580" i="5"/>
  <c r="L603" i="5"/>
  <c r="N603" i="5" s="1"/>
  <c r="N617" i="5"/>
  <c r="N625" i="5"/>
  <c r="N633" i="5"/>
  <c r="N641" i="5"/>
  <c r="AP20" i="6"/>
  <c r="P649" i="5"/>
  <c r="AQ15" i="6"/>
  <c r="P665" i="5"/>
  <c r="AR14" i="6"/>
  <c r="P681" i="5"/>
  <c r="AS12" i="6"/>
  <c r="P697" i="5"/>
  <c r="N560" i="5"/>
  <c r="N577" i="5"/>
  <c r="N592" i="5"/>
  <c r="N601" i="5"/>
  <c r="N608" i="5"/>
  <c r="P627" i="5"/>
  <c r="AP21" i="6"/>
  <c r="P650" i="5"/>
  <c r="AP25" i="6"/>
  <c r="P654" i="5"/>
  <c r="P672" i="5"/>
  <c r="P688" i="5"/>
  <c r="N708" i="5"/>
  <c r="AT18" i="6"/>
  <c r="P720" i="5"/>
  <c r="AU16" i="6"/>
  <c r="P737" i="5"/>
  <c r="L459" i="5"/>
  <c r="N459" i="5" s="1"/>
  <c r="N460" i="5"/>
  <c r="L475" i="5"/>
  <c r="N475" i="5" s="1"/>
  <c r="N476" i="5"/>
  <c r="N493" i="5"/>
  <c r="L495" i="5"/>
  <c r="N495" i="5" s="1"/>
  <c r="L500" i="5"/>
  <c r="N500" i="5" s="1"/>
  <c r="N508" i="5"/>
  <c r="N525" i="5"/>
  <c r="L527" i="5"/>
  <c r="N527" i="5" s="1"/>
  <c r="L532" i="5"/>
  <c r="N540" i="5"/>
  <c r="N557" i="5"/>
  <c r="L559" i="5"/>
  <c r="N559" i="5" s="1"/>
  <c r="L564" i="5"/>
  <c r="N564" i="5" s="1"/>
  <c r="N572" i="5"/>
  <c r="N589" i="5"/>
  <c r="L591" i="5"/>
  <c r="N591" i="5" s="1"/>
  <c r="L607" i="5"/>
  <c r="N607" i="5" s="1"/>
  <c r="AP23" i="6"/>
  <c r="P652" i="5"/>
  <c r="AQ11" i="6"/>
  <c r="P661" i="5"/>
  <c r="AR10" i="6"/>
  <c r="P677" i="5"/>
  <c r="AS8" i="6"/>
  <c r="P693" i="5"/>
  <c r="AT8" i="6"/>
  <c r="P710" i="5"/>
  <c r="AT10" i="6"/>
  <c r="P712" i="5"/>
  <c r="L719" i="5"/>
  <c r="N666" i="5"/>
  <c r="AT14" i="6"/>
  <c r="P716" i="5"/>
  <c r="AT21" i="6"/>
  <c r="P723" i="5"/>
  <c r="N727" i="5"/>
  <c r="AQ7" i="6"/>
  <c r="P657" i="5"/>
  <c r="L667" i="5"/>
  <c r="N667" i="5" s="1"/>
  <c r="AR4" i="6"/>
  <c r="P673" i="5"/>
  <c r="L683" i="5"/>
  <c r="N683" i="5" s="1"/>
  <c r="AR22" i="6"/>
  <c r="P689" i="5"/>
  <c r="L699" i="5"/>
  <c r="N699" i="5" s="1"/>
  <c r="N623" i="5"/>
  <c r="N639" i="5"/>
  <c r="N655" i="5"/>
  <c r="N663" i="5"/>
  <c r="N671" i="5"/>
  <c r="N679" i="5"/>
  <c r="N687" i="5"/>
  <c r="N695" i="5"/>
  <c r="N703" i="5"/>
  <c r="N735" i="5"/>
  <c r="L662" i="5"/>
  <c r="L670" i="5"/>
  <c r="N670" i="5" s="1"/>
  <c r="L678" i="5"/>
  <c r="N678" i="5" s="1"/>
  <c r="L686" i="5"/>
  <c r="N686" i="5" s="1"/>
  <c r="L694" i="5"/>
  <c r="N694" i="5" s="1"/>
  <c r="L702" i="5"/>
  <c r="N715" i="5"/>
  <c r="L722" i="5"/>
  <c r="N730" i="5"/>
  <c r="P733" i="5"/>
  <c r="AU21" i="6"/>
  <c r="P742" i="5"/>
  <c r="N662" i="5"/>
  <c r="N702" i="5"/>
  <c r="N707" i="5"/>
  <c r="L714" i="5"/>
  <c r="N722" i="5"/>
  <c r="N739" i="5"/>
  <c r="L741" i="5"/>
  <c r="N741" i="5" s="1"/>
  <c r="N615" i="5"/>
  <c r="L630" i="5"/>
  <c r="N630" i="5" s="1"/>
  <c r="N631" i="5"/>
  <c r="L646" i="5"/>
  <c r="N646" i="5" s="1"/>
  <c r="N647" i="5"/>
  <c r="N659" i="5"/>
  <c r="N675" i="5"/>
  <c r="N691" i="5"/>
  <c r="N719" i="5"/>
  <c r="L726" i="5"/>
  <c r="N734" i="5"/>
  <c r="L658" i="5"/>
  <c r="N658" i="5" s="1"/>
  <c r="L666" i="5"/>
  <c r="L674" i="5"/>
  <c r="N674" i="5" s="1"/>
  <c r="L682" i="5"/>
  <c r="N682" i="5" s="1"/>
  <c r="L690" i="5"/>
  <c r="N690" i="5" s="1"/>
  <c r="L698" i="5"/>
  <c r="N698" i="5" s="1"/>
  <c r="L706" i="5"/>
  <c r="N706" i="5" s="1"/>
  <c r="N714" i="5"/>
  <c r="N731" i="5"/>
  <c r="L738" i="5"/>
  <c r="N738" i="5" s="1"/>
  <c r="AU22" i="6"/>
  <c r="P743" i="5"/>
  <c r="N711" i="5"/>
  <c r="L718" i="5"/>
  <c r="N718" i="5" s="1"/>
  <c r="N726" i="5"/>
  <c r="N14" i="7"/>
  <c r="N19" i="7"/>
  <c r="N41" i="7"/>
  <c r="N51" i="7"/>
  <c r="N73" i="7"/>
  <c r="N83" i="7"/>
  <c r="N105" i="7"/>
  <c r="N115" i="7"/>
  <c r="N137" i="7"/>
  <c r="N142" i="7"/>
  <c r="N147" i="7"/>
  <c r="N152" i="7"/>
  <c r="M3" i="10"/>
  <c r="M33" i="10"/>
  <c r="M43" i="10"/>
  <c r="M65" i="10"/>
  <c r="M75" i="10"/>
  <c r="M90" i="10"/>
  <c r="N39" i="7"/>
  <c r="N71" i="7"/>
  <c r="N103" i="7"/>
  <c r="N135" i="7"/>
  <c r="M11" i="10"/>
  <c r="M26" i="10"/>
  <c r="M36" i="10"/>
  <c r="M58" i="10"/>
  <c r="M68" i="10"/>
  <c r="M78" i="10"/>
  <c r="N7" i="7"/>
  <c r="N17" i="7"/>
  <c r="N27" i="7"/>
  <c r="N49" i="7"/>
  <c r="N59" i="7"/>
  <c r="N91" i="7"/>
  <c r="N113" i="7"/>
  <c r="N123" i="7"/>
  <c r="N145" i="7"/>
  <c r="N150" i="7"/>
  <c r="N155" i="7"/>
  <c r="M19" i="10"/>
  <c r="M41" i="10"/>
  <c r="M51" i="10"/>
  <c r="M73" i="10"/>
  <c r="M93" i="10"/>
  <c r="N15" i="7"/>
  <c r="N47" i="7"/>
  <c r="N143" i="7"/>
  <c r="M4" i="10"/>
  <c r="M9" i="10"/>
  <c r="M34" i="10"/>
  <c r="M44" i="10"/>
  <c r="M66" i="10"/>
  <c r="M76" i="10"/>
  <c r="M86" i="10"/>
  <c r="N25" i="7"/>
  <c r="N57" i="7"/>
  <c r="N89" i="7"/>
  <c r="M12" i="10"/>
  <c r="M17" i="10"/>
  <c r="M27" i="10"/>
  <c r="M49" i="10"/>
  <c r="M59" i="10"/>
  <c r="AS14" i="6" l="1"/>
  <c r="P699" i="5"/>
  <c r="AQ8" i="6"/>
  <c r="P658" i="5"/>
  <c r="AE12" i="6"/>
  <c r="P469" i="5"/>
  <c r="I15" i="6"/>
  <c r="P100" i="5"/>
  <c r="F8" i="6"/>
  <c r="P40" i="5"/>
  <c r="AG10" i="6"/>
  <c r="P500" i="5"/>
  <c r="K9" i="6"/>
  <c r="P128" i="5"/>
  <c r="O22" i="6"/>
  <c r="P213" i="5"/>
  <c r="Q13" i="6"/>
  <c r="P242" i="5"/>
  <c r="D15" i="6"/>
  <c r="P11" i="5"/>
  <c r="AS21" i="6"/>
  <c r="P706" i="5"/>
  <c r="AS9" i="6"/>
  <c r="P694" i="5"/>
  <c r="AJ4" i="6"/>
  <c r="P544" i="5"/>
  <c r="N22" i="6"/>
  <c r="P196" i="5"/>
  <c r="H20" i="6"/>
  <c r="P88" i="5"/>
  <c r="AS13" i="6"/>
  <c r="P698" i="5"/>
  <c r="AR19" i="6"/>
  <c r="P686" i="5"/>
  <c r="AD9" i="6"/>
  <c r="P451" i="5"/>
  <c r="AC19" i="6"/>
  <c r="P446" i="5"/>
  <c r="AC15" i="6"/>
  <c r="P442" i="5"/>
  <c r="O9" i="6"/>
  <c r="P200" i="5"/>
  <c r="M10" i="6"/>
  <c r="P164" i="5"/>
  <c r="H4" i="6"/>
  <c r="P72" i="5"/>
  <c r="AT16" i="6"/>
  <c r="P718" i="5"/>
  <c r="AS4" i="6"/>
  <c r="P690" i="5"/>
  <c r="AR11" i="6"/>
  <c r="P678" i="5"/>
  <c r="AR16" i="6"/>
  <c r="P683" i="5"/>
  <c r="AR15" i="6"/>
  <c r="P682" i="5"/>
  <c r="AQ20" i="6"/>
  <c r="P670" i="5"/>
  <c r="AD19" i="6"/>
  <c r="P461" i="5"/>
  <c r="AF16" i="6"/>
  <c r="P489" i="5"/>
  <c r="AC11" i="6"/>
  <c r="P438" i="5"/>
  <c r="AB14" i="6"/>
  <c r="P424" i="5"/>
  <c r="AR7" i="6"/>
  <c r="P674" i="5"/>
  <c r="AH17" i="6"/>
  <c r="P524" i="5"/>
  <c r="M14" i="6"/>
  <c r="P168" i="5"/>
  <c r="K13" i="6"/>
  <c r="P132" i="5"/>
  <c r="G7" i="6"/>
  <c r="P56" i="5"/>
  <c r="G16" i="6"/>
  <c r="P65" i="5"/>
  <c r="E20" i="6"/>
  <c r="P34" i="5"/>
  <c r="AK16" i="6"/>
  <c r="P564" i="5"/>
  <c r="AU17" i="6"/>
  <c r="P738" i="5"/>
  <c r="AQ17" i="6"/>
  <c r="P667" i="5"/>
  <c r="AD17" i="6"/>
  <c r="P459" i="5"/>
  <c r="AJ14" i="6"/>
  <c r="P548" i="5"/>
  <c r="AF10" i="6"/>
  <c r="P483" i="5"/>
  <c r="AB22" i="6"/>
  <c r="P432" i="5"/>
  <c r="E18" i="6"/>
  <c r="P32" i="5"/>
  <c r="E19" i="6"/>
  <c r="P33" i="5"/>
  <c r="AQ16" i="6"/>
  <c r="P666" i="5"/>
  <c r="AM13" i="6"/>
  <c r="P589" i="5"/>
  <c r="AH18" i="6"/>
  <c r="P525" i="5"/>
  <c r="AM16" i="6"/>
  <c r="P592" i="5"/>
  <c r="AL18" i="6"/>
  <c r="P580" i="5"/>
  <c r="AL13" i="6"/>
  <c r="P575" i="5"/>
  <c r="AG21" i="6"/>
  <c r="P511" i="5"/>
  <c r="AD14" i="6"/>
  <c r="P456" i="5"/>
  <c r="AP15" i="6"/>
  <c r="P644" i="5"/>
  <c r="AI13" i="6"/>
  <c r="P533" i="5"/>
  <c r="AA8" i="6"/>
  <c r="P401" i="5"/>
  <c r="Z14" i="6"/>
  <c r="P390" i="5"/>
  <c r="V17" i="6"/>
  <c r="P334" i="5"/>
  <c r="T12" i="6"/>
  <c r="P302" i="5"/>
  <c r="P9" i="6"/>
  <c r="P218" i="5"/>
  <c r="Y19" i="6"/>
  <c r="P378" i="5"/>
  <c r="P13" i="6"/>
  <c r="P222" i="5"/>
  <c r="AB12" i="6"/>
  <c r="P422" i="5"/>
  <c r="V20" i="6"/>
  <c r="P337" i="5"/>
  <c r="R22" i="6"/>
  <c r="P273" i="5"/>
  <c r="N4" i="6"/>
  <c r="P180" i="5"/>
  <c r="P18" i="6"/>
  <c r="P227" i="5"/>
  <c r="T5" i="6"/>
  <c r="P295" i="5"/>
  <c r="H21" i="6"/>
  <c r="P89" i="5"/>
  <c r="E11" i="6"/>
  <c r="P25" i="5"/>
  <c r="K4" i="6"/>
  <c r="P125" i="5"/>
  <c r="H22" i="6"/>
  <c r="P90" i="5"/>
  <c r="F16" i="6"/>
  <c r="P48" i="5"/>
  <c r="D23" i="6"/>
  <c r="P19" i="5"/>
  <c r="P726" i="5"/>
  <c r="AU5" i="6"/>
  <c r="AP18" i="6"/>
  <c r="P647" i="5"/>
  <c r="AR20" i="6"/>
  <c r="P687" i="5"/>
  <c r="AU6" i="6"/>
  <c r="P727" i="5"/>
  <c r="P572" i="5"/>
  <c r="AL4" i="6"/>
  <c r="AG18" i="6"/>
  <c r="P508" i="5"/>
  <c r="AL15" i="6"/>
  <c r="P577" i="5"/>
  <c r="AP22" i="6"/>
  <c r="P651" i="5"/>
  <c r="AL11" i="6"/>
  <c r="P573" i="5"/>
  <c r="AG19" i="6"/>
  <c r="P509" i="5"/>
  <c r="AD20" i="6"/>
  <c r="P462" i="5"/>
  <c r="AC12" i="6"/>
  <c r="P439" i="5"/>
  <c r="AE16" i="6"/>
  <c r="P473" i="5"/>
  <c r="AK18" i="6"/>
  <c r="P566" i="5"/>
  <c r="AD13" i="6"/>
  <c r="P455" i="5"/>
  <c r="Z4" i="6"/>
  <c r="P382" i="5"/>
  <c r="AB17" i="6"/>
  <c r="P427" i="5"/>
  <c r="Y18" i="6"/>
  <c r="P377" i="5"/>
  <c r="T4" i="6"/>
  <c r="P294" i="5"/>
  <c r="P8" i="6"/>
  <c r="P217" i="5"/>
  <c r="P12" i="6"/>
  <c r="P221" i="5"/>
  <c r="V12" i="6"/>
  <c r="P329" i="5"/>
  <c r="R14" i="6"/>
  <c r="P265" i="5"/>
  <c r="AH15" i="6"/>
  <c r="P522" i="5"/>
  <c r="M4" i="6"/>
  <c r="P161" i="5"/>
  <c r="N7" i="6"/>
  <c r="P181" i="5"/>
  <c r="N15" i="6"/>
  <c r="P189" i="5"/>
  <c r="W17" i="6"/>
  <c r="P346" i="5"/>
  <c r="Q9" i="6"/>
  <c r="P238" i="5"/>
  <c r="P25" i="6"/>
  <c r="P234" i="5"/>
  <c r="J22" i="6"/>
  <c r="P124" i="5"/>
  <c r="M21" i="6"/>
  <c r="P175" i="5"/>
  <c r="J11" i="6"/>
  <c r="P113" i="5"/>
  <c r="M16" i="6"/>
  <c r="P170" i="5"/>
  <c r="N18" i="6"/>
  <c r="P192" i="5"/>
  <c r="J8" i="6"/>
  <c r="P110" i="5"/>
  <c r="AE21" i="6"/>
  <c r="P478" i="5"/>
  <c r="AT17" i="6"/>
  <c r="P719" i="5"/>
  <c r="AS22" i="6"/>
  <c r="P707" i="5"/>
  <c r="AK12" i="6"/>
  <c r="P560" i="5"/>
  <c r="AK19" i="6"/>
  <c r="P567" i="5"/>
  <c r="AJ22" i="6"/>
  <c r="P556" i="5"/>
  <c r="AF19" i="6"/>
  <c r="P492" i="5"/>
  <c r="AH22" i="6"/>
  <c r="P529" i="5"/>
  <c r="AM17" i="6"/>
  <c r="P593" i="5"/>
  <c r="AP4" i="6"/>
  <c r="P635" i="5"/>
  <c r="AJ11" i="6"/>
  <c r="P545" i="5"/>
  <c r="AH14" i="6"/>
  <c r="P521" i="5"/>
  <c r="AC16" i="6"/>
  <c r="P443" i="5"/>
  <c r="X16" i="6"/>
  <c r="P358" i="5"/>
  <c r="U23" i="6"/>
  <c r="P326" i="5"/>
  <c r="S15" i="6"/>
  <c r="P286" i="5"/>
  <c r="Z9" i="6"/>
  <c r="P385" i="5"/>
  <c r="U18" i="6"/>
  <c r="P321" i="5"/>
  <c r="R6" i="6"/>
  <c r="P257" i="5"/>
  <c r="V21" i="6"/>
  <c r="P338" i="5"/>
  <c r="L13" i="6"/>
  <c r="P148" i="5"/>
  <c r="M22" i="6"/>
  <c r="P176" i="5"/>
  <c r="M23" i="6"/>
  <c r="P177" i="5"/>
  <c r="H5" i="6"/>
  <c r="P73" i="5"/>
  <c r="U19" i="6"/>
  <c r="P322" i="5"/>
  <c r="P4" i="6"/>
  <c r="P214" i="5"/>
  <c r="I8" i="6"/>
  <c r="P93" i="5"/>
  <c r="I11" i="6"/>
  <c r="P96" i="5"/>
  <c r="G21" i="6"/>
  <c r="P70" i="5"/>
  <c r="F22" i="6"/>
  <c r="P54" i="5"/>
  <c r="H18" i="6"/>
  <c r="P86" i="5"/>
  <c r="D20" i="6"/>
  <c r="P16" i="5"/>
  <c r="F21" i="6"/>
  <c r="P53" i="5"/>
  <c r="K18" i="6"/>
  <c r="P137" i="5"/>
  <c r="H14" i="6"/>
  <c r="P82" i="5"/>
  <c r="AT12" i="6"/>
  <c r="P714" i="5"/>
  <c r="AU13" i="6"/>
  <c r="P734" i="5"/>
  <c r="AQ9" i="6"/>
  <c r="P659" i="5"/>
  <c r="AT20" i="6"/>
  <c r="P722" i="5"/>
  <c r="AQ12" i="6"/>
  <c r="P662" i="5"/>
  <c r="AS10" i="6"/>
  <c r="P695" i="5"/>
  <c r="AT9" i="6"/>
  <c r="P711" i="5"/>
  <c r="AO23" i="6"/>
  <c r="P631" i="5"/>
  <c r="AS17" i="6"/>
  <c r="P702" i="5"/>
  <c r="AQ21" i="6"/>
  <c r="P671" i="5"/>
  <c r="AI17" i="6"/>
  <c r="P537" i="5"/>
  <c r="AH4" i="6"/>
  <c r="P513" i="5"/>
  <c r="Y10" i="6"/>
  <c r="P369" i="5"/>
  <c r="S7" i="6"/>
  <c r="P278" i="5"/>
  <c r="Y7" i="6"/>
  <c r="P366" i="5"/>
  <c r="AE15" i="6"/>
  <c r="P472" i="5"/>
  <c r="AA12" i="6"/>
  <c r="P405" i="5"/>
  <c r="U4" i="6"/>
  <c r="P313" i="5"/>
  <c r="J15" i="6"/>
  <c r="P117" i="5"/>
  <c r="Q21" i="6"/>
  <c r="P250" i="5"/>
  <c r="L14" i="6"/>
  <c r="P149" i="5"/>
  <c r="S19" i="6"/>
  <c r="P290" i="5"/>
  <c r="R15" i="6"/>
  <c r="P266" i="5"/>
  <c r="L22" i="6"/>
  <c r="P157" i="5"/>
  <c r="T21" i="6"/>
  <c r="P311" i="5"/>
  <c r="O20" i="6"/>
  <c r="P211" i="5"/>
  <c r="I7" i="6"/>
  <c r="P92" i="5"/>
  <c r="H17" i="6"/>
  <c r="P85" i="5"/>
  <c r="G20" i="6"/>
  <c r="P69" i="5"/>
  <c r="D19" i="6"/>
  <c r="P15" i="5"/>
  <c r="J16" i="6"/>
  <c r="P118" i="5"/>
  <c r="F17" i="6"/>
  <c r="P49" i="5"/>
  <c r="AR12" i="6"/>
  <c r="P679" i="5"/>
  <c r="AF11" i="6"/>
  <c r="P484" i="5"/>
  <c r="AL23" i="6"/>
  <c r="P585" i="5"/>
  <c r="AD15" i="6"/>
  <c r="P457" i="5"/>
  <c r="AL21" i="6"/>
  <c r="P583" i="5"/>
  <c r="AF14" i="6"/>
  <c r="P487" i="5"/>
  <c r="AC6" i="6"/>
  <c r="P433" i="5"/>
  <c r="AI12" i="6"/>
  <c r="P532" i="5"/>
  <c r="AO25" i="6"/>
  <c r="P633" i="5"/>
  <c r="AI23" i="6"/>
  <c r="P543" i="5"/>
  <c r="AH9" i="6"/>
  <c r="P516" i="5"/>
  <c r="AK21" i="6"/>
  <c r="P569" i="5"/>
  <c r="AE13" i="6"/>
  <c r="P470" i="5"/>
  <c r="AO20" i="6"/>
  <c r="P628" i="5"/>
  <c r="AN23" i="6"/>
  <c r="P613" i="5"/>
  <c r="AB15" i="6"/>
  <c r="P425" i="5"/>
  <c r="AA9" i="6"/>
  <c r="P402" i="5"/>
  <c r="W21" i="6"/>
  <c r="P350" i="5"/>
  <c r="U15" i="6"/>
  <c r="P318" i="5"/>
  <c r="R19" i="6"/>
  <c r="P270" i="5"/>
  <c r="AA17" i="6"/>
  <c r="P410" i="5"/>
  <c r="Z10" i="6"/>
  <c r="P386" i="5"/>
  <c r="T15" i="6"/>
  <c r="P305" i="5"/>
  <c r="AE17" i="6"/>
  <c r="P474" i="5"/>
  <c r="J14" i="6"/>
  <c r="P116" i="5"/>
  <c r="K10" i="6"/>
  <c r="P129" i="5"/>
  <c r="R4" i="6"/>
  <c r="P255" i="5"/>
  <c r="J19" i="6"/>
  <c r="P121" i="5"/>
  <c r="K14" i="6"/>
  <c r="P133" i="5"/>
  <c r="G8" i="6"/>
  <c r="P57" i="5"/>
  <c r="Y22" i="6"/>
  <c r="P381" i="5"/>
  <c r="P17" i="6"/>
  <c r="P226" i="5"/>
  <c r="O13" i="6"/>
  <c r="P204" i="5"/>
  <c r="H9" i="6"/>
  <c r="P77" i="5"/>
  <c r="D12" i="6"/>
  <c r="P8" i="5"/>
  <c r="L11" i="6"/>
  <c r="P146" i="5"/>
  <c r="E23" i="6"/>
  <c r="P37" i="5"/>
  <c r="E21" i="6"/>
  <c r="P35" i="5"/>
  <c r="J12" i="6"/>
  <c r="P114" i="5"/>
  <c r="AF6" i="6"/>
  <c r="P479" i="5"/>
  <c r="AG15" i="6"/>
  <c r="P505" i="5"/>
  <c r="AS6" i="6"/>
  <c r="P691" i="5"/>
  <c r="AO22" i="6"/>
  <c r="P630" i="5"/>
  <c r="AU9" i="6"/>
  <c r="P730" i="5"/>
  <c r="AQ13" i="6"/>
  <c r="P663" i="5"/>
  <c r="AJ23" i="6"/>
  <c r="P557" i="5"/>
  <c r="AF20" i="6"/>
  <c r="P493" i="5"/>
  <c r="AM23" i="6"/>
  <c r="P599" i="5"/>
  <c r="AI21" i="6"/>
  <c r="P541" i="5"/>
  <c r="AE11" i="6"/>
  <c r="P468" i="5"/>
  <c r="AJ19" i="6"/>
  <c r="P553" i="5"/>
  <c r="P496" i="5"/>
  <c r="AG4" i="6"/>
  <c r="AK13" i="6"/>
  <c r="P561" i="5"/>
  <c r="AB7" i="6"/>
  <c r="P417" i="5"/>
  <c r="AM21" i="6"/>
  <c r="P597" i="5"/>
  <c r="AG22" i="6"/>
  <c r="P512" i="5"/>
  <c r="AN19" i="6"/>
  <c r="P609" i="5"/>
  <c r="AE7" i="6"/>
  <c r="P464" i="5"/>
  <c r="P21" i="6"/>
  <c r="P230" i="5"/>
  <c r="AC8" i="6"/>
  <c r="P435" i="5"/>
  <c r="R11" i="6"/>
  <c r="P262" i="5"/>
  <c r="AB20" i="6"/>
  <c r="P430" i="5"/>
  <c r="Y14" i="6"/>
  <c r="P373" i="5"/>
  <c r="T7" i="6"/>
  <c r="P297" i="5"/>
  <c r="H13" i="6"/>
  <c r="P81" i="5"/>
  <c r="J18" i="6"/>
  <c r="P120" i="5"/>
  <c r="P22" i="6"/>
  <c r="P231" i="5"/>
  <c r="O4" i="6"/>
  <c r="P197" i="5"/>
  <c r="N11" i="6"/>
  <c r="P185" i="5"/>
  <c r="H8" i="6"/>
  <c r="P76" i="5"/>
  <c r="E10" i="6"/>
  <c r="P24" i="5"/>
  <c r="D16" i="6"/>
  <c r="P12" i="5"/>
  <c r="F4" i="6"/>
  <c r="P38" i="5"/>
  <c r="E15" i="6"/>
  <c r="P29" i="5"/>
  <c r="D13" i="6"/>
  <c r="P9" i="5"/>
  <c r="AO7" i="6"/>
  <c r="P615" i="5"/>
  <c r="AU14" i="6"/>
  <c r="P735" i="5"/>
  <c r="AP26" i="6"/>
  <c r="P655" i="5"/>
  <c r="AO9" i="6"/>
  <c r="P617" i="5"/>
  <c r="AM12" i="6"/>
  <c r="P588" i="5"/>
  <c r="AE10" i="6"/>
  <c r="P467" i="5"/>
  <c r="P20" i="6"/>
  <c r="P229" i="5"/>
  <c r="AF8" i="6"/>
  <c r="P481" i="5"/>
  <c r="AB9" i="6"/>
  <c r="P419" i="5"/>
  <c r="W13" i="6"/>
  <c r="P342" i="5"/>
  <c r="T20" i="6"/>
  <c r="P310" i="5"/>
  <c r="Q25" i="6"/>
  <c r="P254" i="5"/>
  <c r="Q17" i="6"/>
  <c r="P246" i="5"/>
  <c r="X11" i="6"/>
  <c r="P353" i="5"/>
  <c r="S18" i="6"/>
  <c r="P289" i="5"/>
  <c r="N19" i="6"/>
  <c r="P193" i="5"/>
  <c r="H12" i="6"/>
  <c r="P80" i="5"/>
  <c r="U11" i="6"/>
  <c r="P314" i="5"/>
  <c r="I12" i="6"/>
  <c r="P97" i="5"/>
  <c r="X12" i="6"/>
  <c r="P354" i="5"/>
  <c r="V13" i="6"/>
  <c r="P330" i="5"/>
  <c r="I16" i="6"/>
  <c r="P101" i="5"/>
  <c r="F9" i="6"/>
  <c r="P41" i="5"/>
  <c r="S11" i="6"/>
  <c r="P282" i="5"/>
  <c r="M11" i="6"/>
  <c r="P165" i="5"/>
  <c r="R7" i="6"/>
  <c r="P258" i="5"/>
  <c r="M18" i="6"/>
  <c r="P172" i="5"/>
  <c r="G12" i="6"/>
  <c r="P61" i="5"/>
  <c r="L4" i="6"/>
  <c r="P142" i="5"/>
  <c r="E9" i="6"/>
  <c r="P23" i="5"/>
  <c r="O16" i="6"/>
  <c r="P207" i="5"/>
  <c r="L25" i="6"/>
  <c r="P160" i="5"/>
  <c r="E14" i="6"/>
  <c r="P28" i="5"/>
  <c r="AP17" i="6"/>
  <c r="P646" i="5"/>
  <c r="AK11" i="6"/>
  <c r="P559" i="5"/>
  <c r="AF22" i="6"/>
  <c r="P495" i="5"/>
  <c r="AP12" i="6"/>
  <c r="P641" i="5"/>
  <c r="AK17" i="6"/>
  <c r="P565" i="5"/>
  <c r="AI20" i="6"/>
  <c r="P540" i="5"/>
  <c r="AE19" i="6"/>
  <c r="P476" i="5"/>
  <c r="AT4" i="6"/>
  <c r="P708" i="5"/>
  <c r="AO17" i="6"/>
  <c r="P625" i="5"/>
  <c r="AR8" i="6"/>
  <c r="P675" i="5"/>
  <c r="AU20" i="6"/>
  <c r="P741" i="5"/>
  <c r="AT13" i="6"/>
  <c r="P715" i="5"/>
  <c r="AP10" i="6"/>
  <c r="P639" i="5"/>
  <c r="AN17" i="6"/>
  <c r="P607" i="5"/>
  <c r="AE18" i="6"/>
  <c r="P475" i="5"/>
  <c r="AN18" i="6"/>
  <c r="P608" i="5"/>
  <c r="AJ15" i="6"/>
  <c r="P549" i="5"/>
  <c r="AF18" i="6"/>
  <c r="P491" i="5"/>
  <c r="AJ17" i="6"/>
  <c r="P551" i="5"/>
  <c r="AE8" i="6"/>
  <c r="P465" i="5"/>
  <c r="AG11" i="6"/>
  <c r="P501" i="5"/>
  <c r="AH12" i="6"/>
  <c r="P519" i="5"/>
  <c r="AU10" i="6"/>
  <c r="P731" i="5"/>
  <c r="AU18" i="6"/>
  <c r="P739" i="5"/>
  <c r="AS18" i="6"/>
  <c r="P703" i="5"/>
  <c r="AO15" i="6"/>
  <c r="P623" i="5"/>
  <c r="AM15" i="6"/>
  <c r="P591" i="5"/>
  <c r="AH20" i="6"/>
  <c r="P527" i="5"/>
  <c r="AD18" i="6"/>
  <c r="P460" i="5"/>
  <c r="AN11" i="6"/>
  <c r="P601" i="5"/>
  <c r="AN13" i="6"/>
  <c r="P603" i="5"/>
  <c r="AD10" i="6"/>
  <c r="P452" i="5"/>
  <c r="AF7" i="6"/>
  <c r="P480" i="5"/>
  <c r="AI14" i="6"/>
  <c r="P534" i="5"/>
  <c r="AC20" i="6"/>
  <c r="P447" i="5"/>
  <c r="AF15" i="6"/>
  <c r="P488" i="5"/>
  <c r="AG12" i="6"/>
  <c r="P502" i="5"/>
  <c r="Y11" i="6"/>
  <c r="P370" i="5"/>
  <c r="AA16" i="6"/>
  <c r="P409" i="5"/>
  <c r="Q24" i="6"/>
  <c r="P253" i="5"/>
  <c r="Z22" i="6"/>
  <c r="P398" i="5"/>
  <c r="Q16" i="6"/>
  <c r="P245" i="5"/>
  <c r="W16" i="6"/>
  <c r="P345" i="5"/>
  <c r="S10" i="6"/>
  <c r="P281" i="5"/>
  <c r="AA13" i="6"/>
  <c r="P406" i="5"/>
  <c r="R23" i="6"/>
  <c r="P274" i="5"/>
  <c r="T16" i="6"/>
  <c r="P306" i="5"/>
  <c r="L10" i="6"/>
  <c r="P145" i="5"/>
  <c r="Q22" i="6"/>
  <c r="P251" i="5"/>
  <c r="L18" i="6"/>
  <c r="P153" i="5"/>
  <c r="G11" i="6"/>
  <c r="P60" i="5"/>
  <c r="G9" i="6"/>
  <c r="P58" i="5"/>
  <c r="I20" i="6"/>
  <c r="P105" i="5"/>
  <c r="D8" i="6"/>
  <c r="P4" i="5"/>
  <c r="O11" i="6"/>
  <c r="P202" i="5"/>
  <c r="F18" i="6"/>
  <c r="P50" i="5"/>
  <c r="I19" i="6"/>
  <c r="P104" i="5"/>
  <c r="E4" i="6"/>
  <c r="P20" i="5"/>
  <c r="D10" i="6"/>
  <c r="P6" i="5"/>
</calcChain>
</file>

<file path=xl/sharedStrings.xml><?xml version="1.0" encoding="utf-8"?>
<sst xmlns="http://schemas.openxmlformats.org/spreadsheetml/2006/main" count="6163" uniqueCount="662">
  <si>
    <t>WDFW Coastal Razor Clam: Consolidated Ingress / Egress (Egress Survey) Data</t>
  </si>
  <si>
    <t>Compiled 09 July 2026 from every ingress/egress source located in the project file set plus the uploaded Access database Razor_Clam_Ingress.accdb. Every number in this workbook is traceable to a named file and sheet; nothing is estimated except where a sheet is explicitly labelled 'Reconstructed'.</t>
  </si>
  <si>
    <t>What an egress survey is</t>
  </si>
  <si>
    <t>Staff are posted at each beach access point from three hours before published low water until two hours after, counting cars on and cars off in 15 minute intervals. The cumulative difference (cars on minus cars off) is the number of cars on the beach at any instant. Dividing that by the total cars on for the whole window gives the '% available for beach count' curve. That curve is the expansion table used to derive the correction factor applied to the roving beach count.</t>
  </si>
  <si>
    <t>Sheets</t>
  </si>
  <si>
    <t>File_Manifest ...... every file examined, its content hash, its role, and whether it is a duplicate.</t>
  </si>
  <si>
    <t>Survey_Inventory ... one row per survey record (44 records covering 27 distinct surveys: 6 Long Beach, 7 Twin Harbors, 6 Copalis, 8 Mocrocks, 0 Kalaloch). Filter use_for_pooling = Yes for a clean, non-duplicated set.</t>
  </si>
  <si>
    <t>Coverage ........... surveys per beach per year, and per beach per condition. Shows the 2012-2021 blackout and the total absence of Kalaloch.</t>
  </si>
  <si>
    <t>Survey_Counts ...... the raw 15-minute cars-on / cars-off counts in long format, with live formulas for cumulative counts, cars on beach, and % available.</t>
  </si>
  <si>
    <t>Pct_Available_Matrix  the % available curve for every survey, bins down the rows, surveys across the columns.</t>
  </si>
  <si>
    <t>Published_Tables ... the eight dated evening expansion tables and the five Master_Tables reference tables, as published.</t>
  </si>
  <si>
    <t>Table_Provenance ... which surveys compose each published and reference table, and the verification result. All thirteen reproduce exactly from the surveys named.</t>
  </si>
  <si>
    <t>Reconstructed_Surveys  four evening surveys that are in no file, but whose exact bin-by-bin counts are recoverable by differencing successive published tables, plus the recovered bin split of database record DB-04. Every bin-wise difference is non-negative, which is what pure accumulation predicts and smoothing would not. This recovers the counts; it does not independently validate the tables, since the tables are the input.</t>
  </si>
  <si>
    <t>Data_Issues ........ 15 numbered defects found while reconciling, with evidence, effect and recommendation.</t>
  </si>
  <si>
    <t>Bin convention</t>
  </si>
  <si>
    <t>Bins are named by their position relative to published low water, counting down before low water and up after. 'Prior to start' holds cars already on the beach when counting began. Ordinal 0 = Prior to start, 1 = 3:30-3:15 before low, ..., 14 = 0:15-0:00 before low, 15 = 0:00-0:15 after low, ..., 22 = 1:45-2:00 after low. min_from_low is the signed minutes from low water at the start of the bin.</t>
  </si>
  <si>
    <t>Two things that vary between surveys, and matter</t>
  </si>
  <si>
    <t>Approach. Long Beach was surveyed at the Seaview approach (south, to Beard's Hollow) and at the Oysterville approach (north, to Leadbetter Point) on consecutive days in April 2004; the north survey is more than ten times larger. The 1998 and 1990 Long Beach sheets are north-only. Twin Harbors 1998 combines five approaches (Bonge, Grayland, County Line, Midway, North Cove); Mocrocks 1998 combines three (Moclips, Trestle, Roosevelt); Twin Harbors 2004 combines Grayland and Bonge. The Access database records NO approach at all. Pooling across approaches without recording which is a hidden stratification.</t>
  </si>
  <si>
    <t>Condition. Daylight, evening (low water near or after sunset), and weather are distinct effort regimes and produce distinct curves. The Access database carries an Evening? flag; the workbooks carry sunrise/sunset lines. Master_Tables.xls keeps separate Copalis daylight and near-dark tables, and separate Mocrocks daylight and poor-weather tables. The dated 'Cumulative Ingress' tables are evening only.</t>
  </si>
  <si>
    <t>Window start</t>
  </si>
  <si>
    <t>Surveys do not all start at the same offset. Some begin 3:30 before low water, most begin 3:00 before. A survey's 'Prior to start' is anchored to its own window, not to a common clock. When surveys with different windows are pooled, the program has folded the later-starting survey's prior-to-start into the bin immediately preceding its first counted bin (verified for the Copalis 03-Nov-2010 table), but has not always done so (the Twin Harbors 24-Sep-2013 table simply sums the priors). See Data_Issues #7.</t>
  </si>
  <si>
    <t>Beaches</t>
  </si>
  <si>
    <t>Long Beach, Twin Harbors, Copalis and Mocrocks all have survey data. Kalaloch has none. The 'Kalaloch Daylight Table' in Master_Tables.xls is, to sixteen significant figures, the Mocrocks 01-Apr-1998 survey. See Data_Issues #1.</t>
  </si>
  <si>
    <t>Caveats</t>
  </si>
  <si>
    <t>Counts are cars, not diggers. People-per-car (2.26 to 2.98 in 1998) is a separate parameter and is not reconciled here.</t>
  </si>
  <si>
    <t>A blank bin means the source did not record that interval. It does not mean zero. Rows are omitted outside each survey's counting window rather than filled with zeros.</t>
  </si>
  <si>
    <t>pct_available is recomputed here as cars_on_beach / total cars-on across the survey window. pct_available_as_reported is what the source sheet itself printed. Where they differ, the source used a different denominator; see the check_delta column and Data_Issues #9.</t>
  </si>
  <si>
    <t>This workbook does not re-derive the operational correction factors and does not touch the harvest database. It is a source-of-truth compilation.</t>
  </si>
  <si>
    <t>File</t>
  </si>
  <si>
    <t>Type</t>
  </si>
  <si>
    <t>Role</t>
  </si>
  <si>
    <t>md5 (12)</t>
  </si>
  <si>
    <t>Size (bytes)</t>
  </si>
  <si>
    <t>Notes / duplicate of</t>
  </si>
  <si>
    <t>Razor_Clam_Ingress.accdb</t>
  </si>
  <si>
    <t>Access database</t>
  </si>
  <si>
    <t>Primary</t>
  </si>
  <si>
    <t>ed2fb9d05693</t>
  </si>
  <si>
    <t>20 egress events, 2004-2011, all five beaches in the lookup but Kalaloch has none. Tables: Event Data, Cars On, Cars Off, LUT Beach Name, LUT Sampler.  [uploaded]</t>
  </si>
  <si>
    <t>Ingress_form_April_2004.xlsx</t>
  </si>
  <si>
    <t>Survey workbook</t>
  </si>
  <si>
    <t>5d010e744dda</t>
  </si>
  <si>
    <t>Five surveys, April 2004: Longbeach South (Seaview), Longbeach North (Oysterville), Twin Harbors, Copalis, Mocrocks. Also blank per-approach field sheets.</t>
  </si>
  <si>
    <t>EGRESS_MASTER.xlsx</t>
  </si>
  <si>
    <t>Duplicate</t>
  </si>
  <si>
    <t>54d768612b25</t>
  </si>
  <si>
    <t>Survey sheets are cell-for-cell identical to Ingress_form_April_2004.xlsx. Adds derived 'Copalis Table' and 'Mocrocks Table'.  [= Ingress_form_April_2004.xlsx]</t>
  </si>
  <si>
    <t>Ingress_form_Nov_2006.xls</t>
  </si>
  <si>
    <t>11c973a04648</t>
  </si>
  <si>
    <t>Mocrocks, 04-Nov-2006, evening, poor weather.</t>
  </si>
  <si>
    <t>20061104Mockrocks.xls</t>
  </si>
  <si>
    <t>Byte-identical to Ingress_form_Nov_2006.xls.  [md5 11c973a04648]</t>
  </si>
  <si>
    <t>Ingress_form_November_13_2008.xls</t>
  </si>
  <si>
    <t>9844d0b89276</t>
  </si>
  <si>
    <t>Copalis and Mocrocks, 13-Nov-2008, evening (low water 1h44m after sunset).</t>
  </si>
  <si>
    <t>2008113MocrocksCopalis.xls</t>
  </si>
  <si>
    <t>9f00d5673476</t>
  </si>
  <si>
    <t>Cell-for-cell identical to Ingress_form_November_13_2008.xls (different byte stream).</t>
  </si>
  <si>
    <t>Ingress__Copalis__April_02_2022.xlsx</t>
  </si>
  <si>
    <t>895dde5a36d9</t>
  </si>
  <si>
    <t>Copalis, Ocean City North approach, 02-Apr-2022.</t>
  </si>
  <si>
    <t>Ingress__Mocrocks__April_03_2022.xlsx</t>
  </si>
  <si>
    <t>e2d351b1ab45</t>
  </si>
  <si>
    <t>Mocrocks, Roosevelt App. South, 03-Apr-2022.</t>
  </si>
  <si>
    <t>Ingress__Copalis__April_24_2023.xlsx</t>
  </si>
  <si>
    <t>354335c3c28e</t>
  </si>
  <si>
    <t>Copalis, Ocean City North approach, 24-Apr-2023.</t>
  </si>
  <si>
    <t>Ingress__Mocrocks__April_25_2023.xlsx</t>
  </si>
  <si>
    <t>e90675cd713a</t>
  </si>
  <si>
    <t>Mocrocks, Roosevelt App. South, 25-Apr-2023.</t>
  </si>
  <si>
    <t>lb98s.xlsx</t>
  </si>
  <si>
    <t>Legacy summary</t>
  </si>
  <si>
    <t>c8448a873688</t>
  </si>
  <si>
    <t>Long Beach, Oysterville NORTH ONLY, 27-Mar-1998. Quattro Pro conversion.</t>
  </si>
  <si>
    <t>moc98s.xlsx</t>
  </si>
  <si>
    <t>deb98e6f46e6</t>
  </si>
  <si>
    <t>Mocrocks, 01-Apr-1998, summary plus Moclips / Trestle / Roosevelt approach sheets.</t>
  </si>
  <si>
    <t>th98s.xlsx</t>
  </si>
  <si>
    <t>634cdeb65bdf</t>
  </si>
  <si>
    <t>Twin Harbors, 31-Mar-1998, summary plus five approach sheets.</t>
  </si>
  <si>
    <t>19900511longbeachnorthonly.xlsx</t>
  </si>
  <si>
    <t>Conflict</t>
  </si>
  <si>
    <t>31f53693b495</t>
  </si>
  <si>
    <t>Counts identical to lb98s.xlsx but dated 11-MAY-1990. Both dates are Fridays with a 1757 -0.2 tide in the header.</t>
  </si>
  <si>
    <t>Longbeach_Evening_Tides_Cumulative_Ingress.pdf</t>
  </si>
  <si>
    <t>Published table</t>
  </si>
  <si>
    <t>520ee05688a1</t>
  </si>
  <si>
    <t>Long Beach evening table, updated 25-Jan-2011. NOTE: the file is an XLSX/zip container, not a PDF.</t>
  </si>
  <si>
    <t>20110125Longbeach_Evening_Tides_Cumulative_Ingress.pdf</t>
  </si>
  <si>
    <t>bc9543230720</t>
  </si>
  <si>
    <t>Same table content as the above.</t>
  </si>
  <si>
    <t>Longbeach_Evening_Tides_Cumulative_Ingress_20130918.pdf</t>
  </si>
  <si>
    <t>51d1bd1aa12e</t>
  </si>
  <si>
    <t>Long Beach evening table, updated 11-Feb-2013. The filename date (20130918) does not match the 'Updated on' date in the table.</t>
  </si>
  <si>
    <t>20130211Longbeach_Evening_Tides_Cumulative_Ingress.pdf</t>
  </si>
  <si>
    <t>f50c097dd54a</t>
  </si>
  <si>
    <t>Same table content as the above; filename date agrees with the table.</t>
  </si>
  <si>
    <t>Twin_Harbors_Evening_Tides_Cumulative_Ingress.pdf</t>
  </si>
  <si>
    <t>f5a985caa6ee</t>
  </si>
  <si>
    <t>Twin Harbors evening table, updated 25-Jan-2011.</t>
  </si>
  <si>
    <t>20110125Twin_Harbors_Evening_Tides_Cumulative_Ingress.pdf</t>
  </si>
  <si>
    <t>b8a566933286</t>
  </si>
  <si>
    <t>Same table content.</t>
  </si>
  <si>
    <t>Twin_Harbors_Evening_Tides_Cumulative_Ingress_Sept_24_2013.pdf</t>
  </si>
  <si>
    <t>28d56f9206b7</t>
  </si>
  <si>
    <t>Twin Harbors evening table, updated 24-Sep-2013.</t>
  </si>
  <si>
    <t>20130924Twin_Harbors_Evening_Tides_Cumulative_Ingress.pdf</t>
  </si>
  <si>
    <t>83df61da4d38</t>
  </si>
  <si>
    <t>Copalis_Evening_Tides_Cumulative_Ingress.pdf</t>
  </si>
  <si>
    <t>86cfb978f629</t>
  </si>
  <si>
    <t>Copalis evening table, updated 03-Nov-2010. NOT a duplicate of the 20121219 file.</t>
  </si>
  <si>
    <t>20121219Copalis_Evening_Tides_Cumulative_Ingress.pdf</t>
  </si>
  <si>
    <t>7e645f0cfb91</t>
  </si>
  <si>
    <t>Copalis evening table, updated 19-Dec-2012.</t>
  </si>
  <si>
    <t>Mocrocks_Evening_Tides_Cumulative_Ingress.pdf</t>
  </si>
  <si>
    <t>d48a64b29a5d</t>
  </si>
  <si>
    <t>Mocrocks evening table, updated 03-Nov-2010.</t>
  </si>
  <si>
    <t>20101103Mocrocks_Evening_Tides_Cumulative_Ingress.pdf</t>
  </si>
  <si>
    <t>095bac3c35d9</t>
  </si>
  <si>
    <t>Mocrocks_Evening_Tides_Cumulative_Ingress_20130918.pdf</t>
  </si>
  <si>
    <t>fd7035c3e356</t>
  </si>
  <si>
    <t>Mocrocks evening table, updated 18-Sep-2013.</t>
  </si>
  <si>
    <t>20130918Mocrocks_Evening_Tides_Cumulative_Ingress.pdf</t>
  </si>
  <si>
    <t>c77d23619f5c</t>
  </si>
  <si>
    <t>Master_Tables.xls</t>
  </si>
  <si>
    <t>Reference tables</t>
  </si>
  <si>
    <t>cb35a44c5bad</t>
  </si>
  <si>
    <t>Copalis daylight, Copalis near-dark, Mocrocks daylight, Mocrocks daylight/poor-weather, Kalaloch daylight. Each is a single survey, not a pool.</t>
  </si>
  <si>
    <t>Kalaloch_Ingress_Egress.xls</t>
  </si>
  <si>
    <t>Reference table</t>
  </si>
  <si>
    <t>Derived</t>
  </si>
  <si>
    <t>8fd82222a2a8</t>
  </si>
  <si>
    <t>'summary' sheet is the % available column of moc98s.xlsx (Mocrocks, 01-Apr-1998) to 16 significant figures, plus its cars-left value 303. Approach sheets B-F are empty.</t>
  </si>
  <si>
    <t>Kalaloch_Ingress_Egress_April_2004.xlsx</t>
  </si>
  <si>
    <t>443423c995d1</t>
  </si>
  <si>
    <t>Same 13 values as Kalaloch_Ingress_Egress.xls, without the trailing 303 / 15.</t>
  </si>
  <si>
    <t>Ingress_Egress_review.xls</t>
  </si>
  <si>
    <t>Analysis worksheet</t>
  </si>
  <si>
    <t>Do not use as source</t>
  </si>
  <si>
    <t>0c1fe33d849c</t>
  </si>
  <si>
    <t>Comparison sheet, Mocrocks and Copalis. Columns are misaligned and mislabelled. Useful only as independent corroboration; see Data_Issues #5 and #6.</t>
  </si>
  <si>
    <t>INGRESSPLAN98.docx</t>
  </si>
  <si>
    <t>Protocol</t>
  </si>
  <si>
    <t>Context</t>
  </si>
  <si>
    <t>504545fcb103</t>
  </si>
  <si>
    <t>1998 ingress survey plan.</t>
  </si>
  <si>
    <t>AM_vs_PM_tides.xls</t>
  </si>
  <si>
    <t>Not ingress data</t>
  </si>
  <si>
    <t>Excluded</t>
  </si>
  <si>
    <t>729488f4fa58</t>
  </si>
  <si>
    <t>Days open on AM vs PM tides by season, 1998-2002. No car counts.</t>
  </si>
  <si>
    <t>survey_key</t>
  </si>
  <si>
    <t>beach</t>
  </si>
  <si>
    <t>approach / sub-beach</t>
  </si>
  <si>
    <t>date</t>
  </si>
  <si>
    <t>day</t>
  </si>
  <si>
    <t>condition</t>
  </si>
  <si>
    <t>tide_time</t>
  </si>
  <si>
    <t>tide_ft</t>
  </si>
  <si>
    <t>sampler(s)</t>
  </si>
  <si>
    <t>weather</t>
  </si>
  <si>
    <t>wind</t>
  </si>
  <si>
    <t>surf</t>
  </si>
  <si>
    <t>window_first_bin</t>
  </si>
  <si>
    <t>window_last_bin</t>
  </si>
  <si>
    <t>n_bins</t>
  </si>
  <si>
    <t>total_cars_on</t>
  </si>
  <si>
    <t>total_cars_off</t>
  </si>
  <si>
    <t>cars_left_in_area</t>
  </si>
  <si>
    <t>implied_discrepancy</t>
  </si>
  <si>
    <t>peak_pct_available</t>
  </si>
  <si>
    <t>peak_bin</t>
  </si>
  <si>
    <t>use_for_pooling</t>
  </si>
  <si>
    <t>reason_excluded</t>
  </si>
  <si>
    <t>source_type</t>
  </si>
  <si>
    <t>source_file</t>
  </si>
  <si>
    <t>source_sheet</t>
  </si>
  <si>
    <t>notes</t>
  </si>
  <si>
    <t>qc_flag</t>
  </si>
  <si>
    <t>DB-18</t>
  </si>
  <si>
    <t>Copalis</t>
  </si>
  <si>
    <t>(not recorded)</t>
  </si>
  <si>
    <t>Friday</t>
  </si>
  <si>
    <t>Daylight</t>
  </si>
  <si>
    <t>09:43</t>
  </si>
  <si>
    <t>Terry Wilson</t>
  </si>
  <si>
    <t>Overcast, with showers</t>
  </si>
  <si>
    <t>SW, 5 - 15</t>
  </si>
  <si>
    <t>Low+</t>
  </si>
  <si>
    <t>Prior to start</t>
  </si>
  <si>
    <t>1:00 - 1:15</t>
  </si>
  <si>
    <t>1:15 - 1:00</t>
  </si>
  <si>
    <t>No</t>
  </si>
  <si>
    <t>Superseded by WB-COP-2004-04-23 (same survey, primary source)</t>
  </si>
  <si>
    <t>Access DB</t>
  </si>
  <si>
    <t>Event Data ID=18</t>
  </si>
  <si>
    <t>WB-COP-2004-04-23</t>
  </si>
  <si>
    <t>Ocean City Approach</t>
  </si>
  <si>
    <t>T. Wilson</t>
  </si>
  <si>
    <t>Overcast with showers</t>
  </si>
  <si>
    <t>SW 5-15 mph</t>
  </si>
  <si>
    <t>Yes</t>
  </si>
  <si>
    <t>Ingress_form_April_2004.xlsx (=EGRESS_MASTER.xlsx)</t>
  </si>
  <si>
    <t>DB-17</t>
  </si>
  <si>
    <t>Thursday</t>
  </si>
  <si>
    <t>Evening</t>
  </si>
  <si>
    <t>18:27</t>
  </si>
  <si>
    <t>Clayton Parson</t>
  </si>
  <si>
    <t>Clear skies, no rain</t>
  </si>
  <si>
    <t>SW, 0 - 5</t>
  </si>
  <si>
    <t>High</t>
  </si>
  <si>
    <t>0:45 - 1:00</t>
  </si>
  <si>
    <t>2:00 - 1:45</t>
  </si>
  <si>
    <t>Superseded by WB-COP-2008-11-13 (same survey, primary source)</t>
  </si>
  <si>
    <t>Event Data ID=17</t>
  </si>
  <si>
    <t>WB-COP-2008-11-13</t>
  </si>
  <si>
    <t>C. Parson</t>
  </si>
  <si>
    <t>Clear skies, no rain. Sunset 4:43 PM</t>
  </si>
  <si>
    <t>SW 0-5 mph</t>
  </si>
  <si>
    <t>Ingress_form_November_13_2008.xls (=2008113MocrocksCopalis.xls)</t>
  </si>
  <si>
    <t>DB-20</t>
  </si>
  <si>
    <t>19:42</t>
  </si>
  <si>
    <t>John Deibert</t>
  </si>
  <si>
    <t>Overcast with occasional sunbreaks</t>
  </si>
  <si>
    <t>S, 5 - 15</t>
  </si>
  <si>
    <t>Moderate, 6 - 8 ft.</t>
  </si>
  <si>
    <t>1:45 - 1:30</t>
  </si>
  <si>
    <t>Event Data ID=20</t>
  </si>
  <si>
    <t>DB-19</t>
  </si>
  <si>
    <t>10:33</t>
  </si>
  <si>
    <t>Travis Haring</t>
  </si>
  <si>
    <t>1:00 - 0:45</t>
  </si>
  <si>
    <t>Event Data ID=19</t>
  </si>
  <si>
    <t>WB-COP-2022-04-02</t>
  </si>
  <si>
    <t>Ocean City North</t>
  </si>
  <si>
    <t>Saturday</t>
  </si>
  <si>
    <t>08:07</t>
  </si>
  <si>
    <t>Blumenthal</t>
  </si>
  <si>
    <t>Sunrise 6:51 AM</t>
  </si>
  <si>
    <t>0:45 - 0:30</t>
  </si>
  <si>
    <t>Calculation Sheet</t>
  </si>
  <si>
    <t>WB-COP-2023-04-24</t>
  </si>
  <si>
    <t>Monday</t>
  </si>
  <si>
    <t>10:14</t>
  </si>
  <si>
    <t>BB / TZ / CF</t>
  </si>
  <si>
    <t>Sunrise 6:13 AM</t>
  </si>
  <si>
    <t>WB-LB-1990-05-11</t>
  </si>
  <si>
    <t>Longbeach</t>
  </si>
  <si>
    <t>Oysterville approach, NORTH ONLY</t>
  </si>
  <si>
    <t>17:57</t>
  </si>
  <si>
    <t>1:30 - 1:45</t>
  </si>
  <si>
    <t>Counts identical to WB-LB-1998-03-27; date conflict unresolved</t>
  </si>
  <si>
    <t>Survey workbook (legacy)</t>
  </si>
  <si>
    <t>Sheet1</t>
  </si>
  <si>
    <t>Counts are identical to lb98s.xlsx (27-MAR-1998). One of the two dates is wrong. DO NOT POOL BOTH.</t>
  </si>
  <si>
    <t>Counts byte-identical to lb98s.xlsx (27-MAR-1998). Exactly one of the two dates is correct.</t>
  </si>
  <si>
    <t>WB-LB-1998-03-27</t>
  </si>
  <si>
    <t>Mod-high surf; showers; partly cloudy; SW wind 0-5 mph; cold</t>
  </si>
  <si>
    <t>Mod-high</t>
  </si>
  <si>
    <t>Majority of effort was north of the Oysterville approach this season. Byte-identical counts appear in 19900511longbeachnorthonly.xlsx dated 11-MAY-90.</t>
  </si>
  <si>
    <t>'% avail' in source divides by accumulated cars-on at the 0:45-1:00 row (2333), not the window total (2344).</t>
  </si>
  <si>
    <t>DB-08</t>
  </si>
  <si>
    <t>09:06</t>
  </si>
  <si>
    <t>Polo Sanchez</t>
  </si>
  <si>
    <t>1:30 - 1:15</t>
  </si>
  <si>
    <t>Superseded by WB-LB-2004-04-22 (same survey, primary source)</t>
  </si>
  <si>
    <t>Event Data ID=8</t>
  </si>
  <si>
    <t>WB-LB-2004-04-22</t>
  </si>
  <si>
    <t>Oysterville Approach, north to Leadbetter Point</t>
  </si>
  <si>
    <t>Sanchez</t>
  </si>
  <si>
    <t>Longbeach - North</t>
  </si>
  <si>
    <t>DB-06</t>
  </si>
  <si>
    <t>Superseded by WB-LB-2004-04-23 (same survey, primary source)</t>
  </si>
  <si>
    <t>Event Data ID=6</t>
  </si>
  <si>
    <t>Prior-to-start value (3) entered twice: once in 'Prior to start' and once in '3:15 - 3:00'. Inflates total cars-on 82 -&gt; 85 (+3.7%).</t>
  </si>
  <si>
    <t>WB-LB-2004-04-23</t>
  </si>
  <si>
    <t>Seaview Approach, south to Beard's Hollow</t>
  </si>
  <si>
    <t>Deibert</t>
  </si>
  <si>
    <t>Longbeach - South</t>
  </si>
  <si>
    <t>DB-09</t>
  </si>
  <si>
    <t>17:58</t>
  </si>
  <si>
    <t>Alan Sarich</t>
  </si>
  <si>
    <t>Light to Heavy rain</t>
  </si>
  <si>
    <t>S, 5 mph increasing to 30 mph by 7:00 pm</t>
  </si>
  <si>
    <t>Event Data ID=9</t>
  </si>
  <si>
    <t>DB-07</t>
  </si>
  <si>
    <t>19:38</t>
  </si>
  <si>
    <t>Overcast, Occasional drizzle</t>
  </si>
  <si>
    <t>S, 0 - 5</t>
  </si>
  <si>
    <t>Moderate</t>
  </si>
  <si>
    <t>Event Data ID=7</t>
  </si>
  <si>
    <t>DB-10</t>
  </si>
  <si>
    <t>Tuesday</t>
  </si>
  <si>
    <t>Partly cloudy with occasional showers</t>
  </si>
  <si>
    <t>5 - 15</t>
  </si>
  <si>
    <t>Low</t>
  </si>
  <si>
    <t>Event Data ID=10</t>
  </si>
  <si>
    <t>WB-MOC-1998-04-01</t>
  </si>
  <si>
    <t>Mocrocks</t>
  </si>
  <si>
    <t>Moclips + Trestle + Roosevelt (3 approaches combined)</t>
  </si>
  <si>
    <t>Wednesday</t>
  </si>
  <si>
    <t>08:42 (header) / 09:39 implied by bins</t>
  </si>
  <si>
    <t>Low-mod surf; clear, no wind</t>
  </si>
  <si>
    <t>None</t>
  </si>
  <si>
    <t>Low-mod</t>
  </si>
  <si>
    <t>summary</t>
  </si>
  <si>
    <t>Header tide time (0842) is inconsistent with the actual-time bins, which imply low water at 0939. Avg catch 14.4; 2.31 people/car. THIS SURVEY IS THE SOURCE OF THE 'KALALOCH' TABLE.</t>
  </si>
  <si>
    <t>Header tide time 0842 is inconsistent with the bin labels, which imply low water ~0939. THIS SURVEY IS THE SOLE SOURCE OF THE 'KALALOCH DAYLIGHT TABLE'.</t>
  </si>
  <si>
    <t>WB-MOC-1998-04-01-MOCLIPS</t>
  </si>
  <si>
    <t>MOCLIPS</t>
  </si>
  <si>
    <t>08:42</t>
  </si>
  <si>
    <t>0:30 - 0:45</t>
  </si>
  <si>
    <t>Component approach of the same-day summary survey</t>
  </si>
  <si>
    <t>Survey workbook (legacy, per-approach)</t>
  </si>
  <si>
    <t>Component approach of the same-day summary survey. Do not pool with the summary.</t>
  </si>
  <si>
    <t>Prior-to-start cars-on under-recorded on the approach sheets; 15-minute bins reconcile exactly to the summary. On-beach goes negative in some bins.</t>
  </si>
  <si>
    <t>WB-MOC-1998-04-01-ROOSEVELT</t>
  </si>
  <si>
    <t>ROOSEVELT</t>
  </si>
  <si>
    <t>WB-MOC-1998-04-01-TRESTLE</t>
  </si>
  <si>
    <t>TRESTLE</t>
  </si>
  <si>
    <t>DB-01</t>
  </si>
  <si>
    <t>10:22</t>
  </si>
  <si>
    <t>Clear skies and sunny. Cold early but very warm later.</t>
  </si>
  <si>
    <t>West. 0 - 5</t>
  </si>
  <si>
    <t>Low. 4 ft.</t>
  </si>
  <si>
    <t>3:15 - 3:00</t>
  </si>
  <si>
    <t>Superseded by WB-MOC-2004-04-24 (same survey, primary source)</t>
  </si>
  <si>
    <t>Event Data ID=1</t>
  </si>
  <si>
    <t>Stopped the count because most people left were no longer clam digging. They were staying on the beach having picnics and flying kites.</t>
  </si>
  <si>
    <t>Prior-to-start (39 cars on) stored in the '3:15 - 3:00' column. Workbook is authoritative.</t>
  </si>
  <si>
    <t>WB-MOC-2004-04-24</t>
  </si>
  <si>
    <t>Roosevelt Beach Approach</t>
  </si>
  <si>
    <t>J. Deibert</t>
  </si>
  <si>
    <t>Clear, sunny; cold early, warm later</t>
  </si>
  <si>
    <t>W 0-5 mph</t>
  </si>
  <si>
    <t>Low, ~4 ft</t>
  </si>
  <si>
    <t>Count stopped early: remaining people were picnicking / kite flying, not digging.</t>
  </si>
  <si>
    <t>DB-02</t>
  </si>
  <si>
    <t>17:23</t>
  </si>
  <si>
    <t>Rain hard at times. Break in weather at 2:37 pm. Partly cloudy</t>
  </si>
  <si>
    <t>SW 5 - 20</t>
  </si>
  <si>
    <t>Superseded by WB-MOC-2006-11-04 (same survey, primary source)</t>
  </si>
  <si>
    <t>Event Data ID=2</t>
  </si>
  <si>
    <t>Prior-to-start (11 cars on) stored in the '3:15 - 3:00' column. Workbook is authoritative.</t>
  </si>
  <si>
    <t>WB-MOC-2006-11-04</t>
  </si>
  <si>
    <t>L. Wargo</t>
  </si>
  <si>
    <t>Windy, rain hard at times; break at 2:37 PM, partly cloudy. Sunset 4:56 PM</t>
  </si>
  <si>
    <t>SW 5-20 mph</t>
  </si>
  <si>
    <t>Ingress_form_Nov_2006.xls (=20061104Mockrocks.xls)</t>
  </si>
  <si>
    <t>Rain resumed 4:23-4:38 PM; dark near 5:30 PM.</t>
  </si>
  <si>
    <t>DB-03</t>
  </si>
  <si>
    <t>0:15 - 0:30</t>
  </si>
  <si>
    <t>Superseded by WB-MOC-2008-11-13 (same survey, primary source)</t>
  </si>
  <si>
    <t>Event Data ID=3</t>
  </si>
  <si>
    <t>Prior-to-start (27 cars on) stored in the '3:15 - 3:00' column. Workbook is authoritative.</t>
  </si>
  <si>
    <t>WB-MOC-2008-11-13</t>
  </si>
  <si>
    <t>Roosevelt Approach, south to Copalis River</t>
  </si>
  <si>
    <t>J. Beck</t>
  </si>
  <si>
    <t>DB-04</t>
  </si>
  <si>
    <t>20:28</t>
  </si>
  <si>
    <t>Stormy, Rain light to moderate, Heavy at times.</t>
  </si>
  <si>
    <t>SW, 15 - 30</t>
  </si>
  <si>
    <t>Event Data ID=4</t>
  </si>
  <si>
    <t>'3:15 - 3:00' cell holds Prior-to-start + 3:30-3:15 + 3:15-3:00 collapsed (on 55 = 25+15+15; off 8 = 1+3+4). True split recovered from the 03-Nov-2010 published table; see Reconstructed_Surveys.</t>
  </si>
  <si>
    <t>DB-05</t>
  </si>
  <si>
    <t>Event Data ID=5</t>
  </si>
  <si>
    <t>Prior-to-start (6 cars on) stored in '3:15 - 3:00'. ALSO: cars-on at '1:00 - 0:45' is 3; independent evidence (Ingress.Egress.review.xls) implies 23. Total on would be 205, not 185.</t>
  </si>
  <si>
    <t>WB-MOC-2022-04-03</t>
  </si>
  <si>
    <t>Roosevelt App. South</t>
  </si>
  <si>
    <t>Sunday</t>
  </si>
  <si>
    <t>08:45</t>
  </si>
  <si>
    <t>Parson</t>
  </si>
  <si>
    <t>Sunrise 6:49 AM</t>
  </si>
  <si>
    <t>WB-MOC-2023-04-25</t>
  </si>
  <si>
    <t>11:01</t>
  </si>
  <si>
    <t>Janna Goulding</t>
  </si>
  <si>
    <t>Sunny, Low+ surf, N wind 0-5 mph. Sunrise 6:11 AM</t>
  </si>
  <si>
    <t>WB-TH-1998-03-31</t>
  </si>
  <si>
    <t>Twin Harbors</t>
  </si>
  <si>
    <t>Bonge + Grayland + County Line + Midway + North Cove (5 approaches combined)</t>
  </si>
  <si>
    <t>08:48 (header) / 09:03 implied by bins</t>
  </si>
  <si>
    <t>Low-mod surf; clear, W wind 0-5 mph</t>
  </si>
  <si>
    <t>Avg catch 12.8; 2.26 people/car.</t>
  </si>
  <si>
    <t>'% avail' in source divides by 2130, not the window total 2133. Header tide time 0848 is inconsistent with the bin labels (imply low water ~0903).</t>
  </si>
  <si>
    <t>WB-TH-1998-03-31-BONGE</t>
  </si>
  <si>
    <t>BONGE</t>
  </si>
  <si>
    <t>08:48</t>
  </si>
  <si>
    <t>0:30 - 0:15</t>
  </si>
  <si>
    <t>bonge</t>
  </si>
  <si>
    <t>WB-TH-1998-03-31-COUNTY_LINE</t>
  </si>
  <si>
    <t>COUNTY LINE</t>
  </si>
  <si>
    <t>county line</t>
  </si>
  <si>
    <t>WB-TH-1998-03-31-GRAYLAND</t>
  </si>
  <si>
    <t>GRAYLAND</t>
  </si>
  <si>
    <t>grayland</t>
  </si>
  <si>
    <t>WB-TH-1998-03-31-MIDWAY</t>
  </si>
  <si>
    <t>MIDWAY</t>
  </si>
  <si>
    <t>midway</t>
  </si>
  <si>
    <t>WB-TH-1998-03-31-NORTH_COVE</t>
  </si>
  <si>
    <t>NORTH COVE</t>
  </si>
  <si>
    <t>north cove</t>
  </si>
  <si>
    <t>DB-12</t>
  </si>
  <si>
    <t>08:30</t>
  </si>
  <si>
    <t>1:45 - 2:00</t>
  </si>
  <si>
    <t>Superseded by WB-TH-2004-04-21 (same survey, primary source)</t>
  </si>
  <si>
    <t>Event Data ID=12</t>
  </si>
  <si>
    <t>This Ingress / Egress was completed by John Deibert and Dan Ayres. Each counted a different approach and combined their numbers to get the final count.</t>
  </si>
  <si>
    <t>WB-TH-2004-04-21</t>
  </si>
  <si>
    <t>Grayland + Bonge (two approaches combined)</t>
  </si>
  <si>
    <t>Deibert, Ayres</t>
  </si>
  <si>
    <t>Counted by two staff on different approaches; numbers combined.</t>
  </si>
  <si>
    <t>DB-13</t>
  </si>
  <si>
    <t>07:06</t>
  </si>
  <si>
    <t>Showers</t>
  </si>
  <si>
    <t>SW. 5 - 15</t>
  </si>
  <si>
    <t>Event Data ID=13</t>
  </si>
  <si>
    <t>DB-16</t>
  </si>
  <si>
    <t>20:19</t>
  </si>
  <si>
    <t>Event Data ID=16</t>
  </si>
  <si>
    <t>DB-15</t>
  </si>
  <si>
    <t>17:53</t>
  </si>
  <si>
    <t>Event Data ID=15</t>
  </si>
  <si>
    <t>DB-14</t>
  </si>
  <si>
    <t>09:37</t>
  </si>
  <si>
    <t>Glen Beck</t>
  </si>
  <si>
    <t>Overcast, No Rain</t>
  </si>
  <si>
    <t>N, 0 - 5</t>
  </si>
  <si>
    <t>Event Data ID=14</t>
  </si>
  <si>
    <t>DB-11</t>
  </si>
  <si>
    <t>08:54</t>
  </si>
  <si>
    <t>Event Data ID=11</t>
  </si>
  <si>
    <t>Survey coverage (use_for_pooling = Yes only)</t>
  </si>
  <si>
    <t>Counts are live COUNTIFS over Survey_Inventory. Change the filter there and these update.</t>
  </si>
  <si>
    <t>A. Surveys per beach per year</t>
  </si>
  <si>
    <t>1998</t>
  </si>
  <si>
    <t>2004</t>
  </si>
  <si>
    <t>2006</t>
  </si>
  <si>
    <t>2008</t>
  </si>
  <si>
    <t>2009</t>
  </si>
  <si>
    <t>2010</t>
  </si>
  <si>
    <t>2011</t>
  </si>
  <si>
    <t>2022</t>
  </si>
  <si>
    <t>2023</t>
  </si>
  <si>
    <t>2012-2021</t>
  </si>
  <si>
    <t>TOTAL</t>
  </si>
  <si>
    <t>Kalaloch</t>
  </si>
  <si>
    <t>B. Surveys per beach per condition</t>
  </si>
  <si>
    <t>Notes</t>
  </si>
  <si>
    <t>Kalaloch: zero surveys. Its expansion table is the Mocrocks 01-Apr-1998 survey (Data_Issues #1).</t>
  </si>
  <si>
    <t>2012-2021: zero surveys in hand, yet the Long Beach, Twin Harbors, Copalis and Mocrocks evening tables were all revised in 2012-2013. Reconstructed_Surveys recovers the four missing surveys bin by bin from the published tables.</t>
  </si>
  <si>
    <t>Long Beach and Twin Harbors have four daylight surveys each but no daylight expansion table anywhere in the file set (Data_Issues #12).</t>
  </si>
  <si>
    <t>The 1990 Long Beach record is excluded because its counts are identical to the 1998 record (Data_Issues #6). If the 1990 date proves correct, swap the two exclusions.</t>
  </si>
  <si>
    <t>bin_ord</t>
  </si>
  <si>
    <t>bin</t>
  </si>
  <si>
    <t>min_from_low</t>
  </si>
  <si>
    <t>cars_on</t>
  </si>
  <si>
    <t>cars_off</t>
  </si>
  <si>
    <t>cum_cars_on</t>
  </si>
  <si>
    <t>cum_cars_off</t>
  </si>
  <si>
    <t>cars_on_beach</t>
  </si>
  <si>
    <t>pct_available</t>
  </si>
  <si>
    <t>pct_available_as_reported</t>
  </si>
  <si>
    <t>check_delta</t>
  </si>
  <si>
    <t>not_recorded_in_source</t>
  </si>
  <si>
    <t>3:00 - 2:45</t>
  </si>
  <si>
    <t>2:45 - 2:30</t>
  </si>
  <si>
    <t>2:30 - 2:15</t>
  </si>
  <si>
    <t>2:15 - 2:00</t>
  </si>
  <si>
    <t>0:15 - 0:00</t>
  </si>
  <si>
    <t>0:00 - 0:15</t>
  </si>
  <si>
    <t>off</t>
  </si>
  <si>
    <t>3:30 - 3:15</t>
  </si>
  <si>
    <t>1:15 - 1:30</t>
  </si>
  <si>
    <t>2004-04-23 Day [excl]</t>
  </si>
  <si>
    <t>2004-04-23 Day</t>
  </si>
  <si>
    <t>2008-11-13 Eve [excl]</t>
  </si>
  <si>
    <t>2008-11-13 Eve</t>
  </si>
  <si>
    <t>2010-10-08 Eve</t>
  </si>
  <si>
    <t>2011-04-22 Day</t>
  </si>
  <si>
    <t>2022-04-02 Day</t>
  </si>
  <si>
    <t>2023-04-24 Day</t>
  </si>
  <si>
    <t>1990-05-11 Eve [excl]</t>
  </si>
  <si>
    <t>1998-03-27 Eve</t>
  </si>
  <si>
    <t>2004-04-22 Day [excl]</t>
  </si>
  <si>
    <t>2004-04-22 Day</t>
  </si>
  <si>
    <t>2009-01-10 Eve</t>
  </si>
  <si>
    <t>2011-01-21 Eve</t>
  </si>
  <si>
    <t>2011-04-19 Day</t>
  </si>
  <si>
    <t>1998-04-01 Day</t>
  </si>
  <si>
    <t>1998-04-01 Day [excl]</t>
  </si>
  <si>
    <t>2004-04-24 Day [excl]</t>
  </si>
  <si>
    <t>2004-04-24 Day</t>
  </si>
  <si>
    <t>2006-11-04 Eve [excl]</t>
  </si>
  <si>
    <t>2006-11-04 Eve</t>
  </si>
  <si>
    <t>2010-10-09 Eve</t>
  </si>
  <si>
    <t>2011-04-21 Day</t>
  </si>
  <si>
    <t>2022-04-03 Day</t>
  </si>
  <si>
    <t>2023-04-25 Day</t>
  </si>
  <si>
    <t>1998-03-31 Day</t>
  </si>
  <si>
    <t>1998-03-31 Day [excl]</t>
  </si>
  <si>
    <t>2004-04-21 Day [excl]</t>
  </si>
  <si>
    <t>2004-04-21 Day</t>
  </si>
  <si>
    <t>2010-04-27 Day</t>
  </si>
  <si>
    <t>2011-01-22 Eve</t>
  </si>
  <si>
    <t>2011-02-17 Eve</t>
  </si>
  <si>
    <t>2011-04-07 Day</t>
  </si>
  <si>
    <t>2011-04-20 Day</t>
  </si>
  <si>
    <t>table_updated_on</t>
  </si>
  <si>
    <t>table_type</t>
  </si>
  <si>
    <t>condition_label</t>
  </si>
  <si>
    <t>2011-01-25</t>
  </si>
  <si>
    <t>Evening (pooled)</t>
  </si>
  <si>
    <t>Evening tide</t>
  </si>
  <si>
    <t>Longbeach/Twin_Harbors_Evening_Tides_Cumulative_Ingress.pdf (=201101 25*)</t>
  </si>
  <si>
    <t>2013-02-11</t>
  </si>
  <si>
    <t>Longbeach_Evening_Tides_Cumulative_Ingress_20130918.pdf (table says 2/11/2013)</t>
  </si>
  <si>
    <t>Evening (single survey)</t>
  </si>
  <si>
    <t>2013-09-24</t>
  </si>
  <si>
    <t>2010-11-03</t>
  </si>
  <si>
    <t>Copalis/Mocrocks_Evening_Tides_Cumulative_Ingress.pdf</t>
  </si>
  <si>
    <t>2012-12-19</t>
  </si>
  <si>
    <t>2013-09-18</t>
  </si>
  <si>
    <t>beach_label</t>
  </si>
  <si>
    <t>pct_available_published</t>
  </si>
  <si>
    <t>traced_to_survey</t>
  </si>
  <si>
    <t>hand_appended</t>
  </si>
  <si>
    <t>Copalis Daylight Table</t>
  </si>
  <si>
    <t>Daylight / good weather</t>
  </si>
  <si>
    <t>Copalis Near Dark Table</t>
  </si>
  <si>
    <t>Low tide just after dark</t>
  </si>
  <si>
    <t>Mocrocks Daylight Table</t>
  </si>
  <si>
    <t>Mocrocks Daylight weather</t>
  </si>
  <si>
    <t>Daylight / poor weather</t>
  </si>
  <si>
    <t>Kalaloch Daylight Table</t>
  </si>
  <si>
    <t>WB-MOC-1998-04-01 (Mocrocks!)</t>
  </si>
  <si>
    <t>table</t>
  </si>
  <si>
    <t>component surveys</t>
  </si>
  <si>
    <t>verification</t>
  </si>
  <si>
    <t>status</t>
  </si>
  <si>
    <t>DB-07 (2011-01-21 PM) + DB-09 (2009-01-10 PM)</t>
  </si>
  <si>
    <t>Exact. All 23 bins, cars-on and cars-off, reproduce the published table. Totals 1252 on / 1217 off.</t>
  </si>
  <si>
    <t>Verified</t>
  </si>
  <si>
    <t>2011-01-25 table + one unlocated evening survey</t>
  </si>
  <si>
    <t>Difference is non-negative in every bin: 585 cars on, 555 cars off. See Reconstructed_Surveys.</t>
  </si>
  <si>
    <t>Partly verified</t>
  </si>
  <si>
    <t>DB-16 (2011-01-22 PM) alone</t>
  </si>
  <si>
    <t>Exact. Single survey, prior-to-start left in place. Totals 245 on / 219 off.</t>
  </si>
  <si>
    <t>DB-16 + DB-15 (2011-02-17 PM) + one unlocated evening survey</t>
  </si>
  <si>
    <t>Priors summed into Prior-to-start (no folding). Residual is non-negative: 346 cars on, 336 cars off.</t>
  </si>
  <si>
    <t>DB-17 (2008-11-13 PM) + DB-20 (2010-10-08 PM)</t>
  </si>
  <si>
    <t>Exact, but ONLY if DB-17's prior-to-start (16 on) is folded into the 3:15-3:00 bin. Totals 717 on / 670 off.</t>
  </si>
  <si>
    <t>2010-11-03 table + one unlocated evening survey</t>
  </si>
  <si>
    <t>Difference non-negative in every bin: 142 cars on, 137 cars off.</t>
  </si>
  <si>
    <t>DB-02 (2006-11-04 PM) + DB-03 (2008-11-13 PM) + DB-04 (2010-10-09 PM)</t>
  </si>
  <si>
    <t>Exact. Also recovers DB-04's true prior / 3:30-3:15 / 3:15-3:00 split (25/15/15 on, 1/3/4 off), which the database collapsed into one cell. Totals 643 on / 590 off.</t>
  </si>
  <si>
    <t>Difference non-negative in every bin: 119 cars on, 106 cars off.</t>
  </si>
  <si>
    <t>Master_Tables daylight</t>
  </si>
  <si>
    <t>WB-COP-2004-04-23 alone</t>
  </si>
  <si>
    <t>18 of 19 bins match to 1e-9. One hand-appended value (0.015 at 1:15-1:30) has no survey behind it.</t>
  </si>
  <si>
    <t>Master_Tables near dark</t>
  </si>
  <si>
    <t>WB-COP-2008-11-13 alone</t>
  </si>
  <si>
    <t>All 17 bins match to 1e-9.</t>
  </si>
  <si>
    <t>WB-MOC-2004-04-24 alone</t>
  </si>
  <si>
    <t>17 bins match to 1e-9. Four hand-appended tail values (0.1548, 0.0953, 0.052, 0.012) have no survey behind them.</t>
  </si>
  <si>
    <t>Master_Tables daylight/poor weather</t>
  </si>
  <si>
    <t>WB-MOC-2006-11-04 alone</t>
  </si>
  <si>
    <t>All 17 bins match to 1e-9. NOTE: that survey's low water was 27 minutes AFTER sunset and the database flags it Evening.</t>
  </si>
  <si>
    <t>WB-MOC-1998-04-01 (a MOCROCKS survey)</t>
  </si>
  <si>
    <t>All 13 values are the Mocrocks 01-Apr-1998 % available column rounded to 3 dp. The cars-left value 303 also carries across. There is no Kalaloch egress survey in any file.</t>
  </si>
  <si>
    <t>reconstruction</t>
  </si>
  <si>
    <t>method</t>
  </si>
  <si>
    <t>LB evening survey(s), between 2011-01-25 and 2013-02-11</t>
  </si>
  <si>
    <t>Published 2013-02-11 table minus published 2011-01-25 table. Non-negative in every bin. NOTE: this survey's window ends at low water (no counts after 0:15-0:00). See Data_Issues #15.</t>
  </si>
  <si>
    <t>TH evening survey, between 2011-02-17 and 2013-09-24</t>
  </si>
  <si>
    <t>Published 2013-09-24 table minus (DB-16 + DB-15). Non-negative in every bin.</t>
  </si>
  <si>
    <t>COP evening survey, between 2010-11-03 and 2012-12-19</t>
  </si>
  <si>
    <t>Published 2012-12-19 table minus published 2010-11-03 table. Non-negative in every bin.</t>
  </si>
  <si>
    <t>MOC evening survey, between 2010-11-03 and 2013-09-18</t>
  </si>
  <si>
    <t>Published 2013-09-18 table minus published 2010-11-03 table. Non-negative in every bin.</t>
  </si>
  <si>
    <t>DB-04 (2010-10-09) TRUE bin split, recovered</t>
  </si>
  <si>
    <t>Published 2010-11-03 Mocrocks table minus (DB-02 + DB-03). Reverses the collapse of prior / 3:30-3:15 / 3:15-3:00 into one database cell.</t>
  </si>
  <si>
    <t>#</t>
  </si>
  <si>
    <t>severity</t>
  </si>
  <si>
    <t>issue</t>
  </si>
  <si>
    <t>where</t>
  </si>
  <si>
    <t>evidence</t>
  </si>
  <si>
    <t>effect</t>
  </si>
  <si>
    <t>recommendation</t>
  </si>
  <si>
    <t>Kalaloch expansion table is a Mocrocks survey</t>
  </si>
  <si>
    <t>Master_Tables.xls 'Kalaloch Daylight Table'; Kalaloch_Ingress_Egress.xls 'summary'; moc98s.xlsx 'summary'</t>
  </si>
  <si>
    <t>All 13 values of the Kalaloch table equal the Mocrocks 01-Apr-1998 % available column to 16 significant figures (0.48325635103926096, 0.5871824480369515, ...). The cars-left figure 303 in Kalaloch_Ingress_Egress.xls is Mocrocks' 303. There is no Kalaloch egress survey in the Access database or any workbook.</t>
  </si>
  <si>
    <t>Every Kalaloch harvest estimate expanded with this table has been expanded on Mocrocks effort behaviour. Kalaloch is inside Olympic National Park, is reached by different approaches, and has a different effort profile. Direction and magnitude of bias unknown.</t>
  </si>
  <si>
    <t>Confirm with program staff whether a Kalaloch egress survey was ever run. If not, either run one or state explicitly in the methodology that Kalaloch borrows the Mocrocks curve.</t>
  </si>
  <si>
    <t>Access database collapses three bins into one for DB-04</t>
  </si>
  <si>
    <t>Razor_Clam_Ingress.accdb, Cars On / Cars Off, ID = 4 (Mocrocks, 09-Oct-2010)</t>
  </si>
  <si>
    <t>Stored '3:15 - 3:00' = 55 on / 8 off. The published Mocrocks 03-Nov-2010 table, which is exactly DB-02 + DB-03 + DB-04, requires 25/15/15 on and 1/3/4 off across Prior-to-start, 3:30-3:15 and 3:15-3:00.</t>
  </si>
  <si>
    <t>Any curve pooled straight from the database mis-places 40 cars-on and 4 cars-off into a single early bin, distorting the leading edge of the Mocrocks evening curve.</t>
  </si>
  <si>
    <t>Correct the database record using the recovered split in Reconstructed_Surveys, or treat the published table as primary for this survey.</t>
  </si>
  <si>
    <t>Probable transcription error in DB-05 cars-on</t>
  </si>
  <si>
    <t>Razor_Clam_Ingress.accdb ID = 5 (Mocrocks, 21-Apr-2011); Ingress_Egress_review.xls 'Mocrocks' column F</t>
  </si>
  <si>
    <t>Stored cars-on at '1:00 - 0:45' is 3. Pooling DB-01 + DB-05 with 3 gives a total of 892 and an on-beach series that diverges from the review sheet's 'Mocrocks 2011 AM' curve from that bin onward by exactly 20 cars. Substituting 23 reproduces the review curve bin-for-bin and gives the review sheet's own denominator, 912.</t>
  </si>
  <si>
    <t>Mocrocks daylight curve understated by up to 3.7 percentage points from 1:00-0:45 onward; survey total understated by 20 cars (10.8 percent).</t>
  </si>
  <si>
    <t>Check the 21-Apr-2011 field sheet. If it reads 23, correct the database.</t>
  </si>
  <si>
    <t>Medium</t>
  </si>
  <si>
    <t>Access database stores Mocrocks prior-to-start in the wrong column</t>
  </si>
  <si>
    <t>Razor_Clam_Ingress.accdb, Cars On, IDs 1-5 (all Mocrocks events)</t>
  </si>
  <si>
    <t>For IDs 1, 2 and 3 the workbook prior-to-start values (39, 11, 27) appear in the '3:15 - 3:00' column with 'Prior To Start' left null. Verified against Ingress_form_April_2004.xlsx, Ingress_form_Nov_2006.xls and Ingress_form_November_13_2008.xls. The 'Prior To Start' and '3:30 - 3:15' columns sit last in the table definition, suggesting they were added after the Mocrocks records were keyed.</t>
  </si>
  <si>
    <t>Cumulative sums from 3:15-3:00 onward are unaffected, so derived curves are almost unchanged. But any query that reads 'Prior To Start' or that reports the survey window will be wrong for every Mocrocks event.</t>
  </si>
  <si>
    <t>Re-key the five Mocrocks records, or add a documented view that remaps them.</t>
  </si>
  <si>
    <t>Duplicate prior-to-start in DB-06 inflates the Long Beach 2004 south survey</t>
  </si>
  <si>
    <t>Razor_Clam_Ingress.accdb ID = 6; Ingress_form_April_2004.xlsx 'Longbeach - South'</t>
  </si>
  <si>
    <t>Database holds 3 cars-on in both 'Prior to start' and '3:15 - 3:00'. The workbook has 3 in prior-to-start only. Database total 85 vs workbook total 82.</t>
  </si>
  <si>
    <t>Total cars-on inflated 3.7 percent; every % available value in that survey depressed by the same factor.</t>
  </si>
  <si>
    <t>Delete the '3:15 - 3:00' value for ID 6.</t>
  </si>
  <si>
    <t>Identical counts filed under two different dates, eight years apart</t>
  </si>
  <si>
    <t>lb98s.xlsx (27-MAR-1998, Friday) and 19900511longbeachnorthonly.xlsx (11-MAY-1990, Friday)</t>
  </si>
  <si>
    <t>Every cars-on and cars-off value, the 2344 total, the 93 cars left and the -7 discrepancy are identical. Both files carry the tide string '1757 -0.2'. 27-Mar-1998 and 11-May-1990 were both Fridays. Only lb98s.xlsx carries weather, avg catch (7.3) and people-per-car (2.98).</t>
  </si>
  <si>
    <t>This is the single largest Long Beach survey on record (2344 cars). Assigning it to the wrong year mis-dates the north-approach effort profile and, if both files are pooled, double-counts it.</t>
  </si>
  <si>
    <t>Resolve against tide tables (a -0.2 ft low at 17:57 will fit only one of the two dates) or the original field sheets. Until resolved, use one record only; the inventory marks the 1990 record use_for_pooling = No.</t>
  </si>
  <si>
    <t>Inconsistent pooling convention for prior-to-start</t>
  </si>
  <si>
    <t>Published Copalis 03-Nov-2010 table vs published Twin Harbors 24-Sep-2013 table</t>
  </si>
  <si>
    <t>Copalis 03-Nov-2010 = DB-17 + DB-20, and reproduces exactly only when DB-17's prior-to-start (16 on) is folded into the 3:15-3:00 bin, because DB-17's window started 3:00 before low water while DB-20's started 3:30 before. Twin Harbors 24-Sep-2013 instead sums the priors of DB-16 and DB-15 (68 + 19 = 87) into Prior-to-start, even though those two windows also differ.</t>
  </si>
  <si>
    <t>The prior-to-start bin, which anchors the whole cumulative curve, is treated differently on different beaches. Where priors are summed rather than folded, the leading bins of the pooled curve are understated.</t>
  </si>
  <si>
    <t>Adopt one rule, document it, and re-derive all four evening tables under it.</t>
  </si>
  <si>
    <t>1998 approach sheets under-record prior-to-start</t>
  </si>
  <si>
    <t>moc98s.xlsx (MOCLIPS/TRESTLE/ROOSEVELT); th98s.xlsx (five approach sheets)</t>
  </si>
  <si>
    <t>Every 15-minute bin sums exactly from the approach sheets to the summary sheet, for cars-on and cars-off alike. Only prior-to-start does not: Mocrocks approaches sum to 112 against a summary of 599 (shortfall 487); Twin Harbors approaches sum to 155 against 581 (shortfall 426). Because of that, cumulative cars-off exceed cumulative cars-on on the Roosevelt, County Line, Midway and North Cove sheets, giving negative cars-on-beach (Roosevelt reaches -180).</t>
  </si>
  <si>
    <t>The per-approach sheets cannot be used for per-approach effort curves. The summaries are sound.</t>
  </si>
  <si>
    <t>Use the summary sheets only. Inventory marks the approach records use_for_pooling = No.</t>
  </si>
  <si>
    <t>1998 summaries divide % available by the wrong denominator</t>
  </si>
  <si>
    <t>lb98s.xlsx, th98s.xlsx</t>
  </si>
  <si>
    <t>lb98s divides by accumulated cars-on at the 0:45-1:00 row (2333) rather than the window total (2344); th98s divides by 2130 rather than 2133. moc98s is correct (1732).</t>
  </si>
  <si>
    <t>% available overstated by 0.47 percent (Long Beach) and 0.14 percent (Twin Harbors) throughout those two curves.</t>
  </si>
  <si>
    <t>Recompute from the raw counts, which are in Survey_Counts. The recomputed pct_available column already uses the window total.</t>
  </si>
  <si>
    <t>Header tide times inconsistent with the bin labels in the 1998 summaries</t>
  </si>
  <si>
    <t>moc98s.xlsx (header 0842), th98s.xlsx (header 0848)</t>
  </si>
  <si>
    <t>For moc98s the actual-time column runs 0739 to 1109 with '0924-0939' labelled '0:15-0:00', which places low water at 0939, not 0842. The % available curve peaks at 0839-0854, i.e. one hour before 0939, which is the normal pattern; it would peak exactly at low water under the 0842 header. th98s shows the same 15-minute style offset.</t>
  </si>
  <si>
    <t>Only affects interpretation of the actual-time column, not the relative-time bins used for expansion.</t>
  </si>
  <si>
    <t>Treat the relative-time bins as authoritative; correct the headers.</t>
  </si>
  <si>
    <t>Ingress_Egress_review.xls is misaligned and mislabelled</t>
  </si>
  <si>
    <t>Ingress_Egress_review.xls, sheets 'Copalis' and 'Mocrocks'</t>
  </si>
  <si>
    <t>'Copalis Historical' is the 23-Apr-2004 daylight survey pasted two bins early (its 3:00-2:45 value sits on the 3:30-3:15 row). 'Copalis 2011 AM' is that same 2004 survey, correctly placed, not a 2011 survey. 'Copalis 2011 PM' is the pooled evening table (717 cars) plus the 2004 daylight survey (374 cars), denominator 1091, so a daylight survey has been pooled into a PM curve. 'Mocrocks 2011 PM' is simply the published 03-Nov-2010 evening table.</t>
  </si>
  <si>
    <t>If this sheet was ever used to justify a table revision, the justification is unsound.</t>
  </si>
  <si>
    <t>Do not use as a data source. It is retained here only because its 'Mocrocks 2011 AM' column independently corroborates issue #3.</t>
  </si>
  <si>
    <t>Long Beach and Twin Harbors have no daylight expansion table</t>
  </si>
  <si>
    <t>Master_Tables.xls contains Copalis daylight, Copalis near-dark, Mocrocks daylight, Mocrocks daylight/poor-weather and (spuriously) Kalaloch daylight. There is no Long Beach or Twin Harbors table of any condition, even though six Long Beach and seven Twin Harbors surveys exist, including four daylight surveys at each.</t>
  </si>
  <si>
    <t>Daylight openers at those two beaches must be expanded with an evening table or with an undocumented factor.</t>
  </si>
  <si>
    <t>Derive daylight tables for Long Beach and Twin Harbors from the surveys in this workbook, or document what is actually used.</t>
  </si>
  <si>
    <t>Hand-appended tail values with no survey behind them</t>
  </si>
  <si>
    <t>Master_Tables.xls; EGRESS_MASTER.xlsx 'Copalis Table' / 'Mocrocks Table'</t>
  </si>
  <si>
    <t>The Copalis daylight table carries 0.015 at 1:15-1:30, one bin past the last bin the 2004 survey recorded. The Mocrocks daylight table carries 0.1548, 0.0953, 0.052 and 0.012 across 1:00-1:15 through 1:45-2:00, four bins past the survey's last recorded bin (0:45-1:00, 0.2051).</t>
  </si>
  <si>
    <t>Counts taken more than an hour after low water are expanded using numbers that are not in any survey. The Mocrocks tail also implies effort dropping from 20.5 percent to 1.2 percent in one hour, steeper than any observed survey.</t>
  </si>
  <si>
    <t>Identify the source of these five numbers or remove them and truncate the tables at the last surveyed bin.</t>
  </si>
  <si>
    <t>Filename dates do not always match the table's own 'Updated on' date</t>
  </si>
  <si>
    <t>The table inside says 'Updated on: 2/11/2013'. The identical table is also filed as 20130211Longbeach_Evening_Tides_Cumulative_Ingress.pdf. Separately, all fourteen '*_Cumulative_Ingress.pdf' files are XLSX/zip containers, not PDFs.</t>
  </si>
  <si>
    <t>Version confusion. There is no Long Beach evening table dated Sep 2013, contrary to what the filename implies.</t>
  </si>
  <si>
    <t>Rename to match the 'Updated on' cell, or drop the date from the filename.</t>
  </si>
  <si>
    <t>Pooled tables mix surveys with different window lengths, and do not say so</t>
  </si>
  <si>
    <t>Published Long Beach 11-Feb-2013 table; Reconstructed_Surveys</t>
  </si>
  <si>
    <t>The Long Beach survey added between the 25-Jan-2011 and 11-Feb-2013 tables recorded no cars on or off after the 0:15-0:00 bin: its counting window ended at low water. It nonetheless contributes 585 cars, 32 percent of the pooled total of 1837, to the denominator of every bin, while supplying no egress observation for any of the eight post-low bins; its 30 unreleased cars are simply carried forward as a constant. Its own curve is otherwise normal, peaking at 84.6 percent in the 2:15-2:00 bin. Twin Harbors, Copalis and Mocrocks carry the same defect at smaller scale (10, 5 and 13 unreleased cars).</t>
  </si>
  <si>
    <t>The post-low bins of a pooled table rest on fewer surveys than the pre-low bins, and nothing in the published table records how many. Any beach count that starts late, and therefore draws its correction factor from the post-low bins, is expanded on the thinnest evidence in the table.</t>
  </si>
  <si>
    <t>Publish a per-bin count of contributing surveys alongside each pooled table. Then either truncate the table at the last bin every component survey covers, or weight bins by contributing surveys rather than pooling raw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</si>
</sst>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9" x14ac:knownFonts="1">
    <font>
      <sz val="11"/>
      <color theme="1"/>
      <name val="Calibri"/>
      <family val="2"/>
      <charset val="1"/>
    </font>
    <font>
      <b/>
      <sz val="14"/>
      <color rgb="FF1F3864"/>
      <name val="Arial"/>
      <charset val="1"/>
    </font>
    <font>
      <sz val="10"/>
      <name val="Arial"/>
      <charset val="1"/>
    </font>
    <font>
      <b/>
      <sz val="11"/>
      <color rgb="FF1F3864"/>
      <name val="Arial"/>
      <charset val="1"/>
    </font>
    <font>
      <b/>
      <sz val="10"/>
      <color rgb="FFFFFFFF"/>
      <name val="Arial"/>
      <charset val="1"/>
    </font>
    <font>
      <b/>
      <sz val="13"/>
      <color rgb="FF1F3864"/>
      <name val="Arial"/>
      <charset val="1"/>
    </font>
    <font>
      <i/>
      <sz val="10"/>
      <name val="Arial"/>
      <charset val="1"/>
    </font>
    <font>
      <b/>
      <sz val="10"/>
      <name val="Arial"/>
      <charset val="1"/>
    </font>
    <font>
      <i/>
      <sz val="10"/>
      <color rgb="FF808080"/>
      <name val="Arial"/>
      <charset val="1"/>
    </font>
  </fonts>
  <fills count="7">
    <fill>
      <patternFill patternType="none"/>
    </fill>
    <fill>
      <patternFill patternType="gray125"/>
    </fill>
    <fill>
      <patternFill patternType="solid">
        <fgColor rgb="FF1F3864"/>
        <bgColor rgb="FF333333"/>
      </patternFill>
    </fill>
    <fill>
      <patternFill patternType="solid">
        <fgColor rgb="FFD9E1F2"/>
        <bgColor rgb="FFC6EFCE"/>
      </patternFill>
    </fill>
    <fill>
      <patternFill patternType="solid">
        <fgColor rgb="FFF8CBAD"/>
        <bgColor rgb="FFFFF2CC"/>
      </patternFill>
    </fill>
    <fill>
      <patternFill patternType="solid">
        <fgColor rgb="FFFFF2CC"/>
        <bgColor rgb="FFFFFFFF"/>
      </patternFill>
    </fill>
    <fill>
      <patternFill patternType="solid">
        <fgColor rgb="FFC6EFCE"/>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2" fillId="0" borderId="0" xfId="0" applyFont="1" applyAlignment="1">
      <alignment vertical="top" wrapText="1"/>
    </xf>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164" fontId="2" fillId="0" borderId="1" xfId="0" applyNumberFormat="1" applyFont="1" applyBorder="1" applyAlignment="1">
      <alignment vertical="top"/>
    </xf>
    <xf numFmtId="165" fontId="2" fillId="0" borderId="1" xfId="0" applyNumberFormat="1" applyFont="1" applyBorder="1" applyAlignment="1">
      <alignment vertical="top"/>
    </xf>
    <xf numFmtId="0" fontId="2" fillId="5" borderId="1" xfId="0" applyFont="1" applyFill="1" applyBorder="1" applyAlignment="1">
      <alignment vertical="top" wrapText="1"/>
    </xf>
    <xf numFmtId="0" fontId="5" fillId="0" borderId="0" xfId="0" applyFont="1"/>
    <xf numFmtId="0" fontId="6" fillId="0" borderId="0" xfId="0" applyFont="1"/>
    <xf numFmtId="0" fontId="7" fillId="0" borderId="0" xfId="0" applyFont="1"/>
    <xf numFmtId="0" fontId="4" fillId="2" borderId="1" xfId="0" applyFont="1" applyFill="1" applyBorder="1" applyAlignment="1">
      <alignment horizontal="center" wrapText="1"/>
    </xf>
    <xf numFmtId="0" fontId="7" fillId="3" borderId="1" xfId="0" applyFont="1" applyFill="1" applyBorder="1"/>
    <xf numFmtId="0" fontId="2" fillId="0" borderId="1" xfId="0" applyFont="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2" fillId="0" borderId="1" xfId="0" applyFont="1" applyBorder="1"/>
    <xf numFmtId="164" fontId="2" fillId="0" borderId="1" xfId="0" applyNumberFormat="1" applyFont="1" applyBorder="1"/>
    <xf numFmtId="10" fontId="2" fillId="0" borderId="1" xfId="0" applyNumberFormat="1" applyFont="1" applyBorder="1"/>
    <xf numFmtId="0" fontId="2" fillId="3" borderId="1" xfId="0" applyFont="1" applyFill="1" applyBorder="1"/>
    <xf numFmtId="0" fontId="8" fillId="3" borderId="0" xfId="0" applyFont="1" applyFill="1" applyAlignment="1">
      <alignment horizontal="center"/>
    </xf>
    <xf numFmtId="0" fontId="7" fillId="3" borderId="0" xfId="0" applyFont="1" applyFill="1" applyAlignment="1">
      <alignment horizontal="center"/>
    </xf>
    <xf numFmtId="0" fontId="6" fillId="3" borderId="0" xfId="0" applyFont="1" applyFill="1" applyAlignment="1">
      <alignment horizontal="center"/>
    </xf>
    <xf numFmtId="0" fontId="4" fillId="2" borderId="0" xfId="0" applyFont="1" applyFill="1" applyAlignment="1">
      <alignment horizontal="center" wrapText="1"/>
    </xf>
    <xf numFmtId="165" fontId="2" fillId="0" borderId="1" xfId="0" applyNumberFormat="1" applyFont="1" applyBorder="1"/>
    <xf numFmtId="0" fontId="2" fillId="5" borderId="1" xfId="0" applyFont="1" applyFill="1" applyBorder="1"/>
    <xf numFmtId="0" fontId="2" fillId="4" borderId="1" xfId="0" applyFont="1" applyFill="1" applyBorder="1"/>
    <xf numFmtId="0" fontId="2" fillId="6" borderId="1"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8"/>
  <sheetViews>
    <sheetView showGridLines="0" topLeftCell="A10" zoomScaleNormal="100" workbookViewId="0">
      <selection activeCell="A26" sqref="A26:XFD26"/>
    </sheetView>
  </sheetViews>
  <sheetFormatPr defaultColWidth="8.7109375" defaultRowHeight="15" x14ac:dyDescent="0.25"/>
  <cols>
    <col min="1" max="1" width="3" customWidth="1"/>
    <col min="2" max="2" width="122" customWidth="1"/>
  </cols>
  <sheetData>
    <row r="1" spans="2:2" ht="17.25" customHeight="1" x14ac:dyDescent="0.25">
      <c r="B1" s="2" t="s">
        <v>0</v>
      </c>
    </row>
    <row r="2" spans="2:2" ht="45.75" customHeight="1" x14ac:dyDescent="0.25">
      <c r="B2" s="3" t="s">
        <v>1</v>
      </c>
    </row>
    <row r="3" spans="2:2" ht="15" customHeight="1" x14ac:dyDescent="0.25">
      <c r="B3" s="4" t="s">
        <v>2</v>
      </c>
    </row>
    <row r="4" spans="2:2" ht="45.75" customHeight="1" x14ac:dyDescent="0.25">
      <c r="B4" s="3" t="s">
        <v>3</v>
      </c>
    </row>
    <row r="5" spans="2:2" ht="15" customHeight="1" x14ac:dyDescent="0.25">
      <c r="B5" s="4" t="s">
        <v>4</v>
      </c>
    </row>
    <row r="6" spans="2:2" ht="30" customHeight="1" x14ac:dyDescent="0.25">
      <c r="B6" s="3" t="s">
        <v>5</v>
      </c>
    </row>
    <row r="7" spans="2:2" ht="30" customHeight="1" x14ac:dyDescent="0.25">
      <c r="B7" s="3" t="s">
        <v>6</v>
      </c>
    </row>
    <row r="8" spans="2:2" ht="30" customHeight="1" x14ac:dyDescent="0.25">
      <c r="B8" s="3" t="s">
        <v>7</v>
      </c>
    </row>
    <row r="9" spans="2:2" ht="30" customHeight="1" x14ac:dyDescent="0.25">
      <c r="B9" s="3" t="s">
        <v>8</v>
      </c>
    </row>
    <row r="10" spans="2:2" ht="30" customHeight="1" x14ac:dyDescent="0.25">
      <c r="B10" s="3" t="s">
        <v>9</v>
      </c>
    </row>
    <row r="11" spans="2:2" ht="30" customHeight="1" x14ac:dyDescent="0.25">
      <c r="B11" s="3" t="s">
        <v>10</v>
      </c>
    </row>
    <row r="12" spans="2:2" ht="30" customHeight="1" x14ac:dyDescent="0.25">
      <c r="B12" s="3" t="s">
        <v>11</v>
      </c>
    </row>
    <row r="13" spans="2:2" ht="30" customHeight="1" x14ac:dyDescent="0.25">
      <c r="B13" s="3" t="s">
        <v>12</v>
      </c>
    </row>
    <row r="14" spans="2:2" ht="15" customHeight="1" x14ac:dyDescent="0.25">
      <c r="B14" s="3" t="s">
        <v>13</v>
      </c>
    </row>
    <row r="15" spans="2:2" ht="45.75" customHeight="1" x14ac:dyDescent="0.25">
      <c r="B15" s="4" t="s">
        <v>14</v>
      </c>
    </row>
    <row r="16" spans="2:2" ht="15" customHeight="1" x14ac:dyDescent="0.25">
      <c r="B16" s="3" t="s">
        <v>15</v>
      </c>
    </row>
    <row r="17" spans="2:2" ht="30" customHeight="1" x14ac:dyDescent="0.25">
      <c r="B17" s="4" t="s">
        <v>16</v>
      </c>
    </row>
    <row r="18" spans="2:2" ht="30" customHeight="1" x14ac:dyDescent="0.25">
      <c r="B18" s="3" t="s">
        <v>17</v>
      </c>
    </row>
    <row r="19" spans="2:2" ht="15" customHeight="1" x14ac:dyDescent="0.25">
      <c r="B19" s="3" t="s">
        <v>18</v>
      </c>
    </row>
    <row r="20" spans="2:2" ht="45.75" customHeight="1" x14ac:dyDescent="0.25">
      <c r="B20" s="4" t="s">
        <v>19</v>
      </c>
    </row>
    <row r="21" spans="2:2" ht="15" customHeight="1" x14ac:dyDescent="0.25">
      <c r="B21" s="3" t="s">
        <v>20</v>
      </c>
    </row>
    <row r="22" spans="2:2" ht="45.75" customHeight="1" x14ac:dyDescent="0.25">
      <c r="B22" s="4" t="s">
        <v>21</v>
      </c>
    </row>
    <row r="23" spans="2:2" ht="25.5" x14ac:dyDescent="0.25">
      <c r="B23" s="3" t="s">
        <v>22</v>
      </c>
    </row>
    <row r="24" spans="2:2" ht="30" customHeight="1" x14ac:dyDescent="0.25">
      <c r="B24" s="4" t="s">
        <v>23</v>
      </c>
    </row>
    <row r="25" spans="2:2" ht="30" customHeight="1" x14ac:dyDescent="0.25">
      <c r="B25" s="3" t="s">
        <v>24</v>
      </c>
    </row>
    <row r="26" spans="2:2" ht="25.5" x14ac:dyDescent="0.25">
      <c r="B26" s="3" t="s">
        <v>25</v>
      </c>
    </row>
    <row r="27" spans="2:2" ht="25.5" x14ac:dyDescent="0.25">
      <c r="B27" s="3" t="s">
        <v>26</v>
      </c>
    </row>
    <row r="28" spans="2:2" ht="15" customHeight="1" x14ac:dyDescent="0.25">
      <c r="B28" s="3" t="s">
        <v>27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zoomScaleNormal="100" workbookViewId="0">
      <pane ySplit="1" topLeftCell="A2" activePane="bottomLeft" state="frozen"/>
      <selection pane="bottomLeft"/>
    </sheetView>
  </sheetViews>
  <sheetFormatPr defaultColWidth="8.7109375" defaultRowHeight="15" x14ac:dyDescent="0.25"/>
  <cols>
    <col min="1" max="1" width="56" customWidth="1"/>
    <col min="2" max="2" width="18" customWidth="1"/>
    <col min="3" max="3" width="20" customWidth="1"/>
    <col min="4" max="4" width="16" customWidth="1"/>
    <col min="5" max="5" width="14" customWidth="1"/>
    <col min="6" max="6" width="90" customWidth="1"/>
  </cols>
  <sheetData>
    <row r="1" spans="1:6" ht="30" customHeight="1" x14ac:dyDescent="0.25">
      <c r="A1" s="5" t="s">
        <v>28</v>
      </c>
      <c r="B1" s="5" t="s">
        <v>29</v>
      </c>
      <c r="C1" s="5" t="s">
        <v>30</v>
      </c>
      <c r="D1" s="5" t="s">
        <v>31</v>
      </c>
      <c r="E1" s="5" t="s">
        <v>32</v>
      </c>
      <c r="F1" s="5" t="s">
        <v>33</v>
      </c>
    </row>
    <row r="2" spans="1:6" ht="23.25" customHeight="1" x14ac:dyDescent="0.25">
      <c r="A2" s="6" t="s">
        <v>34</v>
      </c>
      <c r="B2" s="6" t="s">
        <v>35</v>
      </c>
      <c r="C2" s="6" t="s">
        <v>36</v>
      </c>
      <c r="D2" s="6" t="s">
        <v>37</v>
      </c>
      <c r="E2" s="6">
        <v>2490368</v>
      </c>
      <c r="F2" s="7" t="s">
        <v>38</v>
      </c>
    </row>
    <row r="3" spans="1:6" ht="23.25" customHeight="1" x14ac:dyDescent="0.25">
      <c r="A3" s="6" t="s">
        <v>39</v>
      </c>
      <c r="B3" s="6" t="s">
        <v>40</v>
      </c>
      <c r="C3" s="6" t="s">
        <v>36</v>
      </c>
      <c r="D3" s="6" t="s">
        <v>41</v>
      </c>
      <c r="E3" s="6">
        <v>47552</v>
      </c>
      <c r="F3" s="7" t="s">
        <v>42</v>
      </c>
    </row>
    <row r="4" spans="1:6" ht="23.25" customHeight="1" x14ac:dyDescent="0.25">
      <c r="A4" s="6" t="s">
        <v>43</v>
      </c>
      <c r="B4" s="6" t="s">
        <v>40</v>
      </c>
      <c r="C4" s="8" t="s">
        <v>44</v>
      </c>
      <c r="D4" s="6" t="s">
        <v>45</v>
      </c>
      <c r="E4" s="6">
        <v>53172</v>
      </c>
      <c r="F4" s="7" t="s">
        <v>46</v>
      </c>
    </row>
    <row r="5" spans="1:6" ht="15" customHeight="1" x14ac:dyDescent="0.25">
      <c r="A5" s="6" t="s">
        <v>47</v>
      </c>
      <c r="B5" s="6" t="s">
        <v>40</v>
      </c>
      <c r="C5" s="6" t="s">
        <v>36</v>
      </c>
      <c r="D5" s="6" t="s">
        <v>48</v>
      </c>
      <c r="E5" s="6">
        <v>38912</v>
      </c>
      <c r="F5" s="7" t="s">
        <v>49</v>
      </c>
    </row>
    <row r="6" spans="1:6" ht="15" customHeight="1" x14ac:dyDescent="0.25">
      <c r="A6" s="6" t="s">
        <v>50</v>
      </c>
      <c r="B6" s="6" t="s">
        <v>40</v>
      </c>
      <c r="C6" s="8" t="s">
        <v>44</v>
      </c>
      <c r="D6" s="6" t="s">
        <v>48</v>
      </c>
      <c r="E6" s="6">
        <v>38912</v>
      </c>
      <c r="F6" s="7" t="s">
        <v>51</v>
      </c>
    </row>
    <row r="7" spans="1:6" ht="15" customHeight="1" x14ac:dyDescent="0.25">
      <c r="A7" s="6" t="s">
        <v>52</v>
      </c>
      <c r="B7" s="6" t="s">
        <v>40</v>
      </c>
      <c r="C7" s="6" t="s">
        <v>36</v>
      </c>
      <c r="D7" s="6" t="s">
        <v>53</v>
      </c>
      <c r="E7" s="6">
        <v>59392</v>
      </c>
      <c r="F7" s="7" t="s">
        <v>54</v>
      </c>
    </row>
    <row r="8" spans="1:6" ht="15" customHeight="1" x14ac:dyDescent="0.25">
      <c r="A8" s="6" t="s">
        <v>55</v>
      </c>
      <c r="B8" s="6" t="s">
        <v>40</v>
      </c>
      <c r="C8" s="8" t="s">
        <v>44</v>
      </c>
      <c r="D8" s="6" t="s">
        <v>56</v>
      </c>
      <c r="E8" s="6">
        <v>59392</v>
      </c>
      <c r="F8" s="7" t="s">
        <v>57</v>
      </c>
    </row>
    <row r="9" spans="1:6" ht="15" customHeight="1" x14ac:dyDescent="0.25">
      <c r="A9" s="6" t="s">
        <v>58</v>
      </c>
      <c r="B9" s="6" t="s">
        <v>40</v>
      </c>
      <c r="C9" s="6" t="s">
        <v>36</v>
      </c>
      <c r="D9" s="6" t="s">
        <v>59</v>
      </c>
      <c r="E9" s="6">
        <v>27388</v>
      </c>
      <c r="F9" s="7" t="s">
        <v>60</v>
      </c>
    </row>
    <row r="10" spans="1:6" ht="15" customHeight="1" x14ac:dyDescent="0.25">
      <c r="A10" s="6" t="s">
        <v>61</v>
      </c>
      <c r="B10" s="6" t="s">
        <v>40</v>
      </c>
      <c r="C10" s="6" t="s">
        <v>36</v>
      </c>
      <c r="D10" s="6" t="s">
        <v>62</v>
      </c>
      <c r="E10" s="6">
        <v>24952</v>
      </c>
      <c r="F10" s="7" t="s">
        <v>63</v>
      </c>
    </row>
    <row r="11" spans="1:6" ht="15" customHeight="1" x14ac:dyDescent="0.25">
      <c r="A11" s="6" t="s">
        <v>64</v>
      </c>
      <c r="B11" s="6" t="s">
        <v>40</v>
      </c>
      <c r="C11" s="6" t="s">
        <v>36</v>
      </c>
      <c r="D11" s="6" t="s">
        <v>65</v>
      </c>
      <c r="E11" s="6">
        <v>26209</v>
      </c>
      <c r="F11" s="7" t="s">
        <v>66</v>
      </c>
    </row>
    <row r="12" spans="1:6" ht="15" customHeight="1" x14ac:dyDescent="0.25">
      <c r="A12" s="6" t="s">
        <v>67</v>
      </c>
      <c r="B12" s="6" t="s">
        <v>40</v>
      </c>
      <c r="C12" s="6" t="s">
        <v>36</v>
      </c>
      <c r="D12" s="6" t="s">
        <v>68</v>
      </c>
      <c r="E12" s="6">
        <v>24969</v>
      </c>
      <c r="F12" s="7" t="s">
        <v>69</v>
      </c>
    </row>
    <row r="13" spans="1:6" ht="15" customHeight="1" x14ac:dyDescent="0.25">
      <c r="A13" s="6" t="s">
        <v>70</v>
      </c>
      <c r="B13" s="6" t="s">
        <v>71</v>
      </c>
      <c r="C13" s="6" t="s">
        <v>36</v>
      </c>
      <c r="D13" s="6" t="s">
        <v>72</v>
      </c>
      <c r="E13" s="6">
        <v>11162</v>
      </c>
      <c r="F13" s="7" t="s">
        <v>73</v>
      </c>
    </row>
    <row r="14" spans="1:6" ht="15" customHeight="1" x14ac:dyDescent="0.25">
      <c r="A14" s="6" t="s">
        <v>74</v>
      </c>
      <c r="B14" s="6" t="s">
        <v>71</v>
      </c>
      <c r="C14" s="6" t="s">
        <v>36</v>
      </c>
      <c r="D14" s="6" t="s">
        <v>75</v>
      </c>
      <c r="E14" s="6">
        <v>14478</v>
      </c>
      <c r="F14" s="7" t="s">
        <v>76</v>
      </c>
    </row>
    <row r="15" spans="1:6" ht="15" customHeight="1" x14ac:dyDescent="0.25">
      <c r="A15" s="6" t="s">
        <v>77</v>
      </c>
      <c r="B15" s="6" t="s">
        <v>71</v>
      </c>
      <c r="C15" s="6" t="s">
        <v>36</v>
      </c>
      <c r="D15" s="6" t="s">
        <v>78</v>
      </c>
      <c r="E15" s="6">
        <v>20112</v>
      </c>
      <c r="F15" s="7" t="s">
        <v>79</v>
      </c>
    </row>
    <row r="16" spans="1:6" ht="23.25" customHeight="1" x14ac:dyDescent="0.25">
      <c r="A16" s="6" t="s">
        <v>80</v>
      </c>
      <c r="B16" s="6" t="s">
        <v>71</v>
      </c>
      <c r="C16" s="9" t="s">
        <v>81</v>
      </c>
      <c r="D16" s="6" t="s">
        <v>82</v>
      </c>
      <c r="E16" s="6">
        <v>11005</v>
      </c>
      <c r="F16" s="7" t="s">
        <v>83</v>
      </c>
    </row>
    <row r="17" spans="1:6" ht="15" customHeight="1" x14ac:dyDescent="0.25">
      <c r="A17" s="6" t="s">
        <v>84</v>
      </c>
      <c r="B17" s="6" t="s">
        <v>85</v>
      </c>
      <c r="C17" s="6" t="s">
        <v>36</v>
      </c>
      <c r="D17" s="6" t="s">
        <v>86</v>
      </c>
      <c r="E17" s="6">
        <v>154639</v>
      </c>
      <c r="F17" s="7" t="s">
        <v>87</v>
      </c>
    </row>
    <row r="18" spans="1:6" ht="15" customHeight="1" x14ac:dyDescent="0.25">
      <c r="A18" s="6" t="s">
        <v>88</v>
      </c>
      <c r="B18" s="6" t="s">
        <v>85</v>
      </c>
      <c r="C18" s="8" t="s">
        <v>44</v>
      </c>
      <c r="D18" s="6" t="s">
        <v>89</v>
      </c>
      <c r="E18" s="6">
        <v>154639</v>
      </c>
      <c r="F18" s="7" t="s">
        <v>90</v>
      </c>
    </row>
    <row r="19" spans="1:6" ht="23.25" customHeight="1" x14ac:dyDescent="0.25">
      <c r="A19" s="6" t="s">
        <v>91</v>
      </c>
      <c r="B19" s="6" t="s">
        <v>85</v>
      </c>
      <c r="C19" s="6" t="s">
        <v>36</v>
      </c>
      <c r="D19" s="6" t="s">
        <v>92</v>
      </c>
      <c r="E19" s="6">
        <v>159574</v>
      </c>
      <c r="F19" s="7" t="s">
        <v>93</v>
      </c>
    </row>
    <row r="20" spans="1:6" ht="15" customHeight="1" x14ac:dyDescent="0.25">
      <c r="A20" s="6" t="s">
        <v>94</v>
      </c>
      <c r="B20" s="6" t="s">
        <v>85</v>
      </c>
      <c r="C20" s="8" t="s">
        <v>44</v>
      </c>
      <c r="D20" s="6" t="s">
        <v>95</v>
      </c>
      <c r="E20" s="6">
        <v>159574</v>
      </c>
      <c r="F20" s="7" t="s">
        <v>96</v>
      </c>
    </row>
    <row r="21" spans="1:6" ht="15" customHeight="1" x14ac:dyDescent="0.25">
      <c r="A21" s="6" t="s">
        <v>97</v>
      </c>
      <c r="B21" s="6" t="s">
        <v>85</v>
      </c>
      <c r="C21" s="6" t="s">
        <v>36</v>
      </c>
      <c r="D21" s="6" t="s">
        <v>98</v>
      </c>
      <c r="E21" s="6">
        <v>152062</v>
      </c>
      <c r="F21" s="7" t="s">
        <v>99</v>
      </c>
    </row>
    <row r="22" spans="1:6" ht="15" customHeight="1" x14ac:dyDescent="0.25">
      <c r="A22" s="6" t="s">
        <v>100</v>
      </c>
      <c r="B22" s="6" t="s">
        <v>85</v>
      </c>
      <c r="C22" s="8" t="s">
        <v>44</v>
      </c>
      <c r="D22" s="6" t="s">
        <v>101</v>
      </c>
      <c r="E22" s="6">
        <v>152062</v>
      </c>
      <c r="F22" s="7" t="s">
        <v>102</v>
      </c>
    </row>
    <row r="23" spans="1:6" ht="15" customHeight="1" x14ac:dyDescent="0.25">
      <c r="A23" s="6" t="s">
        <v>103</v>
      </c>
      <c r="B23" s="6" t="s">
        <v>85</v>
      </c>
      <c r="C23" s="6" t="s">
        <v>36</v>
      </c>
      <c r="D23" s="6" t="s">
        <v>104</v>
      </c>
      <c r="E23" s="6">
        <v>167564</v>
      </c>
      <c r="F23" s="7" t="s">
        <v>105</v>
      </c>
    </row>
    <row r="24" spans="1:6" ht="15" customHeight="1" x14ac:dyDescent="0.25">
      <c r="A24" s="6" t="s">
        <v>106</v>
      </c>
      <c r="B24" s="6" t="s">
        <v>85</v>
      </c>
      <c r="C24" s="8" t="s">
        <v>44</v>
      </c>
      <c r="D24" s="6" t="s">
        <v>107</v>
      </c>
      <c r="E24" s="6">
        <v>167564</v>
      </c>
      <c r="F24" s="7" t="s">
        <v>102</v>
      </c>
    </row>
    <row r="25" spans="1:6" ht="15" customHeight="1" x14ac:dyDescent="0.25">
      <c r="A25" s="6" t="s">
        <v>108</v>
      </c>
      <c r="B25" s="6" t="s">
        <v>85</v>
      </c>
      <c r="C25" s="6" t="s">
        <v>36</v>
      </c>
      <c r="D25" s="6" t="s">
        <v>109</v>
      </c>
      <c r="E25" s="6">
        <v>152520</v>
      </c>
      <c r="F25" s="7" t="s">
        <v>110</v>
      </c>
    </row>
    <row r="26" spans="1:6" ht="15" customHeight="1" x14ac:dyDescent="0.25">
      <c r="A26" s="6" t="s">
        <v>111</v>
      </c>
      <c r="B26" s="6" t="s">
        <v>85</v>
      </c>
      <c r="C26" s="6" t="s">
        <v>36</v>
      </c>
      <c r="D26" s="6" t="s">
        <v>112</v>
      </c>
      <c r="E26" s="6">
        <v>155889</v>
      </c>
      <c r="F26" s="7" t="s">
        <v>113</v>
      </c>
    </row>
    <row r="27" spans="1:6" ht="15" customHeight="1" x14ac:dyDescent="0.25">
      <c r="A27" s="6" t="s">
        <v>114</v>
      </c>
      <c r="B27" s="6" t="s">
        <v>85</v>
      </c>
      <c r="C27" s="6" t="s">
        <v>36</v>
      </c>
      <c r="D27" s="6" t="s">
        <v>115</v>
      </c>
      <c r="E27" s="6">
        <v>161210</v>
      </c>
      <c r="F27" s="7" t="s">
        <v>116</v>
      </c>
    </row>
    <row r="28" spans="1:6" ht="15" customHeight="1" x14ac:dyDescent="0.25">
      <c r="A28" s="6" t="s">
        <v>117</v>
      </c>
      <c r="B28" s="6" t="s">
        <v>85</v>
      </c>
      <c r="C28" s="8" t="s">
        <v>44</v>
      </c>
      <c r="D28" s="6" t="s">
        <v>118</v>
      </c>
      <c r="E28" s="6">
        <v>161210</v>
      </c>
      <c r="F28" s="7" t="s">
        <v>102</v>
      </c>
    </row>
    <row r="29" spans="1:6" ht="15" customHeight="1" x14ac:dyDescent="0.25">
      <c r="A29" s="6" t="s">
        <v>119</v>
      </c>
      <c r="B29" s="6" t="s">
        <v>85</v>
      </c>
      <c r="C29" s="6" t="s">
        <v>36</v>
      </c>
      <c r="D29" s="6" t="s">
        <v>120</v>
      </c>
      <c r="E29" s="6">
        <v>161768</v>
      </c>
      <c r="F29" s="7" t="s">
        <v>121</v>
      </c>
    </row>
    <row r="30" spans="1:6" ht="15" customHeight="1" x14ac:dyDescent="0.25">
      <c r="A30" s="6" t="s">
        <v>122</v>
      </c>
      <c r="B30" s="6" t="s">
        <v>85</v>
      </c>
      <c r="C30" s="8" t="s">
        <v>44</v>
      </c>
      <c r="D30" s="6" t="s">
        <v>123</v>
      </c>
      <c r="E30" s="6">
        <v>161768</v>
      </c>
      <c r="F30" s="7" t="s">
        <v>102</v>
      </c>
    </row>
    <row r="31" spans="1:6" ht="23.25" customHeight="1" x14ac:dyDescent="0.25">
      <c r="A31" s="6" t="s">
        <v>124</v>
      </c>
      <c r="B31" s="6" t="s">
        <v>125</v>
      </c>
      <c r="C31" s="6" t="s">
        <v>36</v>
      </c>
      <c r="D31" s="6" t="s">
        <v>126</v>
      </c>
      <c r="E31" s="6">
        <v>133632</v>
      </c>
      <c r="F31" s="7" t="s">
        <v>127</v>
      </c>
    </row>
    <row r="32" spans="1:6" ht="23.25" customHeight="1" x14ac:dyDescent="0.25">
      <c r="A32" s="6" t="s">
        <v>128</v>
      </c>
      <c r="B32" s="6" t="s">
        <v>129</v>
      </c>
      <c r="C32" s="10" t="s">
        <v>130</v>
      </c>
      <c r="D32" s="6" t="s">
        <v>131</v>
      </c>
      <c r="E32" s="6">
        <v>14848</v>
      </c>
      <c r="F32" s="7" t="s">
        <v>132</v>
      </c>
    </row>
    <row r="33" spans="1:6" ht="15" customHeight="1" x14ac:dyDescent="0.25">
      <c r="A33" s="6" t="s">
        <v>133</v>
      </c>
      <c r="B33" s="6" t="s">
        <v>129</v>
      </c>
      <c r="C33" s="8" t="s">
        <v>44</v>
      </c>
      <c r="D33" s="6" t="s">
        <v>134</v>
      </c>
      <c r="E33" s="6">
        <v>10959</v>
      </c>
      <c r="F33" s="7" t="s">
        <v>135</v>
      </c>
    </row>
    <row r="34" spans="1:6" ht="23.25" customHeight="1" x14ac:dyDescent="0.25">
      <c r="A34" s="6" t="s">
        <v>136</v>
      </c>
      <c r="B34" s="6" t="s">
        <v>137</v>
      </c>
      <c r="C34" s="9" t="s">
        <v>138</v>
      </c>
      <c r="D34" s="6" t="s">
        <v>139</v>
      </c>
      <c r="E34" s="6">
        <v>66048</v>
      </c>
      <c r="F34" s="7" t="s">
        <v>140</v>
      </c>
    </row>
    <row r="35" spans="1:6" ht="15" customHeight="1" x14ac:dyDescent="0.25">
      <c r="A35" s="6" t="s">
        <v>141</v>
      </c>
      <c r="B35" s="6" t="s">
        <v>142</v>
      </c>
      <c r="C35" s="6" t="s">
        <v>143</v>
      </c>
      <c r="D35" s="6" t="s">
        <v>144</v>
      </c>
      <c r="E35" s="6">
        <v>5133</v>
      </c>
      <c r="F35" s="7" t="s">
        <v>145</v>
      </c>
    </row>
    <row r="36" spans="1:6" ht="15" customHeight="1" x14ac:dyDescent="0.25">
      <c r="A36" s="6" t="s">
        <v>146</v>
      </c>
      <c r="B36" s="6" t="s">
        <v>147</v>
      </c>
      <c r="C36" s="8" t="s">
        <v>148</v>
      </c>
      <c r="D36" s="6" t="s">
        <v>149</v>
      </c>
      <c r="E36" s="6">
        <v>14848</v>
      </c>
      <c r="F36" s="7" t="s">
        <v>150</v>
      </c>
    </row>
  </sheetData>
  <autoFilter ref="A1:F3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tabSelected="1" zoomScaleNormal="100" workbookViewId="0">
      <pane ySplit="1" topLeftCell="A2" activePane="bottomLeft" state="frozen"/>
      <selection pane="bottomLeft" activeCell="A13" sqref="A13:XFD13"/>
    </sheetView>
  </sheetViews>
  <sheetFormatPr defaultColWidth="8.7109375" defaultRowHeight="15" x14ac:dyDescent="0.25"/>
  <cols>
    <col min="1" max="1" width="22" customWidth="1"/>
    <col min="2" max="2" width="13" customWidth="1"/>
    <col min="3" max="3" width="42" customWidth="1"/>
    <col min="4" max="4" width="11" customWidth="1"/>
    <col min="5" max="5" width="10" customWidth="1"/>
    <col min="6" max="6" width="12" customWidth="1"/>
    <col min="7" max="7" width="20" customWidth="1"/>
    <col min="8" max="8" width="8" customWidth="1"/>
    <col min="9" max="9" width="20" customWidth="1"/>
    <col min="10" max="10" width="34" customWidth="1"/>
    <col min="11" max="11" width="18" customWidth="1"/>
    <col min="12" max="14" width="14" customWidth="1"/>
    <col min="15" max="15" width="7" customWidth="1"/>
    <col min="16" max="17" width="10" customWidth="1"/>
    <col min="18" max="19" width="11" customWidth="1"/>
    <col min="20" max="20" width="12" customWidth="1"/>
    <col min="21" max="21" width="13" customWidth="1"/>
    <col min="22" max="22" width="10" customWidth="1"/>
    <col min="23" max="23" width="44" customWidth="1"/>
    <col min="24" max="24" width="26" customWidth="1"/>
    <col min="25" max="25" width="44" customWidth="1"/>
    <col min="26" max="26" width="22" customWidth="1"/>
    <col min="27" max="27" width="60" customWidth="1"/>
    <col min="28" max="28" width="86" customWidth="1"/>
  </cols>
  <sheetData>
    <row r="1" spans="1:28" ht="30" customHeight="1" x14ac:dyDescent="0.25">
      <c r="A1" s="5" t="s">
        <v>151</v>
      </c>
      <c r="B1" s="5" t="s">
        <v>152</v>
      </c>
      <c r="C1" s="5" t="s">
        <v>153</v>
      </c>
      <c r="D1" s="5" t="s">
        <v>154</v>
      </c>
      <c r="E1" s="5" t="s">
        <v>155</v>
      </c>
      <c r="F1" s="5" t="s">
        <v>156</v>
      </c>
      <c r="G1" s="5" t="s">
        <v>157</v>
      </c>
      <c r="H1" s="5" t="s">
        <v>158</v>
      </c>
      <c r="I1" s="5" t="s">
        <v>159</v>
      </c>
      <c r="J1" s="5" t="s">
        <v>160</v>
      </c>
      <c r="K1" s="5" t="s">
        <v>161</v>
      </c>
      <c r="L1" s="5" t="s">
        <v>162</v>
      </c>
      <c r="M1" s="5" t="s">
        <v>163</v>
      </c>
      <c r="N1" s="5" t="s">
        <v>164</v>
      </c>
      <c r="O1" s="5" t="s">
        <v>165</v>
      </c>
      <c r="P1" s="5" t="s">
        <v>166</v>
      </c>
      <c r="Q1" s="5" t="s">
        <v>167</v>
      </c>
      <c r="R1" s="5" t="s">
        <v>168</v>
      </c>
      <c r="S1" s="5" t="s">
        <v>169</v>
      </c>
      <c r="T1" s="5" t="s">
        <v>170</v>
      </c>
      <c r="U1" s="5" t="s">
        <v>171</v>
      </c>
      <c r="V1" s="5" t="s">
        <v>172</v>
      </c>
      <c r="W1" s="5" t="s">
        <v>173</v>
      </c>
      <c r="X1" s="5" t="s">
        <v>174</v>
      </c>
      <c r="Y1" s="5" t="s">
        <v>175</v>
      </c>
      <c r="Z1" s="5" t="s">
        <v>176</v>
      </c>
      <c r="AA1" s="5" t="s">
        <v>177</v>
      </c>
      <c r="AB1" s="5" t="s">
        <v>178</v>
      </c>
    </row>
    <row r="2" spans="1:28" ht="23.25" customHeight="1" x14ac:dyDescent="0.25">
      <c r="A2" s="6" t="s">
        <v>179</v>
      </c>
      <c r="B2" s="6" t="s">
        <v>180</v>
      </c>
      <c r="C2" s="7" t="s">
        <v>181</v>
      </c>
      <c r="D2" s="11">
        <v>38100</v>
      </c>
      <c r="E2" s="6" t="s">
        <v>182</v>
      </c>
      <c r="F2" s="6" t="s">
        <v>183</v>
      </c>
      <c r="G2" s="6" t="s">
        <v>184</v>
      </c>
      <c r="H2" s="6">
        <v>-0.3</v>
      </c>
      <c r="I2" s="6" t="s">
        <v>185</v>
      </c>
      <c r="J2" s="7" t="s">
        <v>186</v>
      </c>
      <c r="K2" s="6" t="s">
        <v>187</v>
      </c>
      <c r="L2" s="6" t="s">
        <v>188</v>
      </c>
      <c r="M2" s="6" t="s">
        <v>189</v>
      </c>
      <c r="N2" s="6" t="s">
        <v>190</v>
      </c>
      <c r="O2" s="6">
        <v>18</v>
      </c>
      <c r="P2" s="6">
        <v>374</v>
      </c>
      <c r="Q2" s="6">
        <v>368</v>
      </c>
      <c r="R2" s="6">
        <v>12</v>
      </c>
      <c r="S2" s="6">
        <f t="shared" ref="S2:S45" si="0">P2-Q2-R2</f>
        <v>-6</v>
      </c>
      <c r="T2" s="12">
        <v>0.54545454545454497</v>
      </c>
      <c r="U2" s="6" t="s">
        <v>191</v>
      </c>
      <c r="V2" s="8" t="s">
        <v>192</v>
      </c>
      <c r="W2" s="7" t="s">
        <v>193</v>
      </c>
      <c r="X2" s="6" t="s">
        <v>194</v>
      </c>
      <c r="Y2" s="6" t="s">
        <v>34</v>
      </c>
      <c r="Z2" s="6" t="s">
        <v>195</v>
      </c>
      <c r="AA2" s="7"/>
      <c r="AB2" s="7"/>
    </row>
    <row r="3" spans="1:28" ht="15" customHeight="1" x14ac:dyDescent="0.25">
      <c r="A3" s="6" t="s">
        <v>196</v>
      </c>
      <c r="B3" s="6" t="s">
        <v>180</v>
      </c>
      <c r="C3" s="7" t="s">
        <v>197</v>
      </c>
      <c r="D3" s="11">
        <v>38100</v>
      </c>
      <c r="E3" s="6" t="s">
        <v>182</v>
      </c>
      <c r="F3" s="6" t="s">
        <v>183</v>
      </c>
      <c r="G3" s="6" t="s">
        <v>184</v>
      </c>
      <c r="H3" s="6">
        <v>-0.3</v>
      </c>
      <c r="I3" s="6" t="s">
        <v>198</v>
      </c>
      <c r="J3" s="7" t="s">
        <v>199</v>
      </c>
      <c r="K3" s="6" t="s">
        <v>200</v>
      </c>
      <c r="L3" s="6" t="s">
        <v>188</v>
      </c>
      <c r="M3" s="6" t="s">
        <v>189</v>
      </c>
      <c r="N3" s="6" t="s">
        <v>190</v>
      </c>
      <c r="O3" s="6">
        <v>18</v>
      </c>
      <c r="P3" s="6">
        <v>374</v>
      </c>
      <c r="Q3" s="6">
        <v>368</v>
      </c>
      <c r="R3" s="6">
        <v>12</v>
      </c>
      <c r="S3" s="6">
        <f t="shared" si="0"/>
        <v>-6</v>
      </c>
      <c r="T3" s="12">
        <v>0.54545454545454497</v>
      </c>
      <c r="U3" s="6" t="s">
        <v>191</v>
      </c>
      <c r="V3" s="6" t="s">
        <v>201</v>
      </c>
      <c r="W3" s="7"/>
      <c r="X3" s="6" t="s">
        <v>40</v>
      </c>
      <c r="Y3" s="6" t="s">
        <v>202</v>
      </c>
      <c r="Z3" s="6" t="s">
        <v>180</v>
      </c>
      <c r="AA3" s="7"/>
      <c r="AB3" s="7"/>
    </row>
    <row r="4" spans="1:28" ht="23.25" customHeight="1" x14ac:dyDescent="0.25">
      <c r="A4" s="6" t="s">
        <v>203</v>
      </c>
      <c r="B4" s="6" t="s">
        <v>180</v>
      </c>
      <c r="C4" s="7" t="s">
        <v>181</v>
      </c>
      <c r="D4" s="11">
        <v>39765</v>
      </c>
      <c r="E4" s="6" t="s">
        <v>204</v>
      </c>
      <c r="F4" s="6" t="s">
        <v>205</v>
      </c>
      <c r="G4" s="6" t="s">
        <v>206</v>
      </c>
      <c r="H4" s="6">
        <v>-1.6</v>
      </c>
      <c r="I4" s="6" t="s">
        <v>207</v>
      </c>
      <c r="J4" s="7" t="s">
        <v>208</v>
      </c>
      <c r="K4" s="6" t="s">
        <v>209</v>
      </c>
      <c r="L4" s="6" t="s">
        <v>210</v>
      </c>
      <c r="M4" s="6" t="s">
        <v>189</v>
      </c>
      <c r="N4" s="6" t="s">
        <v>211</v>
      </c>
      <c r="O4" s="6">
        <v>17</v>
      </c>
      <c r="P4" s="6">
        <v>231</v>
      </c>
      <c r="Q4" s="6">
        <v>223</v>
      </c>
      <c r="R4" s="6">
        <v>10</v>
      </c>
      <c r="S4" s="6">
        <f t="shared" si="0"/>
        <v>-2</v>
      </c>
      <c r="T4" s="12">
        <v>0.35064935064935099</v>
      </c>
      <c r="U4" s="6" t="s">
        <v>212</v>
      </c>
      <c r="V4" s="8" t="s">
        <v>192</v>
      </c>
      <c r="W4" s="7" t="s">
        <v>213</v>
      </c>
      <c r="X4" s="6" t="s">
        <v>194</v>
      </c>
      <c r="Y4" s="6" t="s">
        <v>34</v>
      </c>
      <c r="Z4" s="6" t="s">
        <v>214</v>
      </c>
      <c r="AA4" s="7"/>
      <c r="AB4" s="7"/>
    </row>
    <row r="5" spans="1:28" ht="15" customHeight="1" x14ac:dyDescent="0.25">
      <c r="A5" s="6" t="s">
        <v>215</v>
      </c>
      <c r="B5" s="6" t="s">
        <v>180</v>
      </c>
      <c r="C5" s="7" t="s">
        <v>197</v>
      </c>
      <c r="D5" s="11">
        <v>39765</v>
      </c>
      <c r="E5" s="6" t="s">
        <v>204</v>
      </c>
      <c r="F5" s="6" t="s">
        <v>205</v>
      </c>
      <c r="G5" s="6" t="s">
        <v>206</v>
      </c>
      <c r="H5" s="6">
        <v>-1.6</v>
      </c>
      <c r="I5" s="6" t="s">
        <v>216</v>
      </c>
      <c r="J5" s="7" t="s">
        <v>217</v>
      </c>
      <c r="K5" s="6" t="s">
        <v>218</v>
      </c>
      <c r="L5" s="6" t="s">
        <v>210</v>
      </c>
      <c r="M5" s="6" t="s">
        <v>189</v>
      </c>
      <c r="N5" s="6" t="s">
        <v>211</v>
      </c>
      <c r="O5" s="6">
        <v>17</v>
      </c>
      <c r="P5" s="6">
        <v>231</v>
      </c>
      <c r="Q5" s="6">
        <v>223</v>
      </c>
      <c r="R5" s="6">
        <v>10</v>
      </c>
      <c r="S5" s="6">
        <f t="shared" si="0"/>
        <v>-2</v>
      </c>
      <c r="T5" s="12">
        <v>0.35064935064935099</v>
      </c>
      <c r="U5" s="6" t="s">
        <v>212</v>
      </c>
      <c r="V5" s="6" t="s">
        <v>201</v>
      </c>
      <c r="W5" s="7"/>
      <c r="X5" s="6" t="s">
        <v>40</v>
      </c>
      <c r="Y5" s="6" t="s">
        <v>219</v>
      </c>
      <c r="Z5" s="6" t="s">
        <v>180</v>
      </c>
      <c r="AA5" s="7"/>
      <c r="AB5" s="7"/>
    </row>
    <row r="6" spans="1:28" ht="15" customHeight="1" x14ac:dyDescent="0.25">
      <c r="A6" s="6" t="s">
        <v>220</v>
      </c>
      <c r="B6" s="6" t="s">
        <v>180</v>
      </c>
      <c r="C6" s="7" t="s">
        <v>181</v>
      </c>
      <c r="D6" s="11">
        <v>40459</v>
      </c>
      <c r="E6" s="6" t="s">
        <v>182</v>
      </c>
      <c r="F6" s="6" t="s">
        <v>205</v>
      </c>
      <c r="G6" s="6" t="s">
        <v>221</v>
      </c>
      <c r="H6" s="6">
        <v>-1.4</v>
      </c>
      <c r="I6" s="6" t="s">
        <v>222</v>
      </c>
      <c r="J6" s="7" t="s">
        <v>223</v>
      </c>
      <c r="K6" s="6" t="s">
        <v>224</v>
      </c>
      <c r="L6" s="6" t="s">
        <v>225</v>
      </c>
      <c r="M6" s="6" t="s">
        <v>189</v>
      </c>
      <c r="N6" s="6" t="s">
        <v>211</v>
      </c>
      <c r="O6" s="6">
        <v>19</v>
      </c>
      <c r="P6" s="6">
        <v>486</v>
      </c>
      <c r="Q6" s="6">
        <v>447</v>
      </c>
      <c r="R6" s="6">
        <v>57</v>
      </c>
      <c r="S6" s="6">
        <f t="shared" si="0"/>
        <v>-18</v>
      </c>
      <c r="T6" s="12">
        <v>0.57407407407407396</v>
      </c>
      <c r="U6" s="6" t="s">
        <v>226</v>
      </c>
      <c r="V6" s="6" t="s">
        <v>201</v>
      </c>
      <c r="W6" s="7"/>
      <c r="X6" s="6" t="s">
        <v>194</v>
      </c>
      <c r="Y6" s="6" t="s">
        <v>34</v>
      </c>
      <c r="Z6" s="6" t="s">
        <v>227</v>
      </c>
      <c r="AA6" s="7"/>
      <c r="AB6" s="7"/>
    </row>
    <row r="7" spans="1:28" ht="15" customHeight="1" x14ac:dyDescent="0.25">
      <c r="A7" s="6" t="s">
        <v>228</v>
      </c>
      <c r="B7" s="6" t="s">
        <v>180</v>
      </c>
      <c r="C7" s="7" t="s">
        <v>181</v>
      </c>
      <c r="D7" s="11">
        <v>40655</v>
      </c>
      <c r="E7" s="6" t="s">
        <v>182</v>
      </c>
      <c r="F7" s="6" t="s">
        <v>183</v>
      </c>
      <c r="G7" s="6" t="s">
        <v>229</v>
      </c>
      <c r="H7" s="6">
        <v>-0.8</v>
      </c>
      <c r="I7" s="6" t="s">
        <v>230</v>
      </c>
      <c r="J7" s="7"/>
      <c r="K7" s="6"/>
      <c r="L7" s="6"/>
      <c r="M7" s="6" t="s">
        <v>189</v>
      </c>
      <c r="N7" s="6" t="s">
        <v>211</v>
      </c>
      <c r="O7" s="6">
        <v>17</v>
      </c>
      <c r="P7" s="6">
        <v>393</v>
      </c>
      <c r="Q7" s="6">
        <v>336</v>
      </c>
      <c r="R7" s="6">
        <v>60</v>
      </c>
      <c r="S7" s="6">
        <f t="shared" si="0"/>
        <v>-3</v>
      </c>
      <c r="T7" s="12">
        <v>0.661577608142494</v>
      </c>
      <c r="U7" s="6" t="s">
        <v>231</v>
      </c>
      <c r="V7" s="6" t="s">
        <v>201</v>
      </c>
      <c r="W7" s="7"/>
      <c r="X7" s="6" t="s">
        <v>194</v>
      </c>
      <c r="Y7" s="6" t="s">
        <v>34</v>
      </c>
      <c r="Z7" s="6" t="s">
        <v>232</v>
      </c>
      <c r="AA7" s="7"/>
      <c r="AB7" s="7"/>
    </row>
    <row r="8" spans="1:28" ht="15" customHeight="1" x14ac:dyDescent="0.25">
      <c r="A8" s="6" t="s">
        <v>233</v>
      </c>
      <c r="B8" s="6" t="s">
        <v>180</v>
      </c>
      <c r="C8" s="7" t="s">
        <v>234</v>
      </c>
      <c r="D8" s="11">
        <v>44653</v>
      </c>
      <c r="E8" s="6" t="s">
        <v>235</v>
      </c>
      <c r="F8" s="6" t="s">
        <v>183</v>
      </c>
      <c r="G8" s="6" t="s">
        <v>236</v>
      </c>
      <c r="H8" s="6">
        <v>0</v>
      </c>
      <c r="I8" s="6" t="s">
        <v>237</v>
      </c>
      <c r="J8" s="7" t="s">
        <v>238</v>
      </c>
      <c r="K8" s="6"/>
      <c r="L8" s="6"/>
      <c r="M8" s="6" t="s">
        <v>189</v>
      </c>
      <c r="N8" s="6" t="s">
        <v>211</v>
      </c>
      <c r="O8" s="6">
        <v>17</v>
      </c>
      <c r="P8" s="6">
        <v>426</v>
      </c>
      <c r="Q8" s="6">
        <v>301</v>
      </c>
      <c r="R8" s="6">
        <v>132</v>
      </c>
      <c r="S8" s="6">
        <f t="shared" si="0"/>
        <v>-7</v>
      </c>
      <c r="T8" s="12">
        <v>0.68779342723004699</v>
      </c>
      <c r="U8" s="6" t="s">
        <v>239</v>
      </c>
      <c r="V8" s="6" t="s">
        <v>201</v>
      </c>
      <c r="W8" s="7"/>
      <c r="X8" s="6" t="s">
        <v>40</v>
      </c>
      <c r="Y8" s="6" t="s">
        <v>58</v>
      </c>
      <c r="Z8" s="6" t="s">
        <v>240</v>
      </c>
      <c r="AA8" s="7"/>
      <c r="AB8" s="7"/>
    </row>
    <row r="9" spans="1:28" ht="15" customHeight="1" x14ac:dyDescent="0.25">
      <c r="A9" s="6" t="s">
        <v>241</v>
      </c>
      <c r="B9" s="6" t="s">
        <v>180</v>
      </c>
      <c r="C9" s="7" t="s">
        <v>234</v>
      </c>
      <c r="D9" s="11">
        <v>45040</v>
      </c>
      <c r="E9" s="6" t="s">
        <v>242</v>
      </c>
      <c r="F9" s="6" t="s">
        <v>183</v>
      </c>
      <c r="G9" s="6" t="s">
        <v>243</v>
      </c>
      <c r="H9" s="6">
        <v>-0.4</v>
      </c>
      <c r="I9" s="6" t="s">
        <v>244</v>
      </c>
      <c r="J9" s="7" t="s">
        <v>245</v>
      </c>
      <c r="K9" s="6"/>
      <c r="L9" s="6"/>
      <c r="M9" s="6" t="s">
        <v>189</v>
      </c>
      <c r="N9" s="6" t="s">
        <v>211</v>
      </c>
      <c r="O9" s="6">
        <v>17</v>
      </c>
      <c r="P9" s="6">
        <v>212</v>
      </c>
      <c r="Q9" s="6">
        <v>171</v>
      </c>
      <c r="R9" s="6">
        <v>51</v>
      </c>
      <c r="S9" s="6">
        <f t="shared" si="0"/>
        <v>-10</v>
      </c>
      <c r="T9" s="12">
        <v>0.81132075471698095</v>
      </c>
      <c r="U9" s="6" t="s">
        <v>239</v>
      </c>
      <c r="V9" s="6" t="s">
        <v>201</v>
      </c>
      <c r="W9" s="7"/>
      <c r="X9" s="6" t="s">
        <v>40</v>
      </c>
      <c r="Y9" s="6" t="s">
        <v>64</v>
      </c>
      <c r="Z9" s="6" t="s">
        <v>240</v>
      </c>
      <c r="AA9" s="7"/>
      <c r="AB9" s="7"/>
    </row>
    <row r="10" spans="1:28" ht="23.25" customHeight="1" x14ac:dyDescent="0.25">
      <c r="A10" s="6" t="s">
        <v>246</v>
      </c>
      <c r="B10" s="6" t="s">
        <v>247</v>
      </c>
      <c r="C10" s="7" t="s">
        <v>248</v>
      </c>
      <c r="D10" s="11">
        <v>33004</v>
      </c>
      <c r="E10" s="6" t="s">
        <v>182</v>
      </c>
      <c r="F10" s="6" t="s">
        <v>205</v>
      </c>
      <c r="G10" s="6" t="s">
        <v>249</v>
      </c>
      <c r="H10" s="6">
        <v>-0.2</v>
      </c>
      <c r="I10" s="6"/>
      <c r="J10" s="7"/>
      <c r="K10" s="6"/>
      <c r="L10" s="6"/>
      <c r="M10" s="6" t="s">
        <v>189</v>
      </c>
      <c r="N10" s="6" t="s">
        <v>250</v>
      </c>
      <c r="O10" s="6">
        <v>19</v>
      </c>
      <c r="P10" s="6">
        <v>2344</v>
      </c>
      <c r="Q10" s="6">
        <v>2258</v>
      </c>
      <c r="R10" s="6">
        <v>93</v>
      </c>
      <c r="S10" s="6">
        <f t="shared" si="0"/>
        <v>-7</v>
      </c>
      <c r="T10" s="12">
        <v>0.76663822525597303</v>
      </c>
      <c r="U10" s="6" t="s">
        <v>239</v>
      </c>
      <c r="V10" s="8" t="s">
        <v>192</v>
      </c>
      <c r="W10" s="7" t="s">
        <v>251</v>
      </c>
      <c r="X10" s="6" t="s">
        <v>252</v>
      </c>
      <c r="Y10" s="6" t="s">
        <v>80</v>
      </c>
      <c r="Z10" s="6" t="s">
        <v>253</v>
      </c>
      <c r="AA10" s="7" t="s">
        <v>254</v>
      </c>
      <c r="AB10" s="13" t="s">
        <v>255</v>
      </c>
    </row>
    <row r="11" spans="1:28" ht="34.5" customHeight="1" x14ac:dyDescent="0.25">
      <c r="A11" s="6" t="s">
        <v>256</v>
      </c>
      <c r="B11" s="6" t="s">
        <v>247</v>
      </c>
      <c r="C11" s="7" t="s">
        <v>248</v>
      </c>
      <c r="D11" s="11">
        <v>35881</v>
      </c>
      <c r="E11" s="6" t="s">
        <v>182</v>
      </c>
      <c r="F11" s="6" t="s">
        <v>205</v>
      </c>
      <c r="G11" s="6" t="s">
        <v>249</v>
      </c>
      <c r="H11" s="6">
        <v>-0.2</v>
      </c>
      <c r="I11" s="6"/>
      <c r="J11" s="7" t="s">
        <v>257</v>
      </c>
      <c r="K11" s="6" t="s">
        <v>218</v>
      </c>
      <c r="L11" s="6" t="s">
        <v>258</v>
      </c>
      <c r="M11" s="6" t="s">
        <v>189</v>
      </c>
      <c r="N11" s="6" t="s">
        <v>250</v>
      </c>
      <c r="O11" s="6">
        <v>19</v>
      </c>
      <c r="P11" s="6">
        <v>2344</v>
      </c>
      <c r="Q11" s="6">
        <v>2258</v>
      </c>
      <c r="R11" s="6">
        <v>93</v>
      </c>
      <c r="S11" s="6">
        <f t="shared" si="0"/>
        <v>-7</v>
      </c>
      <c r="T11" s="12">
        <v>0.76663822525597303</v>
      </c>
      <c r="U11" s="6" t="s">
        <v>239</v>
      </c>
      <c r="V11" s="6" t="s">
        <v>201</v>
      </c>
      <c r="W11" s="7"/>
      <c r="X11" s="6" t="s">
        <v>252</v>
      </c>
      <c r="Y11" s="6" t="s">
        <v>70</v>
      </c>
      <c r="Z11" s="6" t="s">
        <v>253</v>
      </c>
      <c r="AA11" s="7" t="s">
        <v>259</v>
      </c>
      <c r="AB11" s="13" t="s">
        <v>260</v>
      </c>
    </row>
    <row r="12" spans="1:28" ht="23.25" customHeight="1" x14ac:dyDescent="0.25">
      <c r="A12" s="6" t="s">
        <v>261</v>
      </c>
      <c r="B12" s="6" t="s">
        <v>247</v>
      </c>
      <c r="C12" s="7" t="s">
        <v>181</v>
      </c>
      <c r="D12" s="11">
        <v>38099</v>
      </c>
      <c r="E12" s="6" t="s">
        <v>204</v>
      </c>
      <c r="F12" s="6" t="s">
        <v>183</v>
      </c>
      <c r="G12" s="6" t="s">
        <v>262</v>
      </c>
      <c r="H12" s="6">
        <v>-0.5</v>
      </c>
      <c r="I12" s="6" t="s">
        <v>263</v>
      </c>
      <c r="J12" s="7"/>
      <c r="K12" s="6"/>
      <c r="L12" s="6"/>
      <c r="M12" s="6" t="s">
        <v>189</v>
      </c>
      <c r="N12" s="6" t="s">
        <v>211</v>
      </c>
      <c r="O12" s="6">
        <v>17</v>
      </c>
      <c r="P12" s="6">
        <v>929</v>
      </c>
      <c r="Q12" s="6">
        <v>865</v>
      </c>
      <c r="R12" s="6">
        <v>62</v>
      </c>
      <c r="S12" s="6">
        <f t="shared" si="0"/>
        <v>2</v>
      </c>
      <c r="T12" s="12">
        <v>0.57804090419806198</v>
      </c>
      <c r="U12" s="6" t="s">
        <v>264</v>
      </c>
      <c r="V12" s="8" t="s">
        <v>192</v>
      </c>
      <c r="W12" s="7" t="s">
        <v>265</v>
      </c>
      <c r="X12" s="6" t="s">
        <v>194</v>
      </c>
      <c r="Y12" s="6" t="s">
        <v>34</v>
      </c>
      <c r="Z12" s="6" t="s">
        <v>266</v>
      </c>
      <c r="AA12" s="7"/>
      <c r="AB12" s="7"/>
    </row>
    <row r="13" spans="1:28" ht="15" customHeight="1" x14ac:dyDescent="0.25">
      <c r="A13" s="6" t="s">
        <v>267</v>
      </c>
      <c r="B13" s="6" t="s">
        <v>247</v>
      </c>
      <c r="C13" s="7" t="s">
        <v>268</v>
      </c>
      <c r="D13" s="11">
        <v>38099</v>
      </c>
      <c r="E13" s="6" t="s">
        <v>204</v>
      </c>
      <c r="F13" s="6" t="s">
        <v>183</v>
      </c>
      <c r="G13" s="6" t="s">
        <v>262</v>
      </c>
      <c r="H13" s="6">
        <v>-0.5</v>
      </c>
      <c r="I13" s="6" t="s">
        <v>269</v>
      </c>
      <c r="J13" s="7"/>
      <c r="K13" s="6"/>
      <c r="L13" s="6"/>
      <c r="M13" s="6" t="s">
        <v>189</v>
      </c>
      <c r="N13" s="6" t="s">
        <v>211</v>
      </c>
      <c r="O13" s="6">
        <v>17</v>
      </c>
      <c r="P13" s="6">
        <v>929</v>
      </c>
      <c r="Q13" s="6">
        <v>865</v>
      </c>
      <c r="R13" s="6">
        <v>62</v>
      </c>
      <c r="S13" s="6">
        <f t="shared" si="0"/>
        <v>2</v>
      </c>
      <c r="T13" s="12">
        <v>0.57804090419806198</v>
      </c>
      <c r="U13" s="6" t="s">
        <v>264</v>
      </c>
      <c r="V13" s="6" t="s">
        <v>201</v>
      </c>
      <c r="W13" s="7"/>
      <c r="X13" s="6" t="s">
        <v>40</v>
      </c>
      <c r="Y13" s="6" t="s">
        <v>202</v>
      </c>
      <c r="Z13" s="6" t="s">
        <v>270</v>
      </c>
      <c r="AA13" s="7"/>
      <c r="AB13" s="7"/>
    </row>
    <row r="14" spans="1:28" ht="23.25" customHeight="1" x14ac:dyDescent="0.25">
      <c r="A14" s="6" t="s">
        <v>271</v>
      </c>
      <c r="B14" s="6" t="s">
        <v>247</v>
      </c>
      <c r="C14" s="7" t="s">
        <v>181</v>
      </c>
      <c r="D14" s="11">
        <v>38100</v>
      </c>
      <c r="E14" s="6" t="s">
        <v>182</v>
      </c>
      <c r="F14" s="6" t="s">
        <v>183</v>
      </c>
      <c r="G14" s="6" t="s">
        <v>184</v>
      </c>
      <c r="H14" s="6">
        <v>-0.3</v>
      </c>
      <c r="I14" s="6" t="s">
        <v>222</v>
      </c>
      <c r="J14" s="7"/>
      <c r="K14" s="6"/>
      <c r="L14" s="6"/>
      <c r="M14" s="6" t="s">
        <v>189</v>
      </c>
      <c r="N14" s="6" t="s">
        <v>250</v>
      </c>
      <c r="O14" s="6">
        <v>21</v>
      </c>
      <c r="P14" s="6">
        <v>85</v>
      </c>
      <c r="Q14" s="6">
        <v>79</v>
      </c>
      <c r="R14" s="6">
        <v>3</v>
      </c>
      <c r="S14" s="6">
        <f t="shared" si="0"/>
        <v>3</v>
      </c>
      <c r="T14" s="12">
        <v>0.376470588235294</v>
      </c>
      <c r="U14" s="6" t="s">
        <v>239</v>
      </c>
      <c r="V14" s="8" t="s">
        <v>192</v>
      </c>
      <c r="W14" s="7" t="s">
        <v>272</v>
      </c>
      <c r="X14" s="6" t="s">
        <v>194</v>
      </c>
      <c r="Y14" s="6" t="s">
        <v>34</v>
      </c>
      <c r="Z14" s="6" t="s">
        <v>273</v>
      </c>
      <c r="AA14" s="7"/>
      <c r="AB14" s="13" t="s">
        <v>274</v>
      </c>
    </row>
    <row r="15" spans="1:28" ht="15" customHeight="1" x14ac:dyDescent="0.25">
      <c r="A15" s="6" t="s">
        <v>275</v>
      </c>
      <c r="B15" s="6" t="s">
        <v>247</v>
      </c>
      <c r="C15" s="7" t="s">
        <v>276</v>
      </c>
      <c r="D15" s="11">
        <v>38100</v>
      </c>
      <c r="E15" s="6" t="s">
        <v>182</v>
      </c>
      <c r="F15" s="6" t="s">
        <v>183</v>
      </c>
      <c r="G15" s="6" t="s">
        <v>184</v>
      </c>
      <c r="H15" s="6">
        <v>-0.3</v>
      </c>
      <c r="I15" s="6" t="s">
        <v>277</v>
      </c>
      <c r="J15" s="7"/>
      <c r="K15" s="6"/>
      <c r="L15" s="6"/>
      <c r="M15" s="6" t="s">
        <v>189</v>
      </c>
      <c r="N15" s="6" t="s">
        <v>250</v>
      </c>
      <c r="O15" s="6">
        <v>20</v>
      </c>
      <c r="P15" s="6">
        <v>82</v>
      </c>
      <c r="Q15" s="6">
        <v>79</v>
      </c>
      <c r="R15" s="6">
        <v>3</v>
      </c>
      <c r="S15" s="6">
        <f t="shared" si="0"/>
        <v>0</v>
      </c>
      <c r="T15" s="12">
        <v>0.353658536585366</v>
      </c>
      <c r="U15" s="6" t="s">
        <v>239</v>
      </c>
      <c r="V15" s="6" t="s">
        <v>201</v>
      </c>
      <c r="W15" s="7"/>
      <c r="X15" s="6" t="s">
        <v>40</v>
      </c>
      <c r="Y15" s="6" t="s">
        <v>202</v>
      </c>
      <c r="Z15" s="6" t="s">
        <v>278</v>
      </c>
      <c r="AA15" s="7"/>
      <c r="AB15" s="7"/>
    </row>
    <row r="16" spans="1:28" ht="15" customHeight="1" x14ac:dyDescent="0.25">
      <c r="A16" s="6" t="s">
        <v>279</v>
      </c>
      <c r="B16" s="6" t="s">
        <v>247</v>
      </c>
      <c r="C16" s="7" t="s">
        <v>181</v>
      </c>
      <c r="D16" s="11">
        <v>39823</v>
      </c>
      <c r="E16" s="6" t="s">
        <v>235</v>
      </c>
      <c r="F16" s="6" t="s">
        <v>205</v>
      </c>
      <c r="G16" s="6" t="s">
        <v>280</v>
      </c>
      <c r="H16" s="6">
        <v>-1.1000000000000001</v>
      </c>
      <c r="I16" s="6" t="s">
        <v>281</v>
      </c>
      <c r="J16" s="7" t="s">
        <v>282</v>
      </c>
      <c r="K16" s="6" t="s">
        <v>283</v>
      </c>
      <c r="L16" s="6"/>
      <c r="M16" s="6" t="s">
        <v>189</v>
      </c>
      <c r="N16" s="6" t="s">
        <v>190</v>
      </c>
      <c r="O16" s="6">
        <v>20</v>
      </c>
      <c r="P16" s="6">
        <v>972</v>
      </c>
      <c r="Q16" s="6">
        <v>956</v>
      </c>
      <c r="R16" s="6">
        <v>14</v>
      </c>
      <c r="S16" s="6">
        <f t="shared" si="0"/>
        <v>2</v>
      </c>
      <c r="T16" s="12">
        <v>0.74794238683127601</v>
      </c>
      <c r="U16" s="6" t="s">
        <v>226</v>
      </c>
      <c r="V16" s="6" t="s">
        <v>201</v>
      </c>
      <c r="W16" s="7"/>
      <c r="X16" s="6" t="s">
        <v>194</v>
      </c>
      <c r="Y16" s="6" t="s">
        <v>34</v>
      </c>
      <c r="Z16" s="6" t="s">
        <v>284</v>
      </c>
      <c r="AA16" s="7"/>
      <c r="AB16" s="7"/>
    </row>
    <row r="17" spans="1:28" ht="15" customHeight="1" x14ac:dyDescent="0.25">
      <c r="A17" s="6" t="s">
        <v>285</v>
      </c>
      <c r="B17" s="6" t="s">
        <v>247</v>
      </c>
      <c r="C17" s="7" t="s">
        <v>181</v>
      </c>
      <c r="D17" s="11">
        <v>40564</v>
      </c>
      <c r="E17" s="6" t="s">
        <v>182</v>
      </c>
      <c r="F17" s="6" t="s">
        <v>205</v>
      </c>
      <c r="G17" s="6" t="s">
        <v>286</v>
      </c>
      <c r="H17" s="6">
        <v>-1.1000000000000001</v>
      </c>
      <c r="I17" s="6" t="s">
        <v>222</v>
      </c>
      <c r="J17" s="7" t="s">
        <v>287</v>
      </c>
      <c r="K17" s="6" t="s">
        <v>288</v>
      </c>
      <c r="L17" s="6" t="s">
        <v>289</v>
      </c>
      <c r="M17" s="6" t="s">
        <v>189</v>
      </c>
      <c r="N17" s="6" t="s">
        <v>211</v>
      </c>
      <c r="O17" s="6">
        <v>19</v>
      </c>
      <c r="P17" s="6">
        <v>280</v>
      </c>
      <c r="Q17" s="6">
        <v>261</v>
      </c>
      <c r="R17" s="6">
        <v>25</v>
      </c>
      <c r="S17" s="6">
        <f t="shared" si="0"/>
        <v>-6</v>
      </c>
      <c r="T17" s="12">
        <v>0.61785714285714299</v>
      </c>
      <c r="U17" s="6" t="s">
        <v>264</v>
      </c>
      <c r="V17" s="6" t="s">
        <v>201</v>
      </c>
      <c r="W17" s="7"/>
      <c r="X17" s="6" t="s">
        <v>194</v>
      </c>
      <c r="Y17" s="6" t="s">
        <v>34</v>
      </c>
      <c r="Z17" s="6" t="s">
        <v>290</v>
      </c>
      <c r="AA17" s="7"/>
      <c r="AB17" s="7"/>
    </row>
    <row r="18" spans="1:28" ht="15" customHeight="1" x14ac:dyDescent="0.25">
      <c r="A18" s="6" t="s">
        <v>291</v>
      </c>
      <c r="B18" s="6" t="s">
        <v>247</v>
      </c>
      <c r="C18" s="7" t="s">
        <v>181</v>
      </c>
      <c r="D18" s="11">
        <v>40652</v>
      </c>
      <c r="E18" s="6" t="s">
        <v>292</v>
      </c>
      <c r="F18" s="6" t="s">
        <v>183</v>
      </c>
      <c r="G18" s="6" t="s">
        <v>236</v>
      </c>
      <c r="H18" s="6">
        <v>-1.8</v>
      </c>
      <c r="I18" s="6" t="s">
        <v>222</v>
      </c>
      <c r="J18" s="7" t="s">
        <v>293</v>
      </c>
      <c r="K18" s="6" t="s">
        <v>294</v>
      </c>
      <c r="L18" s="6" t="s">
        <v>295</v>
      </c>
      <c r="M18" s="6" t="s">
        <v>189</v>
      </c>
      <c r="N18" s="6" t="s">
        <v>211</v>
      </c>
      <c r="O18" s="6">
        <v>19</v>
      </c>
      <c r="P18" s="6">
        <v>503</v>
      </c>
      <c r="Q18" s="6">
        <v>492</v>
      </c>
      <c r="R18" s="6">
        <v>13</v>
      </c>
      <c r="S18" s="6">
        <f t="shared" si="0"/>
        <v>-2</v>
      </c>
      <c r="T18" s="12">
        <v>0.57057654075546704</v>
      </c>
      <c r="U18" s="6" t="s">
        <v>191</v>
      </c>
      <c r="V18" s="6" t="s">
        <v>201</v>
      </c>
      <c r="W18" s="7"/>
      <c r="X18" s="6" t="s">
        <v>194</v>
      </c>
      <c r="Y18" s="6" t="s">
        <v>34</v>
      </c>
      <c r="Z18" s="6" t="s">
        <v>296</v>
      </c>
      <c r="AA18" s="7"/>
      <c r="AB18" s="7"/>
    </row>
    <row r="19" spans="1:28" ht="34.5" customHeight="1" x14ac:dyDescent="0.25">
      <c r="A19" s="6" t="s">
        <v>297</v>
      </c>
      <c r="B19" s="6" t="s">
        <v>298</v>
      </c>
      <c r="C19" s="7" t="s">
        <v>299</v>
      </c>
      <c r="D19" s="11">
        <v>35886</v>
      </c>
      <c r="E19" s="6" t="s">
        <v>300</v>
      </c>
      <c r="F19" s="6" t="s">
        <v>183</v>
      </c>
      <c r="G19" s="6" t="s">
        <v>301</v>
      </c>
      <c r="H19" s="6">
        <v>-0.5</v>
      </c>
      <c r="I19" s="6"/>
      <c r="J19" s="7" t="s">
        <v>302</v>
      </c>
      <c r="K19" s="6" t="s">
        <v>303</v>
      </c>
      <c r="L19" s="6" t="s">
        <v>304</v>
      </c>
      <c r="M19" s="6" t="s">
        <v>189</v>
      </c>
      <c r="N19" s="6" t="s">
        <v>190</v>
      </c>
      <c r="O19" s="6">
        <v>14</v>
      </c>
      <c r="P19" s="6">
        <v>1732</v>
      </c>
      <c r="Q19" s="6">
        <v>1417</v>
      </c>
      <c r="R19" s="6">
        <v>303</v>
      </c>
      <c r="S19" s="6">
        <f t="shared" si="0"/>
        <v>12</v>
      </c>
      <c r="T19" s="12">
        <v>0.70842956120092404</v>
      </c>
      <c r="U19" s="6" t="s">
        <v>231</v>
      </c>
      <c r="V19" s="6" t="s">
        <v>201</v>
      </c>
      <c r="W19" s="7"/>
      <c r="X19" s="6" t="s">
        <v>252</v>
      </c>
      <c r="Y19" s="6" t="s">
        <v>74</v>
      </c>
      <c r="Z19" s="6" t="s">
        <v>305</v>
      </c>
      <c r="AA19" s="7" t="s">
        <v>306</v>
      </c>
      <c r="AB19" s="13" t="s">
        <v>307</v>
      </c>
    </row>
    <row r="20" spans="1:28" ht="23.25" customHeight="1" x14ac:dyDescent="0.25">
      <c r="A20" s="6" t="s">
        <v>308</v>
      </c>
      <c r="B20" s="6" t="s">
        <v>298</v>
      </c>
      <c r="C20" s="7" t="s">
        <v>309</v>
      </c>
      <c r="D20" s="11">
        <v>35886</v>
      </c>
      <c r="E20" s="6" t="s">
        <v>300</v>
      </c>
      <c r="F20" s="6" t="s">
        <v>183</v>
      </c>
      <c r="G20" s="6" t="s">
        <v>310</v>
      </c>
      <c r="H20" s="6">
        <v>-0.5</v>
      </c>
      <c r="I20" s="6"/>
      <c r="J20" s="7"/>
      <c r="K20" s="6"/>
      <c r="L20" s="6"/>
      <c r="M20" s="6" t="s">
        <v>189</v>
      </c>
      <c r="N20" s="6" t="s">
        <v>311</v>
      </c>
      <c r="O20" s="6">
        <v>12</v>
      </c>
      <c r="P20" s="6">
        <v>74</v>
      </c>
      <c r="Q20" s="6">
        <v>67</v>
      </c>
      <c r="R20" s="6"/>
      <c r="S20" s="6">
        <f t="shared" si="0"/>
        <v>7</v>
      </c>
      <c r="T20" s="12">
        <v>0.59459459459459496</v>
      </c>
      <c r="U20" s="6" t="s">
        <v>239</v>
      </c>
      <c r="V20" s="8" t="s">
        <v>192</v>
      </c>
      <c r="W20" s="7" t="s">
        <v>312</v>
      </c>
      <c r="X20" s="6" t="s">
        <v>313</v>
      </c>
      <c r="Y20" s="6" t="s">
        <v>74</v>
      </c>
      <c r="Z20" s="6" t="s">
        <v>309</v>
      </c>
      <c r="AA20" s="7" t="s">
        <v>314</v>
      </c>
      <c r="AB20" s="13" t="s">
        <v>315</v>
      </c>
    </row>
    <row r="21" spans="1:28" ht="23.25" customHeight="1" x14ac:dyDescent="0.25">
      <c r="A21" s="6" t="s">
        <v>316</v>
      </c>
      <c r="B21" s="6" t="s">
        <v>298</v>
      </c>
      <c r="C21" s="7" t="s">
        <v>317</v>
      </c>
      <c r="D21" s="11">
        <v>35886</v>
      </c>
      <c r="E21" s="6" t="s">
        <v>300</v>
      </c>
      <c r="F21" s="6" t="s">
        <v>183</v>
      </c>
      <c r="G21" s="6" t="s">
        <v>310</v>
      </c>
      <c r="H21" s="6">
        <v>-0.5</v>
      </c>
      <c r="I21" s="6"/>
      <c r="J21" s="7"/>
      <c r="K21" s="6"/>
      <c r="L21" s="6"/>
      <c r="M21" s="6" t="s">
        <v>189</v>
      </c>
      <c r="N21" s="6" t="s">
        <v>211</v>
      </c>
      <c r="O21" s="6">
        <v>13</v>
      </c>
      <c r="P21" s="6">
        <v>909</v>
      </c>
      <c r="Q21" s="6">
        <v>1089</v>
      </c>
      <c r="R21" s="6"/>
      <c r="S21" s="6">
        <f t="shared" si="0"/>
        <v>-180</v>
      </c>
      <c r="T21" s="12">
        <v>0.60176017601760201</v>
      </c>
      <c r="U21" s="6" t="s">
        <v>191</v>
      </c>
      <c r="V21" s="8" t="s">
        <v>192</v>
      </c>
      <c r="W21" s="7" t="s">
        <v>312</v>
      </c>
      <c r="X21" s="6" t="s">
        <v>313</v>
      </c>
      <c r="Y21" s="6" t="s">
        <v>74</v>
      </c>
      <c r="Z21" s="6" t="s">
        <v>317</v>
      </c>
      <c r="AA21" s="7" t="s">
        <v>314</v>
      </c>
      <c r="AB21" s="13" t="s">
        <v>315</v>
      </c>
    </row>
    <row r="22" spans="1:28" ht="23.25" customHeight="1" x14ac:dyDescent="0.25">
      <c r="A22" s="6" t="s">
        <v>318</v>
      </c>
      <c r="B22" s="6" t="s">
        <v>298</v>
      </c>
      <c r="C22" s="7" t="s">
        <v>319</v>
      </c>
      <c r="D22" s="11">
        <v>35886</v>
      </c>
      <c r="E22" s="6" t="s">
        <v>300</v>
      </c>
      <c r="F22" s="6" t="s">
        <v>183</v>
      </c>
      <c r="G22" s="6" t="s">
        <v>310</v>
      </c>
      <c r="H22" s="6">
        <v>-0.5</v>
      </c>
      <c r="I22" s="6"/>
      <c r="J22" s="7"/>
      <c r="K22" s="6"/>
      <c r="L22" s="6"/>
      <c r="M22" s="6" t="s">
        <v>189</v>
      </c>
      <c r="N22" s="6" t="s">
        <v>211</v>
      </c>
      <c r="O22" s="6">
        <v>13</v>
      </c>
      <c r="P22" s="6">
        <v>262</v>
      </c>
      <c r="Q22" s="6">
        <v>261</v>
      </c>
      <c r="R22" s="6"/>
      <c r="S22" s="6">
        <f t="shared" si="0"/>
        <v>1</v>
      </c>
      <c r="T22" s="12">
        <v>0.58396946564885499</v>
      </c>
      <c r="U22" s="6" t="s">
        <v>231</v>
      </c>
      <c r="V22" s="8" t="s">
        <v>192</v>
      </c>
      <c r="W22" s="7" t="s">
        <v>312</v>
      </c>
      <c r="X22" s="6" t="s">
        <v>313</v>
      </c>
      <c r="Y22" s="6" t="s">
        <v>74</v>
      </c>
      <c r="Z22" s="6" t="s">
        <v>319</v>
      </c>
      <c r="AA22" s="7" t="s">
        <v>314</v>
      </c>
      <c r="AB22" s="13" t="s">
        <v>315</v>
      </c>
    </row>
    <row r="23" spans="1:28" ht="23.25" customHeight="1" x14ac:dyDescent="0.25">
      <c r="A23" s="6" t="s">
        <v>320</v>
      </c>
      <c r="B23" s="6" t="s">
        <v>298</v>
      </c>
      <c r="C23" s="7" t="s">
        <v>181</v>
      </c>
      <c r="D23" s="11">
        <v>38101</v>
      </c>
      <c r="E23" s="6" t="s">
        <v>235</v>
      </c>
      <c r="F23" s="6" t="s">
        <v>183</v>
      </c>
      <c r="G23" s="6" t="s">
        <v>321</v>
      </c>
      <c r="H23" s="6">
        <v>0</v>
      </c>
      <c r="I23" s="6"/>
      <c r="J23" s="7" t="s">
        <v>322</v>
      </c>
      <c r="K23" s="6" t="s">
        <v>323</v>
      </c>
      <c r="L23" s="6" t="s">
        <v>324</v>
      </c>
      <c r="M23" s="6" t="s">
        <v>325</v>
      </c>
      <c r="N23" s="6" t="s">
        <v>211</v>
      </c>
      <c r="O23" s="6">
        <v>17</v>
      </c>
      <c r="P23" s="6">
        <v>707</v>
      </c>
      <c r="Q23" s="6">
        <v>562</v>
      </c>
      <c r="R23" s="6">
        <v>137</v>
      </c>
      <c r="S23" s="6">
        <f t="shared" si="0"/>
        <v>8</v>
      </c>
      <c r="T23" s="12">
        <v>0.62942008486562895</v>
      </c>
      <c r="U23" s="6" t="s">
        <v>264</v>
      </c>
      <c r="V23" s="8" t="s">
        <v>192</v>
      </c>
      <c r="W23" s="7" t="s">
        <v>326</v>
      </c>
      <c r="X23" s="6" t="s">
        <v>194</v>
      </c>
      <c r="Y23" s="6" t="s">
        <v>34</v>
      </c>
      <c r="Z23" s="6" t="s">
        <v>327</v>
      </c>
      <c r="AA23" s="7" t="s">
        <v>328</v>
      </c>
      <c r="AB23" s="13" t="s">
        <v>329</v>
      </c>
    </row>
    <row r="24" spans="1:28" ht="23.25" customHeight="1" x14ac:dyDescent="0.25">
      <c r="A24" s="6" t="s">
        <v>330</v>
      </c>
      <c r="B24" s="6" t="s">
        <v>298</v>
      </c>
      <c r="C24" s="7" t="s">
        <v>331</v>
      </c>
      <c r="D24" s="11">
        <v>38101</v>
      </c>
      <c r="E24" s="6" t="s">
        <v>235</v>
      </c>
      <c r="F24" s="6" t="s">
        <v>183</v>
      </c>
      <c r="G24" s="6" t="s">
        <v>321</v>
      </c>
      <c r="H24" s="6">
        <v>0</v>
      </c>
      <c r="I24" s="6" t="s">
        <v>332</v>
      </c>
      <c r="J24" s="7" t="s">
        <v>333</v>
      </c>
      <c r="K24" s="6" t="s">
        <v>334</v>
      </c>
      <c r="L24" s="6" t="s">
        <v>335</v>
      </c>
      <c r="M24" s="6" t="s">
        <v>189</v>
      </c>
      <c r="N24" s="6" t="s">
        <v>211</v>
      </c>
      <c r="O24" s="6">
        <v>17</v>
      </c>
      <c r="P24" s="6">
        <v>707</v>
      </c>
      <c r="Q24" s="6">
        <v>562</v>
      </c>
      <c r="R24" s="6">
        <v>137</v>
      </c>
      <c r="S24" s="6">
        <f t="shared" si="0"/>
        <v>8</v>
      </c>
      <c r="T24" s="12">
        <v>0.62942008486562895</v>
      </c>
      <c r="U24" s="6" t="s">
        <v>264</v>
      </c>
      <c r="V24" s="6" t="s">
        <v>201</v>
      </c>
      <c r="W24" s="7"/>
      <c r="X24" s="6" t="s">
        <v>40</v>
      </c>
      <c r="Y24" s="6" t="s">
        <v>202</v>
      </c>
      <c r="Z24" s="6" t="s">
        <v>298</v>
      </c>
      <c r="AA24" s="7" t="s">
        <v>336</v>
      </c>
      <c r="AB24" s="7"/>
    </row>
    <row r="25" spans="1:28" ht="23.25" customHeight="1" x14ac:dyDescent="0.25">
      <c r="A25" s="6" t="s">
        <v>337</v>
      </c>
      <c r="B25" s="6" t="s">
        <v>298</v>
      </c>
      <c r="C25" s="7" t="s">
        <v>181</v>
      </c>
      <c r="D25" s="11">
        <v>39025</v>
      </c>
      <c r="E25" s="6" t="s">
        <v>235</v>
      </c>
      <c r="F25" s="6" t="s">
        <v>205</v>
      </c>
      <c r="G25" s="6" t="s">
        <v>338</v>
      </c>
      <c r="H25" s="6">
        <v>-1.1000000000000001</v>
      </c>
      <c r="I25" s="6"/>
      <c r="J25" s="7" t="s">
        <v>339</v>
      </c>
      <c r="K25" s="6" t="s">
        <v>340</v>
      </c>
      <c r="L25" s="6" t="s">
        <v>210</v>
      </c>
      <c r="M25" s="6" t="s">
        <v>325</v>
      </c>
      <c r="N25" s="6" t="s">
        <v>211</v>
      </c>
      <c r="O25" s="6">
        <v>17</v>
      </c>
      <c r="P25" s="6">
        <v>259</v>
      </c>
      <c r="Q25" s="6">
        <v>251</v>
      </c>
      <c r="R25" s="6">
        <v>21</v>
      </c>
      <c r="S25" s="6">
        <f t="shared" si="0"/>
        <v>-13</v>
      </c>
      <c r="T25" s="12">
        <v>0.71428571428571397</v>
      </c>
      <c r="U25" s="6" t="s">
        <v>191</v>
      </c>
      <c r="V25" s="8" t="s">
        <v>192</v>
      </c>
      <c r="W25" s="7" t="s">
        <v>341</v>
      </c>
      <c r="X25" s="6" t="s">
        <v>194</v>
      </c>
      <c r="Y25" s="6" t="s">
        <v>34</v>
      </c>
      <c r="Z25" s="6" t="s">
        <v>342</v>
      </c>
      <c r="AA25" s="7"/>
      <c r="AB25" s="13" t="s">
        <v>343</v>
      </c>
    </row>
    <row r="26" spans="1:28" ht="23.25" customHeight="1" x14ac:dyDescent="0.25">
      <c r="A26" s="6" t="s">
        <v>344</v>
      </c>
      <c r="B26" s="6" t="s">
        <v>298</v>
      </c>
      <c r="C26" s="7" t="s">
        <v>331</v>
      </c>
      <c r="D26" s="11">
        <v>39025</v>
      </c>
      <c r="E26" s="6" t="s">
        <v>235</v>
      </c>
      <c r="F26" s="6" t="s">
        <v>205</v>
      </c>
      <c r="G26" s="6" t="s">
        <v>338</v>
      </c>
      <c r="H26" s="6">
        <v>-1.1000000000000001</v>
      </c>
      <c r="I26" s="6" t="s">
        <v>345</v>
      </c>
      <c r="J26" s="7" t="s">
        <v>346</v>
      </c>
      <c r="K26" s="6" t="s">
        <v>347</v>
      </c>
      <c r="L26" s="6" t="s">
        <v>210</v>
      </c>
      <c r="M26" s="6" t="s">
        <v>189</v>
      </c>
      <c r="N26" s="6" t="s">
        <v>211</v>
      </c>
      <c r="O26" s="6">
        <v>17</v>
      </c>
      <c r="P26" s="6">
        <v>259</v>
      </c>
      <c r="Q26" s="6">
        <v>251</v>
      </c>
      <c r="R26" s="6">
        <v>21</v>
      </c>
      <c r="S26" s="6">
        <f t="shared" si="0"/>
        <v>-13</v>
      </c>
      <c r="T26" s="12">
        <v>0.71428571428571397</v>
      </c>
      <c r="U26" s="6" t="s">
        <v>191</v>
      </c>
      <c r="V26" s="6" t="s">
        <v>201</v>
      </c>
      <c r="W26" s="7"/>
      <c r="X26" s="6" t="s">
        <v>40</v>
      </c>
      <c r="Y26" s="6" t="s">
        <v>348</v>
      </c>
      <c r="Z26" s="6" t="s">
        <v>298</v>
      </c>
      <c r="AA26" s="7" t="s">
        <v>349</v>
      </c>
      <c r="AB26" s="7"/>
    </row>
    <row r="27" spans="1:28" ht="23.25" customHeight="1" x14ac:dyDescent="0.25">
      <c r="A27" s="6" t="s">
        <v>350</v>
      </c>
      <c r="B27" s="6" t="s">
        <v>298</v>
      </c>
      <c r="C27" s="7" t="s">
        <v>181</v>
      </c>
      <c r="D27" s="11">
        <v>39765</v>
      </c>
      <c r="E27" s="6" t="s">
        <v>204</v>
      </c>
      <c r="F27" s="6" t="s">
        <v>205</v>
      </c>
      <c r="G27" s="6" t="s">
        <v>206</v>
      </c>
      <c r="H27" s="6">
        <v>-1.6</v>
      </c>
      <c r="I27" s="6"/>
      <c r="J27" s="7" t="s">
        <v>208</v>
      </c>
      <c r="K27" s="6" t="s">
        <v>209</v>
      </c>
      <c r="L27" s="6" t="s">
        <v>210</v>
      </c>
      <c r="M27" s="6" t="s">
        <v>325</v>
      </c>
      <c r="N27" s="6" t="s">
        <v>351</v>
      </c>
      <c r="O27" s="6">
        <v>15</v>
      </c>
      <c r="P27" s="6">
        <v>194</v>
      </c>
      <c r="Q27" s="6">
        <v>162</v>
      </c>
      <c r="R27" s="6">
        <v>30</v>
      </c>
      <c r="S27" s="6">
        <f t="shared" si="0"/>
        <v>2</v>
      </c>
      <c r="T27" s="12">
        <v>0.58247422680412397</v>
      </c>
      <c r="U27" s="6" t="s">
        <v>226</v>
      </c>
      <c r="V27" s="8" t="s">
        <v>192</v>
      </c>
      <c r="W27" s="7" t="s">
        <v>352</v>
      </c>
      <c r="X27" s="6" t="s">
        <v>194</v>
      </c>
      <c r="Y27" s="6" t="s">
        <v>34</v>
      </c>
      <c r="Z27" s="6" t="s">
        <v>353</v>
      </c>
      <c r="AA27" s="7"/>
      <c r="AB27" s="13" t="s">
        <v>354</v>
      </c>
    </row>
    <row r="28" spans="1:28" ht="15" customHeight="1" x14ac:dyDescent="0.25">
      <c r="A28" s="6" t="s">
        <v>355</v>
      </c>
      <c r="B28" s="6" t="s">
        <v>298</v>
      </c>
      <c r="C28" s="7" t="s">
        <v>356</v>
      </c>
      <c r="D28" s="11">
        <v>39765</v>
      </c>
      <c r="E28" s="6" t="s">
        <v>204</v>
      </c>
      <c r="F28" s="6" t="s">
        <v>205</v>
      </c>
      <c r="G28" s="6" t="s">
        <v>206</v>
      </c>
      <c r="H28" s="6">
        <v>-1.6</v>
      </c>
      <c r="I28" s="6" t="s">
        <v>357</v>
      </c>
      <c r="J28" s="7" t="s">
        <v>217</v>
      </c>
      <c r="K28" s="6" t="s">
        <v>218</v>
      </c>
      <c r="L28" s="6" t="s">
        <v>210</v>
      </c>
      <c r="M28" s="6" t="s">
        <v>189</v>
      </c>
      <c r="N28" s="6" t="s">
        <v>351</v>
      </c>
      <c r="O28" s="6">
        <v>15</v>
      </c>
      <c r="P28" s="6">
        <v>194</v>
      </c>
      <c r="Q28" s="6">
        <v>162</v>
      </c>
      <c r="R28" s="6">
        <v>30</v>
      </c>
      <c r="S28" s="6">
        <f t="shared" si="0"/>
        <v>2</v>
      </c>
      <c r="T28" s="12">
        <v>0.58247422680412397</v>
      </c>
      <c r="U28" s="6" t="s">
        <v>226</v>
      </c>
      <c r="V28" s="6" t="s">
        <v>201</v>
      </c>
      <c r="W28" s="7"/>
      <c r="X28" s="6" t="s">
        <v>40</v>
      </c>
      <c r="Y28" s="6" t="s">
        <v>219</v>
      </c>
      <c r="Z28" s="6" t="s">
        <v>298</v>
      </c>
      <c r="AA28" s="7"/>
      <c r="AB28" s="7"/>
    </row>
    <row r="29" spans="1:28" ht="23.25" customHeight="1" x14ac:dyDescent="0.25">
      <c r="A29" s="6" t="s">
        <v>358</v>
      </c>
      <c r="B29" s="6" t="s">
        <v>298</v>
      </c>
      <c r="C29" s="7" t="s">
        <v>181</v>
      </c>
      <c r="D29" s="11">
        <v>40460</v>
      </c>
      <c r="E29" s="6" t="s">
        <v>235</v>
      </c>
      <c r="F29" s="6" t="s">
        <v>205</v>
      </c>
      <c r="G29" s="6" t="s">
        <v>359</v>
      </c>
      <c r="H29" s="6">
        <v>-1.5</v>
      </c>
      <c r="I29" s="6"/>
      <c r="J29" s="7" t="s">
        <v>360</v>
      </c>
      <c r="K29" s="6" t="s">
        <v>361</v>
      </c>
      <c r="L29" s="6" t="s">
        <v>210</v>
      </c>
      <c r="M29" s="6" t="s">
        <v>325</v>
      </c>
      <c r="N29" s="6" t="s">
        <v>311</v>
      </c>
      <c r="O29" s="6">
        <v>16</v>
      </c>
      <c r="P29" s="6">
        <v>190</v>
      </c>
      <c r="Q29" s="6">
        <v>177</v>
      </c>
      <c r="R29" s="6">
        <v>13</v>
      </c>
      <c r="S29" s="6">
        <f t="shared" si="0"/>
        <v>0</v>
      </c>
      <c r="T29" s="12">
        <v>0.66842105263157903</v>
      </c>
      <c r="U29" s="6" t="s">
        <v>212</v>
      </c>
      <c r="V29" s="6" t="s">
        <v>201</v>
      </c>
      <c r="W29" s="7"/>
      <c r="X29" s="6" t="s">
        <v>194</v>
      </c>
      <c r="Y29" s="6" t="s">
        <v>34</v>
      </c>
      <c r="Z29" s="6" t="s">
        <v>362</v>
      </c>
      <c r="AA29" s="7"/>
      <c r="AB29" s="13" t="s">
        <v>363</v>
      </c>
    </row>
    <row r="30" spans="1:28" ht="23.25" customHeight="1" x14ac:dyDescent="0.25">
      <c r="A30" s="6" t="s">
        <v>364</v>
      </c>
      <c r="B30" s="6" t="s">
        <v>298</v>
      </c>
      <c r="C30" s="7" t="s">
        <v>181</v>
      </c>
      <c r="D30" s="11">
        <v>40654</v>
      </c>
      <c r="E30" s="6" t="s">
        <v>204</v>
      </c>
      <c r="F30" s="6" t="s">
        <v>183</v>
      </c>
      <c r="G30" s="6" t="s">
        <v>184</v>
      </c>
      <c r="H30" s="6">
        <v>-1.4</v>
      </c>
      <c r="I30" s="6"/>
      <c r="J30" s="7"/>
      <c r="K30" s="6"/>
      <c r="L30" s="6"/>
      <c r="M30" s="6" t="s">
        <v>325</v>
      </c>
      <c r="N30" s="6" t="s">
        <v>211</v>
      </c>
      <c r="O30" s="6">
        <v>17</v>
      </c>
      <c r="P30" s="6">
        <v>185</v>
      </c>
      <c r="Q30" s="6">
        <v>173</v>
      </c>
      <c r="R30" s="6">
        <v>33</v>
      </c>
      <c r="S30" s="6">
        <f t="shared" si="0"/>
        <v>-21</v>
      </c>
      <c r="T30" s="12">
        <v>0.64864864864864902</v>
      </c>
      <c r="U30" s="6" t="s">
        <v>191</v>
      </c>
      <c r="V30" s="6" t="s">
        <v>201</v>
      </c>
      <c r="W30" s="7"/>
      <c r="X30" s="6" t="s">
        <v>194</v>
      </c>
      <c r="Y30" s="6" t="s">
        <v>34</v>
      </c>
      <c r="Z30" s="6" t="s">
        <v>365</v>
      </c>
      <c r="AA30" s="7"/>
      <c r="AB30" s="13" t="s">
        <v>366</v>
      </c>
    </row>
    <row r="31" spans="1:28" ht="15" customHeight="1" x14ac:dyDescent="0.25">
      <c r="A31" s="6" t="s">
        <v>367</v>
      </c>
      <c r="B31" s="6" t="s">
        <v>298</v>
      </c>
      <c r="C31" s="7" t="s">
        <v>368</v>
      </c>
      <c r="D31" s="11">
        <v>44654</v>
      </c>
      <c r="E31" s="6" t="s">
        <v>369</v>
      </c>
      <c r="F31" s="6" t="s">
        <v>183</v>
      </c>
      <c r="G31" s="6" t="s">
        <v>370</v>
      </c>
      <c r="H31" s="6">
        <v>-0.1</v>
      </c>
      <c r="I31" s="6" t="s">
        <v>371</v>
      </c>
      <c r="J31" s="7" t="s">
        <v>372</v>
      </c>
      <c r="K31" s="6"/>
      <c r="L31" s="6"/>
      <c r="M31" s="6" t="s">
        <v>189</v>
      </c>
      <c r="N31" s="6" t="s">
        <v>211</v>
      </c>
      <c r="O31" s="6">
        <v>17</v>
      </c>
      <c r="P31" s="6">
        <v>239</v>
      </c>
      <c r="Q31" s="6">
        <v>198</v>
      </c>
      <c r="R31" s="6">
        <v>43</v>
      </c>
      <c r="S31" s="6">
        <f t="shared" si="0"/>
        <v>-2</v>
      </c>
      <c r="T31" s="12">
        <v>0.65690376569037701</v>
      </c>
      <c r="U31" s="6" t="s">
        <v>239</v>
      </c>
      <c r="V31" s="6" t="s">
        <v>201</v>
      </c>
      <c r="W31" s="7"/>
      <c r="X31" s="6" t="s">
        <v>40</v>
      </c>
      <c r="Y31" s="6" t="s">
        <v>61</v>
      </c>
      <c r="Z31" s="6" t="s">
        <v>240</v>
      </c>
      <c r="AA31" s="7"/>
      <c r="AB31" s="7"/>
    </row>
    <row r="32" spans="1:28" ht="23.25" customHeight="1" x14ac:dyDescent="0.25">
      <c r="A32" s="6" t="s">
        <v>373</v>
      </c>
      <c r="B32" s="6" t="s">
        <v>298</v>
      </c>
      <c r="C32" s="7" t="s">
        <v>368</v>
      </c>
      <c r="D32" s="11">
        <v>45041</v>
      </c>
      <c r="E32" s="6" t="s">
        <v>292</v>
      </c>
      <c r="F32" s="6" t="s">
        <v>183</v>
      </c>
      <c r="G32" s="6" t="s">
        <v>374</v>
      </c>
      <c r="H32" s="6">
        <v>0.1</v>
      </c>
      <c r="I32" s="6" t="s">
        <v>375</v>
      </c>
      <c r="J32" s="7" t="s">
        <v>376</v>
      </c>
      <c r="K32" s="6"/>
      <c r="L32" s="6"/>
      <c r="M32" s="6" t="s">
        <v>189</v>
      </c>
      <c r="N32" s="6" t="s">
        <v>211</v>
      </c>
      <c r="O32" s="6">
        <v>17</v>
      </c>
      <c r="P32" s="6">
        <v>219</v>
      </c>
      <c r="Q32" s="6">
        <v>188</v>
      </c>
      <c r="R32" s="6">
        <v>34</v>
      </c>
      <c r="S32" s="6">
        <f t="shared" si="0"/>
        <v>-3</v>
      </c>
      <c r="T32" s="12">
        <v>0.73515981735159797</v>
      </c>
      <c r="U32" s="6" t="s">
        <v>231</v>
      </c>
      <c r="V32" s="6" t="s">
        <v>201</v>
      </c>
      <c r="W32" s="7"/>
      <c r="X32" s="6" t="s">
        <v>40</v>
      </c>
      <c r="Y32" s="6" t="s">
        <v>67</v>
      </c>
      <c r="Z32" s="6" t="s">
        <v>240</v>
      </c>
      <c r="AA32" s="7"/>
      <c r="AB32" s="7"/>
    </row>
    <row r="33" spans="1:28" ht="23.25" customHeight="1" x14ac:dyDescent="0.25">
      <c r="A33" s="6" t="s">
        <v>377</v>
      </c>
      <c r="B33" s="6" t="s">
        <v>378</v>
      </c>
      <c r="C33" s="7" t="s">
        <v>379</v>
      </c>
      <c r="D33" s="11">
        <v>35885</v>
      </c>
      <c r="E33" s="6" t="s">
        <v>292</v>
      </c>
      <c r="F33" s="6" t="s">
        <v>183</v>
      </c>
      <c r="G33" s="6" t="s">
        <v>380</v>
      </c>
      <c r="H33" s="6">
        <v>-0.9</v>
      </c>
      <c r="I33" s="6"/>
      <c r="J33" s="7" t="s">
        <v>381</v>
      </c>
      <c r="K33" s="6" t="s">
        <v>334</v>
      </c>
      <c r="L33" s="6" t="s">
        <v>304</v>
      </c>
      <c r="M33" s="6" t="s">
        <v>189</v>
      </c>
      <c r="N33" s="6" t="s">
        <v>190</v>
      </c>
      <c r="O33" s="6">
        <v>14</v>
      </c>
      <c r="P33" s="6">
        <v>2133</v>
      </c>
      <c r="Q33" s="6">
        <v>1844</v>
      </c>
      <c r="R33" s="6">
        <v>288</v>
      </c>
      <c r="S33" s="6">
        <f t="shared" si="0"/>
        <v>1</v>
      </c>
      <c r="T33" s="12">
        <v>0.61837787154242896</v>
      </c>
      <c r="U33" s="6" t="s">
        <v>191</v>
      </c>
      <c r="V33" s="6" t="s">
        <v>201</v>
      </c>
      <c r="W33" s="7"/>
      <c r="X33" s="6" t="s">
        <v>252</v>
      </c>
      <c r="Y33" s="6" t="s">
        <v>77</v>
      </c>
      <c r="Z33" s="6" t="s">
        <v>305</v>
      </c>
      <c r="AA33" s="7" t="s">
        <v>382</v>
      </c>
      <c r="AB33" s="13" t="s">
        <v>383</v>
      </c>
    </row>
    <row r="34" spans="1:28" ht="23.25" customHeight="1" x14ac:dyDescent="0.25">
      <c r="A34" s="6" t="s">
        <v>384</v>
      </c>
      <c r="B34" s="6" t="s">
        <v>378</v>
      </c>
      <c r="C34" s="7" t="s">
        <v>385</v>
      </c>
      <c r="D34" s="11">
        <v>35885</v>
      </c>
      <c r="E34" s="6" t="s">
        <v>292</v>
      </c>
      <c r="F34" s="6" t="s">
        <v>183</v>
      </c>
      <c r="G34" s="6" t="s">
        <v>386</v>
      </c>
      <c r="H34" s="6">
        <v>-0.9</v>
      </c>
      <c r="I34" s="6"/>
      <c r="J34" s="7"/>
      <c r="K34" s="6"/>
      <c r="L34" s="6"/>
      <c r="M34" s="6" t="s">
        <v>189</v>
      </c>
      <c r="N34" s="6" t="s">
        <v>190</v>
      </c>
      <c r="O34" s="6">
        <v>14</v>
      </c>
      <c r="P34" s="6">
        <v>47</v>
      </c>
      <c r="Q34" s="6">
        <v>36</v>
      </c>
      <c r="R34" s="6"/>
      <c r="S34" s="6">
        <f t="shared" si="0"/>
        <v>11</v>
      </c>
      <c r="T34" s="12">
        <v>0.53191489361702105</v>
      </c>
      <c r="U34" s="6" t="s">
        <v>387</v>
      </c>
      <c r="V34" s="8" t="s">
        <v>192</v>
      </c>
      <c r="W34" s="7" t="s">
        <v>312</v>
      </c>
      <c r="X34" s="6" t="s">
        <v>313</v>
      </c>
      <c r="Y34" s="6" t="s">
        <v>77</v>
      </c>
      <c r="Z34" s="6" t="s">
        <v>388</v>
      </c>
      <c r="AA34" s="7" t="s">
        <v>314</v>
      </c>
      <c r="AB34" s="13" t="s">
        <v>315</v>
      </c>
    </row>
    <row r="35" spans="1:28" ht="23.25" customHeight="1" x14ac:dyDescent="0.25">
      <c r="A35" s="6" t="s">
        <v>389</v>
      </c>
      <c r="B35" s="6" t="s">
        <v>378</v>
      </c>
      <c r="C35" s="7" t="s">
        <v>390</v>
      </c>
      <c r="D35" s="11">
        <v>35885</v>
      </c>
      <c r="E35" s="6" t="s">
        <v>292</v>
      </c>
      <c r="F35" s="6" t="s">
        <v>183</v>
      </c>
      <c r="G35" s="6" t="s">
        <v>386</v>
      </c>
      <c r="H35" s="6">
        <v>-0.9</v>
      </c>
      <c r="I35" s="6"/>
      <c r="J35" s="7"/>
      <c r="K35" s="6"/>
      <c r="L35" s="6"/>
      <c r="M35" s="6" t="s">
        <v>189</v>
      </c>
      <c r="N35" s="6" t="s">
        <v>190</v>
      </c>
      <c r="O35" s="6">
        <v>14</v>
      </c>
      <c r="P35" s="6">
        <v>402</v>
      </c>
      <c r="Q35" s="6">
        <v>460</v>
      </c>
      <c r="R35" s="6"/>
      <c r="S35" s="6">
        <f t="shared" si="0"/>
        <v>-58</v>
      </c>
      <c r="T35" s="12">
        <v>0.67164179104477595</v>
      </c>
      <c r="U35" s="6" t="s">
        <v>191</v>
      </c>
      <c r="V35" s="8" t="s">
        <v>192</v>
      </c>
      <c r="W35" s="7" t="s">
        <v>312</v>
      </c>
      <c r="X35" s="6" t="s">
        <v>313</v>
      </c>
      <c r="Y35" s="6" t="s">
        <v>77</v>
      </c>
      <c r="Z35" s="6" t="s">
        <v>391</v>
      </c>
      <c r="AA35" s="7" t="s">
        <v>314</v>
      </c>
      <c r="AB35" s="13" t="s">
        <v>315</v>
      </c>
    </row>
    <row r="36" spans="1:28" ht="23.25" customHeight="1" x14ac:dyDescent="0.25">
      <c r="A36" s="6" t="s">
        <v>392</v>
      </c>
      <c r="B36" s="6" t="s">
        <v>378</v>
      </c>
      <c r="C36" s="7" t="s">
        <v>393</v>
      </c>
      <c r="D36" s="11">
        <v>35885</v>
      </c>
      <c r="E36" s="6" t="s">
        <v>292</v>
      </c>
      <c r="F36" s="6" t="s">
        <v>183</v>
      </c>
      <c r="G36" s="6" t="s">
        <v>386</v>
      </c>
      <c r="H36" s="6">
        <v>-0.9</v>
      </c>
      <c r="I36" s="6"/>
      <c r="J36" s="7"/>
      <c r="K36" s="6"/>
      <c r="L36" s="6"/>
      <c r="M36" s="6" t="s">
        <v>189</v>
      </c>
      <c r="N36" s="6" t="s">
        <v>190</v>
      </c>
      <c r="O36" s="6">
        <v>14</v>
      </c>
      <c r="P36" s="6">
        <v>306</v>
      </c>
      <c r="Q36" s="6">
        <v>264</v>
      </c>
      <c r="R36" s="6"/>
      <c r="S36" s="6">
        <f t="shared" si="0"/>
        <v>42</v>
      </c>
      <c r="T36" s="12">
        <v>0.69281045751633996</v>
      </c>
      <c r="U36" s="6" t="s">
        <v>239</v>
      </c>
      <c r="V36" s="8" t="s">
        <v>192</v>
      </c>
      <c r="W36" s="7" t="s">
        <v>312</v>
      </c>
      <c r="X36" s="6" t="s">
        <v>313</v>
      </c>
      <c r="Y36" s="6" t="s">
        <v>77</v>
      </c>
      <c r="Z36" s="6" t="s">
        <v>394</v>
      </c>
      <c r="AA36" s="7" t="s">
        <v>314</v>
      </c>
      <c r="AB36" s="13" t="s">
        <v>315</v>
      </c>
    </row>
    <row r="37" spans="1:28" ht="23.25" customHeight="1" x14ac:dyDescent="0.25">
      <c r="A37" s="6" t="s">
        <v>395</v>
      </c>
      <c r="B37" s="6" t="s">
        <v>378</v>
      </c>
      <c r="C37" s="7" t="s">
        <v>396</v>
      </c>
      <c r="D37" s="11">
        <v>35885</v>
      </c>
      <c r="E37" s="6" t="s">
        <v>292</v>
      </c>
      <c r="F37" s="6" t="s">
        <v>183</v>
      </c>
      <c r="G37" s="6" t="s">
        <v>386</v>
      </c>
      <c r="H37" s="6">
        <v>-0.9</v>
      </c>
      <c r="I37" s="6"/>
      <c r="J37" s="7"/>
      <c r="K37" s="6"/>
      <c r="L37" s="6"/>
      <c r="M37" s="6" t="s">
        <v>189</v>
      </c>
      <c r="N37" s="6" t="s">
        <v>190</v>
      </c>
      <c r="O37" s="6">
        <v>14</v>
      </c>
      <c r="P37" s="6">
        <v>594</v>
      </c>
      <c r="Q37" s="6">
        <v>710</v>
      </c>
      <c r="R37" s="6"/>
      <c r="S37" s="6">
        <f t="shared" si="0"/>
        <v>-116</v>
      </c>
      <c r="T37" s="12">
        <v>0.46464646464646497</v>
      </c>
      <c r="U37" s="6" t="s">
        <v>191</v>
      </c>
      <c r="V37" s="8" t="s">
        <v>192</v>
      </c>
      <c r="W37" s="7" t="s">
        <v>312</v>
      </c>
      <c r="X37" s="6" t="s">
        <v>313</v>
      </c>
      <c r="Y37" s="6" t="s">
        <v>77</v>
      </c>
      <c r="Z37" s="6" t="s">
        <v>397</v>
      </c>
      <c r="AA37" s="7" t="s">
        <v>314</v>
      </c>
      <c r="AB37" s="13" t="s">
        <v>315</v>
      </c>
    </row>
    <row r="38" spans="1:28" ht="23.25" customHeight="1" x14ac:dyDescent="0.25">
      <c r="A38" s="6" t="s">
        <v>398</v>
      </c>
      <c r="B38" s="6" t="s">
        <v>378</v>
      </c>
      <c r="C38" s="7" t="s">
        <v>399</v>
      </c>
      <c r="D38" s="11">
        <v>35885</v>
      </c>
      <c r="E38" s="6" t="s">
        <v>292</v>
      </c>
      <c r="F38" s="6" t="s">
        <v>183</v>
      </c>
      <c r="G38" s="6" t="s">
        <v>386</v>
      </c>
      <c r="H38" s="6">
        <v>-0.9</v>
      </c>
      <c r="I38" s="6"/>
      <c r="J38" s="7"/>
      <c r="K38" s="6"/>
      <c r="L38" s="6"/>
      <c r="M38" s="6" t="s">
        <v>189</v>
      </c>
      <c r="N38" s="6" t="s">
        <v>190</v>
      </c>
      <c r="O38" s="6">
        <v>14</v>
      </c>
      <c r="P38" s="6">
        <v>358</v>
      </c>
      <c r="Q38" s="6">
        <v>372</v>
      </c>
      <c r="R38" s="6"/>
      <c r="S38" s="6">
        <f t="shared" si="0"/>
        <v>-14</v>
      </c>
      <c r="T38" s="12">
        <v>0.460893854748603</v>
      </c>
      <c r="U38" s="6" t="s">
        <v>231</v>
      </c>
      <c r="V38" s="8" t="s">
        <v>192</v>
      </c>
      <c r="W38" s="7" t="s">
        <v>312</v>
      </c>
      <c r="X38" s="6" t="s">
        <v>313</v>
      </c>
      <c r="Y38" s="6" t="s">
        <v>77</v>
      </c>
      <c r="Z38" s="6" t="s">
        <v>400</v>
      </c>
      <c r="AA38" s="7" t="s">
        <v>314</v>
      </c>
      <c r="AB38" s="13" t="s">
        <v>315</v>
      </c>
    </row>
    <row r="39" spans="1:28" ht="34.5" customHeight="1" x14ac:dyDescent="0.25">
      <c r="A39" s="6" t="s">
        <v>401</v>
      </c>
      <c r="B39" s="6" t="s">
        <v>378</v>
      </c>
      <c r="C39" s="7" t="s">
        <v>181</v>
      </c>
      <c r="D39" s="11">
        <v>38098</v>
      </c>
      <c r="E39" s="6" t="s">
        <v>300</v>
      </c>
      <c r="F39" s="6" t="s">
        <v>183</v>
      </c>
      <c r="G39" s="6" t="s">
        <v>402</v>
      </c>
      <c r="H39" s="6">
        <v>-0.6</v>
      </c>
      <c r="I39" s="6" t="s">
        <v>222</v>
      </c>
      <c r="J39" s="7"/>
      <c r="K39" s="6"/>
      <c r="L39" s="6"/>
      <c r="M39" s="6" t="s">
        <v>189</v>
      </c>
      <c r="N39" s="6" t="s">
        <v>403</v>
      </c>
      <c r="O39" s="6">
        <v>21</v>
      </c>
      <c r="P39" s="6">
        <v>435</v>
      </c>
      <c r="Q39" s="6">
        <v>413</v>
      </c>
      <c r="R39" s="6">
        <v>25</v>
      </c>
      <c r="S39" s="6">
        <f t="shared" si="0"/>
        <v>-3</v>
      </c>
      <c r="T39" s="12">
        <v>0.62298850574712605</v>
      </c>
      <c r="U39" s="6" t="s">
        <v>239</v>
      </c>
      <c r="V39" s="8" t="s">
        <v>192</v>
      </c>
      <c r="W39" s="7" t="s">
        <v>404</v>
      </c>
      <c r="X39" s="6" t="s">
        <v>194</v>
      </c>
      <c r="Y39" s="6" t="s">
        <v>34</v>
      </c>
      <c r="Z39" s="6" t="s">
        <v>405</v>
      </c>
      <c r="AA39" s="7" t="s">
        <v>406</v>
      </c>
      <c r="AB39" s="7"/>
    </row>
    <row r="40" spans="1:28" ht="15" customHeight="1" x14ac:dyDescent="0.25">
      <c r="A40" s="6" t="s">
        <v>407</v>
      </c>
      <c r="B40" s="6" t="s">
        <v>378</v>
      </c>
      <c r="C40" s="7" t="s">
        <v>408</v>
      </c>
      <c r="D40" s="11">
        <v>38098</v>
      </c>
      <c r="E40" s="6" t="s">
        <v>300</v>
      </c>
      <c r="F40" s="6" t="s">
        <v>183</v>
      </c>
      <c r="G40" s="6" t="s">
        <v>402</v>
      </c>
      <c r="H40" s="6">
        <v>-0.6</v>
      </c>
      <c r="I40" s="6" t="s">
        <v>409</v>
      </c>
      <c r="J40" s="7"/>
      <c r="K40" s="6"/>
      <c r="L40" s="6"/>
      <c r="M40" s="6" t="s">
        <v>189</v>
      </c>
      <c r="N40" s="6" t="s">
        <v>403</v>
      </c>
      <c r="O40" s="6">
        <v>21</v>
      </c>
      <c r="P40" s="6">
        <v>435</v>
      </c>
      <c r="Q40" s="6">
        <v>413</v>
      </c>
      <c r="R40" s="6">
        <v>25</v>
      </c>
      <c r="S40" s="6">
        <f t="shared" si="0"/>
        <v>-3</v>
      </c>
      <c r="T40" s="12">
        <v>0.62298850574712605</v>
      </c>
      <c r="U40" s="6" t="s">
        <v>239</v>
      </c>
      <c r="V40" s="6" t="s">
        <v>201</v>
      </c>
      <c r="W40" s="7"/>
      <c r="X40" s="6" t="s">
        <v>40</v>
      </c>
      <c r="Y40" s="6" t="s">
        <v>202</v>
      </c>
      <c r="Z40" s="6" t="s">
        <v>378</v>
      </c>
      <c r="AA40" s="7" t="s">
        <v>410</v>
      </c>
      <c r="AB40" s="7"/>
    </row>
    <row r="41" spans="1:28" ht="15" customHeight="1" x14ac:dyDescent="0.25">
      <c r="A41" s="6" t="s">
        <v>411</v>
      </c>
      <c r="B41" s="6" t="s">
        <v>378</v>
      </c>
      <c r="C41" s="7" t="s">
        <v>181</v>
      </c>
      <c r="D41" s="11">
        <v>40295</v>
      </c>
      <c r="E41" s="6" t="s">
        <v>292</v>
      </c>
      <c r="F41" s="6" t="s">
        <v>183</v>
      </c>
      <c r="G41" s="6" t="s">
        <v>412</v>
      </c>
      <c r="H41" s="6">
        <v>-1.4</v>
      </c>
      <c r="I41" s="6" t="s">
        <v>230</v>
      </c>
      <c r="J41" s="7" t="s">
        <v>413</v>
      </c>
      <c r="K41" s="6" t="s">
        <v>414</v>
      </c>
      <c r="L41" s="6" t="s">
        <v>188</v>
      </c>
      <c r="M41" s="6" t="s">
        <v>189</v>
      </c>
      <c r="N41" s="6" t="s">
        <v>211</v>
      </c>
      <c r="O41" s="6">
        <v>17</v>
      </c>
      <c r="P41" s="6">
        <v>232</v>
      </c>
      <c r="Q41" s="6">
        <v>191</v>
      </c>
      <c r="R41" s="6">
        <v>38</v>
      </c>
      <c r="S41" s="6">
        <f t="shared" si="0"/>
        <v>3</v>
      </c>
      <c r="T41" s="12">
        <v>0.48706896551724099</v>
      </c>
      <c r="U41" s="6" t="s">
        <v>239</v>
      </c>
      <c r="V41" s="6" t="s">
        <v>201</v>
      </c>
      <c r="W41" s="7"/>
      <c r="X41" s="6" t="s">
        <v>194</v>
      </c>
      <c r="Y41" s="6" t="s">
        <v>34</v>
      </c>
      <c r="Z41" s="6" t="s">
        <v>415</v>
      </c>
      <c r="AA41" s="7"/>
      <c r="AB41" s="7"/>
    </row>
    <row r="42" spans="1:28" ht="15" customHeight="1" x14ac:dyDescent="0.25">
      <c r="A42" s="6" t="s">
        <v>416</v>
      </c>
      <c r="B42" s="6" t="s">
        <v>378</v>
      </c>
      <c r="C42" s="7" t="s">
        <v>181</v>
      </c>
      <c r="D42" s="11">
        <v>40565</v>
      </c>
      <c r="E42" s="6" t="s">
        <v>235</v>
      </c>
      <c r="F42" s="6" t="s">
        <v>205</v>
      </c>
      <c r="G42" s="6" t="s">
        <v>417</v>
      </c>
      <c r="H42" s="6">
        <v>-0.6</v>
      </c>
      <c r="I42" s="6" t="s">
        <v>230</v>
      </c>
      <c r="J42" s="7"/>
      <c r="K42" s="6"/>
      <c r="L42" s="6"/>
      <c r="M42" s="6" t="s">
        <v>189</v>
      </c>
      <c r="N42" s="6" t="s">
        <v>211</v>
      </c>
      <c r="O42" s="6">
        <v>17</v>
      </c>
      <c r="P42" s="6">
        <v>245</v>
      </c>
      <c r="Q42" s="6">
        <v>219</v>
      </c>
      <c r="R42" s="6">
        <v>25</v>
      </c>
      <c r="S42" s="6">
        <f t="shared" si="0"/>
        <v>1</v>
      </c>
      <c r="T42" s="12">
        <v>0.53877551020408199</v>
      </c>
      <c r="U42" s="6" t="s">
        <v>231</v>
      </c>
      <c r="V42" s="6" t="s">
        <v>201</v>
      </c>
      <c r="W42" s="7"/>
      <c r="X42" s="6" t="s">
        <v>194</v>
      </c>
      <c r="Y42" s="6" t="s">
        <v>34</v>
      </c>
      <c r="Z42" s="6" t="s">
        <v>418</v>
      </c>
      <c r="AA42" s="7"/>
      <c r="AB42" s="7"/>
    </row>
    <row r="43" spans="1:28" ht="15" customHeight="1" x14ac:dyDescent="0.25">
      <c r="A43" s="6" t="s">
        <v>419</v>
      </c>
      <c r="B43" s="6" t="s">
        <v>378</v>
      </c>
      <c r="C43" s="7" t="s">
        <v>181</v>
      </c>
      <c r="D43" s="11">
        <v>40591</v>
      </c>
      <c r="E43" s="6" t="s">
        <v>204</v>
      </c>
      <c r="F43" s="6" t="s">
        <v>205</v>
      </c>
      <c r="G43" s="6" t="s">
        <v>420</v>
      </c>
      <c r="H43" s="6">
        <v>-0.9</v>
      </c>
      <c r="I43" s="6" t="s">
        <v>222</v>
      </c>
      <c r="J43" s="7"/>
      <c r="K43" s="6"/>
      <c r="L43" s="6"/>
      <c r="M43" s="6" t="s">
        <v>189</v>
      </c>
      <c r="N43" s="6" t="s">
        <v>211</v>
      </c>
      <c r="O43" s="6">
        <v>18</v>
      </c>
      <c r="P43" s="6">
        <v>293</v>
      </c>
      <c r="Q43" s="6">
        <v>279</v>
      </c>
      <c r="R43" s="6">
        <v>7</v>
      </c>
      <c r="S43" s="6">
        <f t="shared" si="0"/>
        <v>7</v>
      </c>
      <c r="T43" s="12">
        <v>0.59726962457337895</v>
      </c>
      <c r="U43" s="6" t="s">
        <v>264</v>
      </c>
      <c r="V43" s="6" t="s">
        <v>201</v>
      </c>
      <c r="W43" s="7"/>
      <c r="X43" s="6" t="s">
        <v>194</v>
      </c>
      <c r="Y43" s="6" t="s">
        <v>34</v>
      </c>
      <c r="Z43" s="6" t="s">
        <v>421</v>
      </c>
      <c r="AA43" s="7"/>
      <c r="AB43" s="7"/>
    </row>
    <row r="44" spans="1:28" ht="15" customHeight="1" x14ac:dyDescent="0.25">
      <c r="A44" s="6" t="s">
        <v>422</v>
      </c>
      <c r="B44" s="6" t="s">
        <v>378</v>
      </c>
      <c r="C44" s="7" t="s">
        <v>181</v>
      </c>
      <c r="D44" s="11">
        <v>40640</v>
      </c>
      <c r="E44" s="6" t="s">
        <v>204</v>
      </c>
      <c r="F44" s="6" t="s">
        <v>183</v>
      </c>
      <c r="G44" s="6" t="s">
        <v>423</v>
      </c>
      <c r="H44" s="6">
        <v>0.1</v>
      </c>
      <c r="I44" s="6" t="s">
        <v>424</v>
      </c>
      <c r="J44" s="7" t="s">
        <v>425</v>
      </c>
      <c r="K44" s="6" t="s">
        <v>426</v>
      </c>
      <c r="L44" s="6" t="s">
        <v>289</v>
      </c>
      <c r="M44" s="6" t="s">
        <v>189</v>
      </c>
      <c r="N44" s="6" t="s">
        <v>211</v>
      </c>
      <c r="O44" s="6">
        <v>17</v>
      </c>
      <c r="P44" s="6">
        <v>304</v>
      </c>
      <c r="Q44" s="6">
        <v>224</v>
      </c>
      <c r="R44" s="6">
        <v>86</v>
      </c>
      <c r="S44" s="6">
        <f t="shared" si="0"/>
        <v>-6</v>
      </c>
      <c r="T44" s="12">
        <v>0.59868421052631604</v>
      </c>
      <c r="U44" s="6" t="s">
        <v>231</v>
      </c>
      <c r="V44" s="6" t="s">
        <v>201</v>
      </c>
      <c r="W44" s="7"/>
      <c r="X44" s="6" t="s">
        <v>194</v>
      </c>
      <c r="Y44" s="6" t="s">
        <v>34</v>
      </c>
      <c r="Z44" s="6" t="s">
        <v>427</v>
      </c>
      <c r="AA44" s="7"/>
      <c r="AB44" s="7"/>
    </row>
    <row r="45" spans="1:28" ht="15" customHeight="1" x14ac:dyDescent="0.25">
      <c r="A45" s="6" t="s">
        <v>428</v>
      </c>
      <c r="B45" s="6" t="s">
        <v>378</v>
      </c>
      <c r="C45" s="7" t="s">
        <v>181</v>
      </c>
      <c r="D45" s="11">
        <v>40653</v>
      </c>
      <c r="E45" s="6" t="s">
        <v>300</v>
      </c>
      <c r="F45" s="6" t="s">
        <v>183</v>
      </c>
      <c r="G45" s="6" t="s">
        <v>429</v>
      </c>
      <c r="H45" s="6">
        <v>-1.7</v>
      </c>
      <c r="I45" s="6" t="s">
        <v>222</v>
      </c>
      <c r="J45" s="7"/>
      <c r="K45" s="6"/>
      <c r="L45" s="6"/>
      <c r="M45" s="6" t="s">
        <v>189</v>
      </c>
      <c r="N45" s="6" t="s">
        <v>211</v>
      </c>
      <c r="O45" s="6">
        <v>19</v>
      </c>
      <c r="P45" s="6">
        <v>393</v>
      </c>
      <c r="Q45" s="6">
        <v>378</v>
      </c>
      <c r="R45" s="6">
        <v>17</v>
      </c>
      <c r="S45" s="6">
        <f t="shared" si="0"/>
        <v>-2</v>
      </c>
      <c r="T45" s="12">
        <v>0.43256997455470703</v>
      </c>
      <c r="U45" s="6" t="s">
        <v>231</v>
      </c>
      <c r="V45" s="6" t="s">
        <v>201</v>
      </c>
      <c r="W45" s="7"/>
      <c r="X45" s="6" t="s">
        <v>194</v>
      </c>
      <c r="Y45" s="6" t="s">
        <v>34</v>
      </c>
      <c r="Z45" s="6" t="s">
        <v>430</v>
      </c>
      <c r="AA45" s="7"/>
      <c r="AB45" s="7"/>
    </row>
  </sheetData>
  <autoFilter ref="A1:AB4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24"/>
  <sheetViews>
    <sheetView showGridLines="0" zoomScaleNormal="100" workbookViewId="0"/>
  </sheetViews>
  <sheetFormatPr defaultColWidth="8.7109375" defaultRowHeight="15" x14ac:dyDescent="0.25"/>
  <cols>
    <col min="1" max="1" width="3" customWidth="1"/>
    <col min="2" max="2" width="16" customWidth="1"/>
    <col min="3" max="14" width="9" customWidth="1"/>
  </cols>
  <sheetData>
    <row r="1" spans="2:13" ht="15.75" customHeight="1" x14ac:dyDescent="0.25">
      <c r="B1" s="14" t="s">
        <v>431</v>
      </c>
    </row>
    <row r="2" spans="2:13" ht="15" customHeight="1" x14ac:dyDescent="0.25">
      <c r="B2" s="15" t="s">
        <v>432</v>
      </c>
    </row>
    <row r="4" spans="2:13" ht="15" customHeight="1" x14ac:dyDescent="0.25">
      <c r="B4" s="16" t="s">
        <v>433</v>
      </c>
    </row>
    <row r="5" spans="2:13" ht="23.25" customHeight="1" x14ac:dyDescent="0.25">
      <c r="B5" s="17" t="s">
        <v>152</v>
      </c>
      <c r="C5" s="17" t="s">
        <v>434</v>
      </c>
      <c r="D5" s="17" t="s">
        <v>435</v>
      </c>
      <c r="E5" s="17" t="s">
        <v>436</v>
      </c>
      <c r="F5" s="17" t="s">
        <v>437</v>
      </c>
      <c r="G5" s="17" t="s">
        <v>438</v>
      </c>
      <c r="H5" s="17" t="s">
        <v>439</v>
      </c>
      <c r="I5" s="17" t="s">
        <v>440</v>
      </c>
      <c r="J5" s="17" t="s">
        <v>441</v>
      </c>
      <c r="K5" s="17" t="s">
        <v>442</v>
      </c>
      <c r="L5" s="17" t="s">
        <v>443</v>
      </c>
      <c r="M5" s="17" t="s">
        <v>444</v>
      </c>
    </row>
    <row r="6" spans="2:13" ht="15" customHeight="1" x14ac:dyDescent="0.25">
      <c r="B6" s="18" t="s">
        <v>247</v>
      </c>
      <c r="C6" s="19">
        <f>COUNTIFS(Survey_Inventory!$B$2:$B$45,$B6,Survey_Inventory!$V$2:$V$45,"Yes",Survey_Inventory!$D$2:$D$45,"&gt;="&amp;DATE(1998,1,1),Survey_Inventory!$D$2:$D$45,"&lt;="&amp;DATE(1998,12,31))</f>
        <v>1</v>
      </c>
      <c r="D6" s="19">
        <f>COUNTIFS(Survey_Inventory!$B$2:$B$45,$B6,Survey_Inventory!$V$2:$V$45,"Yes",Survey_Inventory!$D$2:$D$45,"&gt;="&amp;DATE(2004,1,1),Survey_Inventory!$D$2:$D$45,"&lt;="&amp;DATE(2004,12,31))</f>
        <v>2</v>
      </c>
      <c r="E6" s="19">
        <f>COUNTIFS(Survey_Inventory!$B$2:$B$45,$B6,Survey_Inventory!$V$2:$V$45,"Yes",Survey_Inventory!$D$2:$D$45,"&gt;="&amp;DATE(2006,1,1),Survey_Inventory!$D$2:$D$45,"&lt;="&amp;DATE(2006,12,31))</f>
        <v>0</v>
      </c>
      <c r="F6" s="19">
        <f>COUNTIFS(Survey_Inventory!$B$2:$B$45,$B6,Survey_Inventory!$V$2:$V$45,"Yes",Survey_Inventory!$D$2:$D$45,"&gt;="&amp;DATE(2008,1,1),Survey_Inventory!$D$2:$D$45,"&lt;="&amp;DATE(2008,12,31))</f>
        <v>0</v>
      </c>
      <c r="G6" s="19">
        <f>COUNTIFS(Survey_Inventory!$B$2:$B$45,$B6,Survey_Inventory!$V$2:$V$45,"Yes",Survey_Inventory!$D$2:$D$45,"&gt;="&amp;DATE(2009,1,1),Survey_Inventory!$D$2:$D$45,"&lt;="&amp;DATE(2009,12,31))</f>
        <v>1</v>
      </c>
      <c r="H6" s="19">
        <f>COUNTIFS(Survey_Inventory!$B$2:$B$45,$B6,Survey_Inventory!$V$2:$V$45,"Yes",Survey_Inventory!$D$2:$D$45,"&gt;="&amp;DATE(2010,1,1),Survey_Inventory!$D$2:$D$45,"&lt;="&amp;DATE(2010,12,31))</f>
        <v>0</v>
      </c>
      <c r="I6" s="19">
        <f>COUNTIFS(Survey_Inventory!$B$2:$B$45,$B6,Survey_Inventory!$V$2:$V$45,"Yes",Survey_Inventory!$D$2:$D$45,"&gt;="&amp;DATE(2011,1,1),Survey_Inventory!$D$2:$D$45,"&lt;="&amp;DATE(2011,12,31))</f>
        <v>2</v>
      </c>
      <c r="J6" s="19">
        <f>COUNTIFS(Survey_Inventory!$B$2:$B$45,$B6,Survey_Inventory!$V$2:$V$45,"Yes",Survey_Inventory!$D$2:$D$45,"&gt;="&amp;DATE(2022,1,1),Survey_Inventory!$D$2:$D$45,"&lt;="&amp;DATE(2022,12,31))</f>
        <v>0</v>
      </c>
      <c r="K6" s="19">
        <f>COUNTIFS(Survey_Inventory!$B$2:$B$45,$B6,Survey_Inventory!$V$2:$V$45,"Yes",Survey_Inventory!$D$2:$D$45,"&gt;="&amp;DATE(2023,1,1),Survey_Inventory!$D$2:$D$45,"&lt;="&amp;DATE(2023,12,31))</f>
        <v>0</v>
      </c>
      <c r="L6" s="20">
        <f>COUNTIFS(Survey_Inventory!$B$2:$B$45,$B6,Survey_Inventory!$V$2:$V$45,"Yes",Survey_Inventory!$D$2:$D$45,"&gt;="&amp;DATE(2012,1,1),Survey_Inventory!$D$2:$D$45,"&lt;="&amp;DATE(2021,12,31))</f>
        <v>0</v>
      </c>
      <c r="M6" s="21">
        <f>COUNTIFS(Survey_Inventory!$B$2:$B$45,$B6,Survey_Inventory!$V$2:$V$45,"Yes")</f>
        <v>6</v>
      </c>
    </row>
    <row r="7" spans="2:13" ht="15" customHeight="1" x14ac:dyDescent="0.25">
      <c r="B7" s="18" t="s">
        <v>378</v>
      </c>
      <c r="C7" s="19">
        <f>COUNTIFS(Survey_Inventory!$B$2:$B$45,$B7,Survey_Inventory!$V$2:$V$45,"Yes",Survey_Inventory!$D$2:$D$45,"&gt;="&amp;DATE(1998,1,1),Survey_Inventory!$D$2:$D$45,"&lt;="&amp;DATE(1998,12,31))</f>
        <v>1</v>
      </c>
      <c r="D7" s="19">
        <f>COUNTIFS(Survey_Inventory!$B$2:$B$45,$B7,Survey_Inventory!$V$2:$V$45,"Yes",Survey_Inventory!$D$2:$D$45,"&gt;="&amp;DATE(2004,1,1),Survey_Inventory!$D$2:$D$45,"&lt;="&amp;DATE(2004,12,31))</f>
        <v>1</v>
      </c>
      <c r="E7" s="19">
        <f>COUNTIFS(Survey_Inventory!$B$2:$B$45,$B7,Survey_Inventory!$V$2:$V$45,"Yes",Survey_Inventory!$D$2:$D$45,"&gt;="&amp;DATE(2006,1,1),Survey_Inventory!$D$2:$D$45,"&lt;="&amp;DATE(2006,12,31))</f>
        <v>0</v>
      </c>
      <c r="F7" s="19">
        <f>COUNTIFS(Survey_Inventory!$B$2:$B$45,$B7,Survey_Inventory!$V$2:$V$45,"Yes",Survey_Inventory!$D$2:$D$45,"&gt;="&amp;DATE(2008,1,1),Survey_Inventory!$D$2:$D$45,"&lt;="&amp;DATE(2008,12,31))</f>
        <v>0</v>
      </c>
      <c r="G7" s="19">
        <f>COUNTIFS(Survey_Inventory!$B$2:$B$45,$B7,Survey_Inventory!$V$2:$V$45,"Yes",Survey_Inventory!$D$2:$D$45,"&gt;="&amp;DATE(2009,1,1),Survey_Inventory!$D$2:$D$45,"&lt;="&amp;DATE(2009,12,31))</f>
        <v>0</v>
      </c>
      <c r="H7" s="19">
        <f>COUNTIFS(Survey_Inventory!$B$2:$B$45,$B7,Survey_Inventory!$V$2:$V$45,"Yes",Survey_Inventory!$D$2:$D$45,"&gt;="&amp;DATE(2010,1,1),Survey_Inventory!$D$2:$D$45,"&lt;="&amp;DATE(2010,12,31))</f>
        <v>1</v>
      </c>
      <c r="I7" s="19">
        <f>COUNTIFS(Survey_Inventory!$B$2:$B$45,$B7,Survey_Inventory!$V$2:$V$45,"Yes",Survey_Inventory!$D$2:$D$45,"&gt;="&amp;DATE(2011,1,1),Survey_Inventory!$D$2:$D$45,"&lt;="&amp;DATE(2011,12,31))</f>
        <v>4</v>
      </c>
      <c r="J7" s="19">
        <f>COUNTIFS(Survey_Inventory!$B$2:$B$45,$B7,Survey_Inventory!$V$2:$V$45,"Yes",Survey_Inventory!$D$2:$D$45,"&gt;="&amp;DATE(2022,1,1),Survey_Inventory!$D$2:$D$45,"&lt;="&amp;DATE(2022,12,31))</f>
        <v>0</v>
      </c>
      <c r="K7" s="19">
        <f>COUNTIFS(Survey_Inventory!$B$2:$B$45,$B7,Survey_Inventory!$V$2:$V$45,"Yes",Survey_Inventory!$D$2:$D$45,"&gt;="&amp;DATE(2023,1,1),Survey_Inventory!$D$2:$D$45,"&lt;="&amp;DATE(2023,12,31))</f>
        <v>0</v>
      </c>
      <c r="L7" s="20">
        <f>COUNTIFS(Survey_Inventory!$B$2:$B$45,$B7,Survey_Inventory!$V$2:$V$45,"Yes",Survey_Inventory!$D$2:$D$45,"&gt;="&amp;DATE(2012,1,1),Survey_Inventory!$D$2:$D$45,"&lt;="&amp;DATE(2021,12,31))</f>
        <v>0</v>
      </c>
      <c r="M7" s="21">
        <f>COUNTIFS(Survey_Inventory!$B$2:$B$45,$B7,Survey_Inventory!$V$2:$V$45,"Yes")</f>
        <v>7</v>
      </c>
    </row>
    <row r="8" spans="2:13" ht="15" customHeight="1" x14ac:dyDescent="0.25">
      <c r="B8" s="18" t="s">
        <v>180</v>
      </c>
      <c r="C8" s="19">
        <f>COUNTIFS(Survey_Inventory!$B$2:$B$45,$B8,Survey_Inventory!$V$2:$V$45,"Yes",Survey_Inventory!$D$2:$D$45,"&gt;="&amp;DATE(1998,1,1),Survey_Inventory!$D$2:$D$45,"&lt;="&amp;DATE(1998,12,31))</f>
        <v>0</v>
      </c>
      <c r="D8" s="19">
        <f>COUNTIFS(Survey_Inventory!$B$2:$B$45,$B8,Survey_Inventory!$V$2:$V$45,"Yes",Survey_Inventory!$D$2:$D$45,"&gt;="&amp;DATE(2004,1,1),Survey_Inventory!$D$2:$D$45,"&lt;="&amp;DATE(2004,12,31))</f>
        <v>1</v>
      </c>
      <c r="E8" s="19">
        <f>COUNTIFS(Survey_Inventory!$B$2:$B$45,$B8,Survey_Inventory!$V$2:$V$45,"Yes",Survey_Inventory!$D$2:$D$45,"&gt;="&amp;DATE(2006,1,1),Survey_Inventory!$D$2:$D$45,"&lt;="&amp;DATE(2006,12,31))</f>
        <v>0</v>
      </c>
      <c r="F8" s="19">
        <f>COUNTIFS(Survey_Inventory!$B$2:$B$45,$B8,Survey_Inventory!$V$2:$V$45,"Yes",Survey_Inventory!$D$2:$D$45,"&gt;="&amp;DATE(2008,1,1),Survey_Inventory!$D$2:$D$45,"&lt;="&amp;DATE(2008,12,31))</f>
        <v>1</v>
      </c>
      <c r="G8" s="19">
        <f>COUNTIFS(Survey_Inventory!$B$2:$B$45,$B8,Survey_Inventory!$V$2:$V$45,"Yes",Survey_Inventory!$D$2:$D$45,"&gt;="&amp;DATE(2009,1,1),Survey_Inventory!$D$2:$D$45,"&lt;="&amp;DATE(2009,12,31))</f>
        <v>0</v>
      </c>
      <c r="H8" s="19">
        <f>COUNTIFS(Survey_Inventory!$B$2:$B$45,$B8,Survey_Inventory!$V$2:$V$45,"Yes",Survey_Inventory!$D$2:$D$45,"&gt;="&amp;DATE(2010,1,1),Survey_Inventory!$D$2:$D$45,"&lt;="&amp;DATE(2010,12,31))</f>
        <v>1</v>
      </c>
      <c r="I8" s="19">
        <f>COUNTIFS(Survey_Inventory!$B$2:$B$45,$B8,Survey_Inventory!$V$2:$V$45,"Yes",Survey_Inventory!$D$2:$D$45,"&gt;="&amp;DATE(2011,1,1),Survey_Inventory!$D$2:$D$45,"&lt;="&amp;DATE(2011,12,31))</f>
        <v>1</v>
      </c>
      <c r="J8" s="19">
        <f>COUNTIFS(Survey_Inventory!$B$2:$B$45,$B8,Survey_Inventory!$V$2:$V$45,"Yes",Survey_Inventory!$D$2:$D$45,"&gt;="&amp;DATE(2022,1,1),Survey_Inventory!$D$2:$D$45,"&lt;="&amp;DATE(2022,12,31))</f>
        <v>1</v>
      </c>
      <c r="K8" s="19">
        <f>COUNTIFS(Survey_Inventory!$B$2:$B$45,$B8,Survey_Inventory!$V$2:$V$45,"Yes",Survey_Inventory!$D$2:$D$45,"&gt;="&amp;DATE(2023,1,1),Survey_Inventory!$D$2:$D$45,"&lt;="&amp;DATE(2023,12,31))</f>
        <v>1</v>
      </c>
      <c r="L8" s="20">
        <f>COUNTIFS(Survey_Inventory!$B$2:$B$45,$B8,Survey_Inventory!$V$2:$V$45,"Yes",Survey_Inventory!$D$2:$D$45,"&gt;="&amp;DATE(2012,1,1),Survey_Inventory!$D$2:$D$45,"&lt;="&amp;DATE(2021,12,31))</f>
        <v>0</v>
      </c>
      <c r="M8" s="21">
        <f>COUNTIFS(Survey_Inventory!$B$2:$B$45,$B8,Survey_Inventory!$V$2:$V$45,"Yes")</f>
        <v>6</v>
      </c>
    </row>
    <row r="9" spans="2:13" ht="15" customHeight="1" x14ac:dyDescent="0.25">
      <c r="B9" s="18" t="s">
        <v>298</v>
      </c>
      <c r="C9" s="19">
        <f>COUNTIFS(Survey_Inventory!$B$2:$B$45,$B9,Survey_Inventory!$V$2:$V$45,"Yes",Survey_Inventory!$D$2:$D$45,"&gt;="&amp;DATE(1998,1,1),Survey_Inventory!$D$2:$D$45,"&lt;="&amp;DATE(1998,12,31))</f>
        <v>1</v>
      </c>
      <c r="D9" s="19">
        <f>COUNTIFS(Survey_Inventory!$B$2:$B$45,$B9,Survey_Inventory!$V$2:$V$45,"Yes",Survey_Inventory!$D$2:$D$45,"&gt;="&amp;DATE(2004,1,1),Survey_Inventory!$D$2:$D$45,"&lt;="&amp;DATE(2004,12,31))</f>
        <v>1</v>
      </c>
      <c r="E9" s="19">
        <f>COUNTIFS(Survey_Inventory!$B$2:$B$45,$B9,Survey_Inventory!$V$2:$V$45,"Yes",Survey_Inventory!$D$2:$D$45,"&gt;="&amp;DATE(2006,1,1),Survey_Inventory!$D$2:$D$45,"&lt;="&amp;DATE(2006,12,31))</f>
        <v>1</v>
      </c>
      <c r="F9" s="19">
        <f>COUNTIFS(Survey_Inventory!$B$2:$B$45,$B9,Survey_Inventory!$V$2:$V$45,"Yes",Survey_Inventory!$D$2:$D$45,"&gt;="&amp;DATE(2008,1,1),Survey_Inventory!$D$2:$D$45,"&lt;="&amp;DATE(2008,12,31))</f>
        <v>1</v>
      </c>
      <c r="G9" s="19">
        <f>COUNTIFS(Survey_Inventory!$B$2:$B$45,$B9,Survey_Inventory!$V$2:$V$45,"Yes",Survey_Inventory!$D$2:$D$45,"&gt;="&amp;DATE(2009,1,1),Survey_Inventory!$D$2:$D$45,"&lt;="&amp;DATE(2009,12,31))</f>
        <v>0</v>
      </c>
      <c r="H9" s="19">
        <f>COUNTIFS(Survey_Inventory!$B$2:$B$45,$B9,Survey_Inventory!$V$2:$V$45,"Yes",Survey_Inventory!$D$2:$D$45,"&gt;="&amp;DATE(2010,1,1),Survey_Inventory!$D$2:$D$45,"&lt;="&amp;DATE(2010,12,31))</f>
        <v>1</v>
      </c>
      <c r="I9" s="19">
        <f>COUNTIFS(Survey_Inventory!$B$2:$B$45,$B9,Survey_Inventory!$V$2:$V$45,"Yes",Survey_Inventory!$D$2:$D$45,"&gt;="&amp;DATE(2011,1,1),Survey_Inventory!$D$2:$D$45,"&lt;="&amp;DATE(2011,12,31))</f>
        <v>1</v>
      </c>
      <c r="J9" s="19">
        <f>COUNTIFS(Survey_Inventory!$B$2:$B$45,$B9,Survey_Inventory!$V$2:$V$45,"Yes",Survey_Inventory!$D$2:$D$45,"&gt;="&amp;DATE(2022,1,1),Survey_Inventory!$D$2:$D$45,"&lt;="&amp;DATE(2022,12,31))</f>
        <v>1</v>
      </c>
      <c r="K9" s="19">
        <f>COUNTIFS(Survey_Inventory!$B$2:$B$45,$B9,Survey_Inventory!$V$2:$V$45,"Yes",Survey_Inventory!$D$2:$D$45,"&gt;="&amp;DATE(2023,1,1),Survey_Inventory!$D$2:$D$45,"&lt;="&amp;DATE(2023,12,31))</f>
        <v>1</v>
      </c>
      <c r="L9" s="20">
        <f>COUNTIFS(Survey_Inventory!$B$2:$B$45,$B9,Survey_Inventory!$V$2:$V$45,"Yes",Survey_Inventory!$D$2:$D$45,"&gt;="&amp;DATE(2012,1,1),Survey_Inventory!$D$2:$D$45,"&lt;="&amp;DATE(2021,12,31))</f>
        <v>0</v>
      </c>
      <c r="M9" s="21">
        <f>COUNTIFS(Survey_Inventory!$B$2:$B$45,$B9,Survey_Inventory!$V$2:$V$45,"Yes")</f>
        <v>8</v>
      </c>
    </row>
    <row r="10" spans="2:13" ht="15" customHeight="1" x14ac:dyDescent="0.25">
      <c r="B10" s="18" t="s">
        <v>445</v>
      </c>
      <c r="C10" s="19">
        <f>COUNTIFS(Survey_Inventory!$B$2:$B$45,$B10,Survey_Inventory!$V$2:$V$45,"Yes",Survey_Inventory!$D$2:$D$45,"&gt;="&amp;DATE(1998,1,1),Survey_Inventory!$D$2:$D$45,"&lt;="&amp;DATE(1998,12,31))</f>
        <v>0</v>
      </c>
      <c r="D10" s="19">
        <f>COUNTIFS(Survey_Inventory!$B$2:$B$45,$B10,Survey_Inventory!$V$2:$V$45,"Yes",Survey_Inventory!$D$2:$D$45,"&gt;="&amp;DATE(2004,1,1),Survey_Inventory!$D$2:$D$45,"&lt;="&amp;DATE(2004,12,31))</f>
        <v>0</v>
      </c>
      <c r="E10" s="19">
        <f>COUNTIFS(Survey_Inventory!$B$2:$B$45,$B10,Survey_Inventory!$V$2:$V$45,"Yes",Survey_Inventory!$D$2:$D$45,"&gt;="&amp;DATE(2006,1,1),Survey_Inventory!$D$2:$D$45,"&lt;="&amp;DATE(2006,12,31))</f>
        <v>0</v>
      </c>
      <c r="F10" s="19">
        <f>COUNTIFS(Survey_Inventory!$B$2:$B$45,$B10,Survey_Inventory!$V$2:$V$45,"Yes",Survey_Inventory!$D$2:$D$45,"&gt;="&amp;DATE(2008,1,1),Survey_Inventory!$D$2:$D$45,"&lt;="&amp;DATE(2008,12,31))</f>
        <v>0</v>
      </c>
      <c r="G10" s="19">
        <f>COUNTIFS(Survey_Inventory!$B$2:$B$45,$B10,Survey_Inventory!$V$2:$V$45,"Yes",Survey_Inventory!$D$2:$D$45,"&gt;="&amp;DATE(2009,1,1),Survey_Inventory!$D$2:$D$45,"&lt;="&amp;DATE(2009,12,31))</f>
        <v>0</v>
      </c>
      <c r="H10" s="19">
        <f>COUNTIFS(Survey_Inventory!$B$2:$B$45,$B10,Survey_Inventory!$V$2:$V$45,"Yes",Survey_Inventory!$D$2:$D$45,"&gt;="&amp;DATE(2010,1,1),Survey_Inventory!$D$2:$D$45,"&lt;="&amp;DATE(2010,12,31))</f>
        <v>0</v>
      </c>
      <c r="I10" s="19">
        <f>COUNTIFS(Survey_Inventory!$B$2:$B$45,$B10,Survey_Inventory!$V$2:$V$45,"Yes",Survey_Inventory!$D$2:$D$45,"&gt;="&amp;DATE(2011,1,1),Survey_Inventory!$D$2:$D$45,"&lt;="&amp;DATE(2011,12,31))</f>
        <v>0</v>
      </c>
      <c r="J10" s="19">
        <f>COUNTIFS(Survey_Inventory!$B$2:$B$45,$B10,Survey_Inventory!$V$2:$V$45,"Yes",Survey_Inventory!$D$2:$D$45,"&gt;="&amp;DATE(2022,1,1),Survey_Inventory!$D$2:$D$45,"&lt;="&amp;DATE(2022,12,31))</f>
        <v>0</v>
      </c>
      <c r="K10" s="19">
        <f>COUNTIFS(Survey_Inventory!$B$2:$B$45,$B10,Survey_Inventory!$V$2:$V$45,"Yes",Survey_Inventory!$D$2:$D$45,"&gt;="&amp;DATE(2023,1,1),Survey_Inventory!$D$2:$D$45,"&lt;="&amp;DATE(2023,12,31))</f>
        <v>0</v>
      </c>
      <c r="L10" s="20">
        <f>COUNTIFS(Survey_Inventory!$B$2:$B$45,$B10,Survey_Inventory!$V$2:$V$45,"Yes",Survey_Inventory!$D$2:$D$45,"&gt;="&amp;DATE(2012,1,1),Survey_Inventory!$D$2:$D$45,"&lt;="&amp;DATE(2021,12,31))</f>
        <v>0</v>
      </c>
      <c r="M10" s="21">
        <f>COUNTIFS(Survey_Inventory!$B$2:$B$45,$B10,Survey_Inventory!$V$2:$V$45,"Yes")</f>
        <v>0</v>
      </c>
    </row>
    <row r="12" spans="2:13" ht="15" customHeight="1" x14ac:dyDescent="0.25">
      <c r="B12" s="16" t="s">
        <v>446</v>
      </c>
    </row>
    <row r="13" spans="2:13" ht="15" customHeight="1" x14ac:dyDescent="0.25">
      <c r="B13" s="17" t="s">
        <v>152</v>
      </c>
      <c r="C13" s="17" t="s">
        <v>183</v>
      </c>
      <c r="D13" s="17" t="s">
        <v>205</v>
      </c>
      <c r="E13" s="17" t="s">
        <v>444</v>
      </c>
    </row>
    <row r="14" spans="2:13" ht="15" customHeight="1" x14ac:dyDescent="0.25">
      <c r="B14" s="18" t="s">
        <v>247</v>
      </c>
      <c r="C14" s="19">
        <f>COUNTIFS(Survey_Inventory!$B$2:$B$45,$B14,Survey_Inventory!$V$2:$V$45,"Yes",Survey_Inventory!$F$2:$F$45,"Daylight")</f>
        <v>3</v>
      </c>
      <c r="D14" s="19">
        <f>COUNTIFS(Survey_Inventory!$B$2:$B$45,$B14,Survey_Inventory!$V$2:$V$45,"Yes",Survey_Inventory!$F$2:$F$45,"Evening")</f>
        <v>3</v>
      </c>
      <c r="E14" s="21">
        <f>SUM(C14:D14)</f>
        <v>6</v>
      </c>
    </row>
    <row r="15" spans="2:13" ht="15" customHeight="1" x14ac:dyDescent="0.25">
      <c r="B15" s="18" t="s">
        <v>378</v>
      </c>
      <c r="C15" s="19">
        <f>COUNTIFS(Survey_Inventory!$B$2:$B$45,$B15,Survey_Inventory!$V$2:$V$45,"Yes",Survey_Inventory!$F$2:$F$45,"Daylight")</f>
        <v>5</v>
      </c>
      <c r="D15" s="19">
        <f>COUNTIFS(Survey_Inventory!$B$2:$B$45,$B15,Survey_Inventory!$V$2:$V$45,"Yes",Survey_Inventory!$F$2:$F$45,"Evening")</f>
        <v>2</v>
      </c>
      <c r="E15" s="21">
        <f>SUM(C15:D15)</f>
        <v>7</v>
      </c>
    </row>
    <row r="16" spans="2:13" ht="15" customHeight="1" x14ac:dyDescent="0.25">
      <c r="B16" s="18" t="s">
        <v>180</v>
      </c>
      <c r="C16" s="19">
        <f>COUNTIFS(Survey_Inventory!$B$2:$B$45,$B16,Survey_Inventory!$V$2:$V$45,"Yes",Survey_Inventory!$F$2:$F$45,"Daylight")</f>
        <v>4</v>
      </c>
      <c r="D16" s="19">
        <f>COUNTIFS(Survey_Inventory!$B$2:$B$45,$B16,Survey_Inventory!$V$2:$V$45,"Yes",Survey_Inventory!$F$2:$F$45,"Evening")</f>
        <v>2</v>
      </c>
      <c r="E16" s="21">
        <f>SUM(C16:D16)</f>
        <v>6</v>
      </c>
    </row>
    <row r="17" spans="2:13" ht="15" customHeight="1" x14ac:dyDescent="0.25">
      <c r="B17" s="18" t="s">
        <v>298</v>
      </c>
      <c r="C17" s="19">
        <f>COUNTIFS(Survey_Inventory!$B$2:$B$45,$B17,Survey_Inventory!$V$2:$V$45,"Yes",Survey_Inventory!$F$2:$F$45,"Daylight")</f>
        <v>5</v>
      </c>
      <c r="D17" s="19">
        <f>COUNTIFS(Survey_Inventory!$B$2:$B$45,$B17,Survey_Inventory!$V$2:$V$45,"Yes",Survey_Inventory!$F$2:$F$45,"Evening")</f>
        <v>3</v>
      </c>
      <c r="E17" s="21">
        <f>SUM(C17:D17)</f>
        <v>8</v>
      </c>
    </row>
    <row r="18" spans="2:13" ht="15" customHeight="1" x14ac:dyDescent="0.25">
      <c r="B18" s="18" t="s">
        <v>445</v>
      </c>
      <c r="C18" s="19">
        <f>COUNTIFS(Survey_Inventory!$B$2:$B$45,$B18,Survey_Inventory!$V$2:$V$45,"Yes",Survey_Inventory!$F$2:$F$45,"Daylight")</f>
        <v>0</v>
      </c>
      <c r="D18" s="19">
        <f>COUNTIFS(Survey_Inventory!$B$2:$B$45,$B18,Survey_Inventory!$V$2:$V$45,"Yes",Survey_Inventory!$F$2:$F$45,"Evening")</f>
        <v>0</v>
      </c>
      <c r="E18" s="21">
        <f>SUM(C18:D18)</f>
        <v>0</v>
      </c>
    </row>
    <row r="20" spans="2:13" ht="15" customHeight="1" x14ac:dyDescent="0.25">
      <c r="B20" s="16" t="s">
        <v>447</v>
      </c>
    </row>
    <row r="21" spans="2:13" ht="27.75" customHeight="1" x14ac:dyDescent="0.25">
      <c r="B21" s="1" t="s">
        <v>448</v>
      </c>
      <c r="C21" s="1"/>
      <c r="D21" s="1"/>
      <c r="E21" s="1"/>
      <c r="F21" s="1"/>
      <c r="G21" s="1"/>
      <c r="H21" s="1"/>
      <c r="I21" s="1"/>
      <c r="J21" s="1"/>
      <c r="K21" s="1"/>
      <c r="L21" s="1"/>
      <c r="M21" s="1"/>
    </row>
    <row r="22" spans="2:13" ht="27.75" customHeight="1" x14ac:dyDescent="0.25">
      <c r="B22" s="1" t="s">
        <v>449</v>
      </c>
      <c r="C22" s="1"/>
      <c r="D22" s="1"/>
      <c r="E22" s="1"/>
      <c r="F22" s="1"/>
      <c r="G22" s="1"/>
      <c r="H22" s="1"/>
      <c r="I22" s="1"/>
      <c r="J22" s="1"/>
      <c r="K22" s="1"/>
      <c r="L22" s="1"/>
      <c r="M22" s="1"/>
    </row>
    <row r="23" spans="2:13" ht="27.75" customHeight="1" x14ac:dyDescent="0.25">
      <c r="B23" s="1" t="s">
        <v>450</v>
      </c>
      <c r="C23" s="1"/>
      <c r="D23" s="1"/>
      <c r="E23" s="1"/>
      <c r="F23" s="1"/>
      <c r="G23" s="1"/>
      <c r="H23" s="1"/>
      <c r="I23" s="1"/>
      <c r="J23" s="1"/>
      <c r="K23" s="1"/>
      <c r="L23" s="1"/>
      <c r="M23" s="1"/>
    </row>
    <row r="24" spans="2:13" ht="27.75" customHeight="1" x14ac:dyDescent="0.25">
      <c r="B24" s="1" t="s">
        <v>451</v>
      </c>
      <c r="C24" s="1"/>
      <c r="D24" s="1"/>
      <c r="E24" s="1"/>
      <c r="F24" s="1"/>
      <c r="G24" s="1"/>
      <c r="H24" s="1"/>
      <c r="I24" s="1"/>
      <c r="J24" s="1"/>
      <c r="K24" s="1"/>
      <c r="L24" s="1"/>
      <c r="M24" s="1"/>
    </row>
  </sheetData>
  <mergeCells count="4">
    <mergeCell ref="B21:M21"/>
    <mergeCell ref="B22:M22"/>
    <mergeCell ref="B23:M23"/>
    <mergeCell ref="B24:M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43"/>
  <sheetViews>
    <sheetView zoomScaleNormal="100" workbookViewId="0">
      <pane ySplit="1" topLeftCell="A2" activePane="bottomLeft" state="frozen"/>
      <selection pane="bottomLeft"/>
    </sheetView>
  </sheetViews>
  <sheetFormatPr defaultColWidth="8.7109375" defaultRowHeight="15" x14ac:dyDescent="0.25"/>
  <cols>
    <col min="1" max="1" width="22" customWidth="1"/>
    <col min="2" max="2" width="9" customWidth="1"/>
    <col min="3" max="3" width="14" customWidth="1"/>
    <col min="4" max="4" width="12" customWidth="1"/>
    <col min="5" max="5" width="13" customWidth="1"/>
    <col min="6" max="7" width="11" customWidth="1"/>
    <col min="8" max="9" width="9" customWidth="1"/>
    <col min="10" max="11" width="10" customWidth="1"/>
    <col min="12" max="13" width="11" customWidth="1"/>
    <col min="14" max="14" width="12" customWidth="1"/>
    <col min="15" max="15" width="15" customWidth="1"/>
    <col min="16" max="16" width="11" customWidth="1"/>
    <col min="17" max="17" width="18" customWidth="1"/>
  </cols>
  <sheetData>
    <row r="1" spans="1:17" ht="30" customHeight="1" x14ac:dyDescent="0.25">
      <c r="A1" s="5" t="s">
        <v>151</v>
      </c>
      <c r="B1" s="5" t="s">
        <v>452</v>
      </c>
      <c r="C1" s="5" t="s">
        <v>453</v>
      </c>
      <c r="D1" s="5" t="s">
        <v>454</v>
      </c>
      <c r="E1" s="5" t="s">
        <v>152</v>
      </c>
      <c r="F1" s="5" t="s">
        <v>156</v>
      </c>
      <c r="G1" s="5" t="s">
        <v>154</v>
      </c>
      <c r="H1" s="5" t="s">
        <v>455</v>
      </c>
      <c r="I1" s="5" t="s">
        <v>456</v>
      </c>
      <c r="J1" s="5" t="s">
        <v>457</v>
      </c>
      <c r="K1" s="5" t="s">
        <v>458</v>
      </c>
      <c r="L1" s="5" t="s">
        <v>459</v>
      </c>
      <c r="M1" s="5" t="s">
        <v>166</v>
      </c>
      <c r="N1" s="5" t="s">
        <v>460</v>
      </c>
      <c r="O1" s="5" t="s">
        <v>461</v>
      </c>
      <c r="P1" s="5" t="s">
        <v>462</v>
      </c>
      <c r="Q1" s="5" t="s">
        <v>463</v>
      </c>
    </row>
    <row r="2" spans="1:17" ht="15" customHeight="1" x14ac:dyDescent="0.25">
      <c r="A2" s="22" t="s">
        <v>179</v>
      </c>
      <c r="B2" s="22">
        <v>0</v>
      </c>
      <c r="C2" s="22" t="s">
        <v>189</v>
      </c>
      <c r="D2" s="22"/>
      <c r="E2" s="22" t="s">
        <v>180</v>
      </c>
      <c r="F2" s="22" t="s">
        <v>183</v>
      </c>
      <c r="G2" s="23">
        <v>38100</v>
      </c>
      <c r="H2" s="22">
        <v>11</v>
      </c>
      <c r="I2" s="22">
        <v>1</v>
      </c>
      <c r="J2" s="22">
        <f t="shared" ref="J2:J65" si="0">SUMIFS($H$2:$H$1200,$A$2:$A$1200,$A2,$B$2:$B$1200,"&lt;="&amp;$B2)</f>
        <v>11</v>
      </c>
      <c r="K2" s="22">
        <f t="shared" ref="K2:K65" si="1">SUMIFS($I$2:$I$1200,$A$2:$A$1200,$A2,$B$2:$B$1200,"&lt;="&amp;$B2)</f>
        <v>1</v>
      </c>
      <c r="L2" s="22">
        <f t="shared" ref="L2:L65" si="2">J2-K2</f>
        <v>10</v>
      </c>
      <c r="M2" s="22">
        <f t="shared" ref="M2:M65" si="3">SUMIF($A$2:$A$1200,$A2,$H$2:$H$1200)</f>
        <v>374</v>
      </c>
      <c r="N2" s="24">
        <f t="shared" ref="N2:N65" si="4">IF(M2=0,"",L2/M2)</f>
        <v>2.6737967914438502E-2</v>
      </c>
      <c r="O2" s="24"/>
      <c r="P2" s="24" t="str">
        <f t="shared" ref="P2:P65" si="5">IF(OR(N2="",O2=""),"",N2-O2)</f>
        <v/>
      </c>
      <c r="Q2" s="22"/>
    </row>
    <row r="3" spans="1:17" ht="15" customHeight="1" x14ac:dyDescent="0.25">
      <c r="A3" s="22" t="s">
        <v>179</v>
      </c>
      <c r="B3" s="22">
        <v>3</v>
      </c>
      <c r="C3" s="22" t="s">
        <v>464</v>
      </c>
      <c r="D3" s="22">
        <v>-180</v>
      </c>
      <c r="E3" s="22" t="s">
        <v>180</v>
      </c>
      <c r="F3" s="22" t="s">
        <v>183</v>
      </c>
      <c r="G3" s="23">
        <v>38100</v>
      </c>
      <c r="H3" s="22">
        <v>23</v>
      </c>
      <c r="I3" s="22">
        <v>0</v>
      </c>
      <c r="J3" s="22">
        <f t="shared" si="0"/>
        <v>34</v>
      </c>
      <c r="K3" s="22">
        <f t="shared" si="1"/>
        <v>1</v>
      </c>
      <c r="L3" s="22">
        <f t="shared" si="2"/>
        <v>33</v>
      </c>
      <c r="M3" s="22">
        <f t="shared" si="3"/>
        <v>374</v>
      </c>
      <c r="N3" s="24">
        <f t="shared" si="4"/>
        <v>8.8235294117647065E-2</v>
      </c>
      <c r="O3" s="24"/>
      <c r="P3" s="24" t="str">
        <f t="shared" si="5"/>
        <v/>
      </c>
      <c r="Q3" s="22"/>
    </row>
    <row r="4" spans="1:17" ht="15" customHeight="1" x14ac:dyDescent="0.25">
      <c r="A4" s="22" t="s">
        <v>179</v>
      </c>
      <c r="B4" s="22">
        <v>4</v>
      </c>
      <c r="C4" s="22" t="s">
        <v>465</v>
      </c>
      <c r="D4" s="22">
        <v>-165</v>
      </c>
      <c r="E4" s="22" t="s">
        <v>180</v>
      </c>
      <c r="F4" s="22" t="s">
        <v>183</v>
      </c>
      <c r="G4" s="23">
        <v>38100</v>
      </c>
      <c r="H4" s="22">
        <v>25</v>
      </c>
      <c r="I4" s="22">
        <v>0</v>
      </c>
      <c r="J4" s="22">
        <f t="shared" si="0"/>
        <v>59</v>
      </c>
      <c r="K4" s="22">
        <f t="shared" si="1"/>
        <v>1</v>
      </c>
      <c r="L4" s="22">
        <f t="shared" si="2"/>
        <v>58</v>
      </c>
      <c r="M4" s="22">
        <f t="shared" si="3"/>
        <v>374</v>
      </c>
      <c r="N4" s="24">
        <f t="shared" si="4"/>
        <v>0.15508021390374332</v>
      </c>
      <c r="O4" s="24"/>
      <c r="P4" s="24" t="str">
        <f t="shared" si="5"/>
        <v/>
      </c>
      <c r="Q4" s="22"/>
    </row>
    <row r="5" spans="1:17" ht="15" customHeight="1" x14ac:dyDescent="0.25">
      <c r="A5" s="22" t="s">
        <v>179</v>
      </c>
      <c r="B5" s="22">
        <v>5</v>
      </c>
      <c r="C5" s="22" t="s">
        <v>466</v>
      </c>
      <c r="D5" s="22">
        <v>-150</v>
      </c>
      <c r="E5" s="22" t="s">
        <v>180</v>
      </c>
      <c r="F5" s="22" t="s">
        <v>183</v>
      </c>
      <c r="G5" s="23">
        <v>38100</v>
      </c>
      <c r="H5" s="22">
        <v>39</v>
      </c>
      <c r="I5" s="22">
        <v>5</v>
      </c>
      <c r="J5" s="22">
        <f t="shared" si="0"/>
        <v>98</v>
      </c>
      <c r="K5" s="22">
        <f t="shared" si="1"/>
        <v>6</v>
      </c>
      <c r="L5" s="22">
        <f t="shared" si="2"/>
        <v>92</v>
      </c>
      <c r="M5" s="22">
        <f t="shared" si="3"/>
        <v>374</v>
      </c>
      <c r="N5" s="24">
        <f t="shared" si="4"/>
        <v>0.24598930481283424</v>
      </c>
      <c r="O5" s="24"/>
      <c r="P5" s="24" t="str">
        <f t="shared" si="5"/>
        <v/>
      </c>
      <c r="Q5" s="22"/>
    </row>
    <row r="6" spans="1:17" ht="15" customHeight="1" x14ac:dyDescent="0.25">
      <c r="A6" s="22" t="s">
        <v>179</v>
      </c>
      <c r="B6" s="22">
        <v>6</v>
      </c>
      <c r="C6" s="22" t="s">
        <v>467</v>
      </c>
      <c r="D6" s="22">
        <v>-135</v>
      </c>
      <c r="E6" s="22" t="s">
        <v>180</v>
      </c>
      <c r="F6" s="22" t="s">
        <v>183</v>
      </c>
      <c r="G6" s="23">
        <v>38100</v>
      </c>
      <c r="H6" s="22">
        <v>38</v>
      </c>
      <c r="I6" s="22">
        <v>4</v>
      </c>
      <c r="J6" s="22">
        <f t="shared" si="0"/>
        <v>136</v>
      </c>
      <c r="K6" s="22">
        <f t="shared" si="1"/>
        <v>10</v>
      </c>
      <c r="L6" s="22">
        <f t="shared" si="2"/>
        <v>126</v>
      </c>
      <c r="M6" s="22">
        <f t="shared" si="3"/>
        <v>374</v>
      </c>
      <c r="N6" s="24">
        <f t="shared" si="4"/>
        <v>0.33689839572192515</v>
      </c>
      <c r="O6" s="24"/>
      <c r="P6" s="24" t="str">
        <f t="shared" si="5"/>
        <v/>
      </c>
      <c r="Q6" s="22"/>
    </row>
    <row r="7" spans="1:17" ht="15" customHeight="1" x14ac:dyDescent="0.25">
      <c r="A7" s="22" t="s">
        <v>179</v>
      </c>
      <c r="B7" s="22">
        <v>7</v>
      </c>
      <c r="C7" s="22" t="s">
        <v>212</v>
      </c>
      <c r="D7" s="22">
        <v>-120</v>
      </c>
      <c r="E7" s="22" t="s">
        <v>180</v>
      </c>
      <c r="F7" s="22" t="s">
        <v>183</v>
      </c>
      <c r="G7" s="23">
        <v>38100</v>
      </c>
      <c r="H7" s="22">
        <v>24</v>
      </c>
      <c r="I7" s="22">
        <v>16</v>
      </c>
      <c r="J7" s="22">
        <f t="shared" si="0"/>
        <v>160</v>
      </c>
      <c r="K7" s="22">
        <f t="shared" si="1"/>
        <v>26</v>
      </c>
      <c r="L7" s="22">
        <f t="shared" si="2"/>
        <v>134</v>
      </c>
      <c r="M7" s="22">
        <f t="shared" si="3"/>
        <v>374</v>
      </c>
      <c r="N7" s="24">
        <f t="shared" si="4"/>
        <v>0.35828877005347592</v>
      </c>
      <c r="O7" s="24"/>
      <c r="P7" s="24" t="str">
        <f t="shared" si="5"/>
        <v/>
      </c>
      <c r="Q7" s="22"/>
    </row>
    <row r="8" spans="1:17" ht="15" customHeight="1" x14ac:dyDescent="0.25">
      <c r="A8" s="22" t="s">
        <v>179</v>
      </c>
      <c r="B8" s="22">
        <v>8</v>
      </c>
      <c r="C8" s="22" t="s">
        <v>226</v>
      </c>
      <c r="D8" s="22">
        <v>-105</v>
      </c>
      <c r="E8" s="22" t="s">
        <v>180</v>
      </c>
      <c r="F8" s="22" t="s">
        <v>183</v>
      </c>
      <c r="G8" s="23">
        <v>38100</v>
      </c>
      <c r="H8" s="22">
        <v>51</v>
      </c>
      <c r="I8" s="22">
        <v>18</v>
      </c>
      <c r="J8" s="22">
        <f t="shared" si="0"/>
        <v>211</v>
      </c>
      <c r="K8" s="22">
        <f t="shared" si="1"/>
        <v>44</v>
      </c>
      <c r="L8" s="22">
        <f t="shared" si="2"/>
        <v>167</v>
      </c>
      <c r="M8" s="22">
        <f t="shared" si="3"/>
        <v>374</v>
      </c>
      <c r="N8" s="24">
        <f t="shared" si="4"/>
        <v>0.446524064171123</v>
      </c>
      <c r="O8" s="24"/>
      <c r="P8" s="24" t="str">
        <f t="shared" si="5"/>
        <v/>
      </c>
      <c r="Q8" s="22"/>
    </row>
    <row r="9" spans="1:17" ht="15" customHeight="1" x14ac:dyDescent="0.25">
      <c r="A9" s="22" t="s">
        <v>179</v>
      </c>
      <c r="B9" s="22">
        <v>9</v>
      </c>
      <c r="C9" s="22" t="s">
        <v>264</v>
      </c>
      <c r="D9" s="22">
        <v>-90</v>
      </c>
      <c r="E9" s="22" t="s">
        <v>180</v>
      </c>
      <c r="F9" s="22" t="s">
        <v>183</v>
      </c>
      <c r="G9" s="23">
        <v>38100</v>
      </c>
      <c r="H9" s="22">
        <v>49</v>
      </c>
      <c r="I9" s="22">
        <v>20</v>
      </c>
      <c r="J9" s="22">
        <f t="shared" si="0"/>
        <v>260</v>
      </c>
      <c r="K9" s="22">
        <f t="shared" si="1"/>
        <v>64</v>
      </c>
      <c r="L9" s="22">
        <f t="shared" si="2"/>
        <v>196</v>
      </c>
      <c r="M9" s="22">
        <f t="shared" si="3"/>
        <v>374</v>
      </c>
      <c r="N9" s="24">
        <f t="shared" si="4"/>
        <v>0.52406417112299464</v>
      </c>
      <c r="O9" s="24"/>
      <c r="P9" s="24" t="str">
        <f t="shared" si="5"/>
        <v/>
      </c>
      <c r="Q9" s="22"/>
    </row>
    <row r="10" spans="1:17" ht="15" customHeight="1" x14ac:dyDescent="0.25">
      <c r="A10" s="22" t="s">
        <v>179</v>
      </c>
      <c r="B10" s="22">
        <v>10</v>
      </c>
      <c r="C10" s="22" t="s">
        <v>191</v>
      </c>
      <c r="D10" s="22">
        <v>-75</v>
      </c>
      <c r="E10" s="22" t="s">
        <v>180</v>
      </c>
      <c r="F10" s="22" t="s">
        <v>183</v>
      </c>
      <c r="G10" s="23">
        <v>38100</v>
      </c>
      <c r="H10" s="22">
        <v>36</v>
      </c>
      <c r="I10" s="22">
        <v>28</v>
      </c>
      <c r="J10" s="22">
        <f t="shared" si="0"/>
        <v>296</v>
      </c>
      <c r="K10" s="22">
        <f t="shared" si="1"/>
        <v>92</v>
      </c>
      <c r="L10" s="22">
        <f t="shared" si="2"/>
        <v>204</v>
      </c>
      <c r="M10" s="22">
        <f t="shared" si="3"/>
        <v>374</v>
      </c>
      <c r="N10" s="24">
        <f t="shared" si="4"/>
        <v>0.54545454545454541</v>
      </c>
      <c r="O10" s="24"/>
      <c r="P10" s="24" t="str">
        <f t="shared" si="5"/>
        <v/>
      </c>
      <c r="Q10" s="22"/>
    </row>
    <row r="11" spans="1:17" ht="15" customHeight="1" x14ac:dyDescent="0.25">
      <c r="A11" s="22" t="s">
        <v>179</v>
      </c>
      <c r="B11" s="22">
        <v>11</v>
      </c>
      <c r="C11" s="22" t="s">
        <v>231</v>
      </c>
      <c r="D11" s="22">
        <v>-60</v>
      </c>
      <c r="E11" s="22" t="s">
        <v>180</v>
      </c>
      <c r="F11" s="22" t="s">
        <v>183</v>
      </c>
      <c r="G11" s="23">
        <v>38100</v>
      </c>
      <c r="H11" s="22">
        <v>21</v>
      </c>
      <c r="I11" s="22">
        <v>30</v>
      </c>
      <c r="J11" s="22">
        <f t="shared" si="0"/>
        <v>317</v>
      </c>
      <c r="K11" s="22">
        <f t="shared" si="1"/>
        <v>122</v>
      </c>
      <c r="L11" s="22">
        <f t="shared" si="2"/>
        <v>195</v>
      </c>
      <c r="M11" s="22">
        <f t="shared" si="3"/>
        <v>374</v>
      </c>
      <c r="N11" s="24">
        <f t="shared" si="4"/>
        <v>0.52139037433155078</v>
      </c>
      <c r="O11" s="24"/>
      <c r="P11" s="24" t="str">
        <f t="shared" si="5"/>
        <v/>
      </c>
      <c r="Q11" s="22"/>
    </row>
    <row r="12" spans="1:17" ht="15" customHeight="1" x14ac:dyDescent="0.25">
      <c r="A12" s="22" t="s">
        <v>179</v>
      </c>
      <c r="B12" s="22">
        <v>12</v>
      </c>
      <c r="C12" s="22" t="s">
        <v>239</v>
      </c>
      <c r="D12" s="22">
        <v>-45</v>
      </c>
      <c r="E12" s="22" t="s">
        <v>180</v>
      </c>
      <c r="F12" s="22" t="s">
        <v>183</v>
      </c>
      <c r="G12" s="23">
        <v>38100</v>
      </c>
      <c r="H12" s="22">
        <v>20</v>
      </c>
      <c r="I12" s="22">
        <v>40</v>
      </c>
      <c r="J12" s="22">
        <f t="shared" si="0"/>
        <v>337</v>
      </c>
      <c r="K12" s="22">
        <f t="shared" si="1"/>
        <v>162</v>
      </c>
      <c r="L12" s="22">
        <f t="shared" si="2"/>
        <v>175</v>
      </c>
      <c r="M12" s="22">
        <f t="shared" si="3"/>
        <v>374</v>
      </c>
      <c r="N12" s="24">
        <f t="shared" si="4"/>
        <v>0.46791443850267378</v>
      </c>
      <c r="O12" s="24"/>
      <c r="P12" s="24" t="str">
        <f t="shared" si="5"/>
        <v/>
      </c>
      <c r="Q12" s="22"/>
    </row>
    <row r="13" spans="1:17" ht="15" customHeight="1" x14ac:dyDescent="0.25">
      <c r="A13" s="22" t="s">
        <v>179</v>
      </c>
      <c r="B13" s="22">
        <v>13</v>
      </c>
      <c r="C13" s="22" t="s">
        <v>387</v>
      </c>
      <c r="D13" s="22">
        <v>-30</v>
      </c>
      <c r="E13" s="22" t="s">
        <v>180</v>
      </c>
      <c r="F13" s="22" t="s">
        <v>183</v>
      </c>
      <c r="G13" s="23">
        <v>38100</v>
      </c>
      <c r="H13" s="22">
        <v>11</v>
      </c>
      <c r="I13" s="22">
        <v>61</v>
      </c>
      <c r="J13" s="22">
        <f t="shared" si="0"/>
        <v>348</v>
      </c>
      <c r="K13" s="22">
        <f t="shared" si="1"/>
        <v>223</v>
      </c>
      <c r="L13" s="22">
        <f t="shared" si="2"/>
        <v>125</v>
      </c>
      <c r="M13" s="22">
        <f t="shared" si="3"/>
        <v>374</v>
      </c>
      <c r="N13" s="24">
        <f t="shared" si="4"/>
        <v>0.33422459893048129</v>
      </c>
      <c r="O13" s="24"/>
      <c r="P13" s="24" t="str">
        <f t="shared" si="5"/>
        <v/>
      </c>
      <c r="Q13" s="22"/>
    </row>
    <row r="14" spans="1:17" ht="15" customHeight="1" x14ac:dyDescent="0.25">
      <c r="A14" s="22" t="s">
        <v>179</v>
      </c>
      <c r="B14" s="22">
        <v>14</v>
      </c>
      <c r="C14" s="22" t="s">
        <v>468</v>
      </c>
      <c r="D14" s="22">
        <v>-15</v>
      </c>
      <c r="E14" s="22" t="s">
        <v>180</v>
      </c>
      <c r="F14" s="22" t="s">
        <v>183</v>
      </c>
      <c r="G14" s="23">
        <v>38100</v>
      </c>
      <c r="H14" s="22">
        <v>8</v>
      </c>
      <c r="I14" s="22">
        <v>34</v>
      </c>
      <c r="J14" s="22">
        <f t="shared" si="0"/>
        <v>356</v>
      </c>
      <c r="K14" s="22">
        <f t="shared" si="1"/>
        <v>257</v>
      </c>
      <c r="L14" s="22">
        <f t="shared" si="2"/>
        <v>99</v>
      </c>
      <c r="M14" s="22">
        <f t="shared" si="3"/>
        <v>374</v>
      </c>
      <c r="N14" s="24">
        <f t="shared" si="4"/>
        <v>0.26470588235294118</v>
      </c>
      <c r="O14" s="24"/>
      <c r="P14" s="24" t="str">
        <f t="shared" si="5"/>
        <v/>
      </c>
      <c r="Q14" s="22"/>
    </row>
    <row r="15" spans="1:17" ht="15" customHeight="1" x14ac:dyDescent="0.25">
      <c r="A15" s="22" t="s">
        <v>179</v>
      </c>
      <c r="B15" s="22">
        <v>15</v>
      </c>
      <c r="C15" s="22" t="s">
        <v>469</v>
      </c>
      <c r="D15" s="22">
        <v>0</v>
      </c>
      <c r="E15" s="22" t="s">
        <v>180</v>
      </c>
      <c r="F15" s="22" t="s">
        <v>183</v>
      </c>
      <c r="G15" s="23">
        <v>38100</v>
      </c>
      <c r="H15" s="22">
        <v>8</v>
      </c>
      <c r="I15" s="22">
        <v>29</v>
      </c>
      <c r="J15" s="22">
        <f t="shared" si="0"/>
        <v>364</v>
      </c>
      <c r="K15" s="22">
        <f t="shared" si="1"/>
        <v>286</v>
      </c>
      <c r="L15" s="22">
        <f t="shared" si="2"/>
        <v>78</v>
      </c>
      <c r="M15" s="22">
        <f t="shared" si="3"/>
        <v>374</v>
      </c>
      <c r="N15" s="24">
        <f t="shared" si="4"/>
        <v>0.20855614973262032</v>
      </c>
      <c r="O15" s="24"/>
      <c r="P15" s="24" t="str">
        <f t="shared" si="5"/>
        <v/>
      </c>
      <c r="Q15" s="22"/>
    </row>
    <row r="16" spans="1:17" ht="15" customHeight="1" x14ac:dyDescent="0.25">
      <c r="A16" s="22" t="s">
        <v>179</v>
      </c>
      <c r="B16" s="22">
        <v>16</v>
      </c>
      <c r="C16" s="22" t="s">
        <v>351</v>
      </c>
      <c r="D16" s="22">
        <v>15</v>
      </c>
      <c r="E16" s="22" t="s">
        <v>180</v>
      </c>
      <c r="F16" s="22" t="s">
        <v>183</v>
      </c>
      <c r="G16" s="23">
        <v>38100</v>
      </c>
      <c r="H16" s="22">
        <v>7</v>
      </c>
      <c r="I16" s="22">
        <v>23</v>
      </c>
      <c r="J16" s="22">
        <f t="shared" si="0"/>
        <v>371</v>
      </c>
      <c r="K16" s="22">
        <f t="shared" si="1"/>
        <v>309</v>
      </c>
      <c r="L16" s="22">
        <f t="shared" si="2"/>
        <v>62</v>
      </c>
      <c r="M16" s="22">
        <f t="shared" si="3"/>
        <v>374</v>
      </c>
      <c r="N16" s="24">
        <f t="shared" si="4"/>
        <v>0.16577540106951871</v>
      </c>
      <c r="O16" s="24"/>
      <c r="P16" s="24" t="str">
        <f t="shared" si="5"/>
        <v/>
      </c>
      <c r="Q16" s="22"/>
    </row>
    <row r="17" spans="1:17" ht="15" customHeight="1" x14ac:dyDescent="0.25">
      <c r="A17" s="22" t="s">
        <v>179</v>
      </c>
      <c r="B17" s="22">
        <v>17</v>
      </c>
      <c r="C17" s="22" t="s">
        <v>311</v>
      </c>
      <c r="D17" s="22">
        <v>30</v>
      </c>
      <c r="E17" s="22" t="s">
        <v>180</v>
      </c>
      <c r="F17" s="22" t="s">
        <v>183</v>
      </c>
      <c r="G17" s="23">
        <v>38100</v>
      </c>
      <c r="H17" s="22">
        <v>1</v>
      </c>
      <c r="I17" s="22">
        <v>22</v>
      </c>
      <c r="J17" s="22">
        <f t="shared" si="0"/>
        <v>372</v>
      </c>
      <c r="K17" s="22">
        <f t="shared" si="1"/>
        <v>331</v>
      </c>
      <c r="L17" s="22">
        <f t="shared" si="2"/>
        <v>41</v>
      </c>
      <c r="M17" s="22">
        <f t="shared" si="3"/>
        <v>374</v>
      </c>
      <c r="N17" s="24">
        <f t="shared" si="4"/>
        <v>0.10962566844919786</v>
      </c>
      <c r="O17" s="24"/>
      <c r="P17" s="24" t="str">
        <f t="shared" si="5"/>
        <v/>
      </c>
      <c r="Q17" s="22"/>
    </row>
    <row r="18" spans="1:17" ht="15" customHeight="1" x14ac:dyDescent="0.25">
      <c r="A18" s="22" t="s">
        <v>179</v>
      </c>
      <c r="B18" s="22">
        <v>18</v>
      </c>
      <c r="C18" s="22" t="s">
        <v>211</v>
      </c>
      <c r="D18" s="22">
        <v>45</v>
      </c>
      <c r="E18" s="22" t="s">
        <v>180</v>
      </c>
      <c r="F18" s="22" t="s">
        <v>183</v>
      </c>
      <c r="G18" s="23">
        <v>38100</v>
      </c>
      <c r="H18" s="22">
        <v>0</v>
      </c>
      <c r="I18" s="22">
        <v>21</v>
      </c>
      <c r="J18" s="22">
        <f t="shared" si="0"/>
        <v>372</v>
      </c>
      <c r="K18" s="22">
        <f t="shared" si="1"/>
        <v>352</v>
      </c>
      <c r="L18" s="22">
        <f t="shared" si="2"/>
        <v>20</v>
      </c>
      <c r="M18" s="22">
        <f t="shared" si="3"/>
        <v>374</v>
      </c>
      <c r="N18" s="24">
        <f t="shared" si="4"/>
        <v>5.3475935828877004E-2</v>
      </c>
      <c r="O18" s="24"/>
      <c r="P18" s="24" t="str">
        <f t="shared" si="5"/>
        <v/>
      </c>
      <c r="Q18" s="22"/>
    </row>
    <row r="19" spans="1:17" ht="15" customHeight="1" x14ac:dyDescent="0.25">
      <c r="A19" s="22" t="s">
        <v>179</v>
      </c>
      <c r="B19" s="22">
        <v>19</v>
      </c>
      <c r="C19" s="22" t="s">
        <v>190</v>
      </c>
      <c r="D19" s="22">
        <v>60</v>
      </c>
      <c r="E19" s="22" t="s">
        <v>180</v>
      </c>
      <c r="F19" s="22" t="s">
        <v>183</v>
      </c>
      <c r="G19" s="23">
        <v>38100</v>
      </c>
      <c r="H19" s="22">
        <v>2</v>
      </c>
      <c r="I19" s="22">
        <v>16</v>
      </c>
      <c r="J19" s="22">
        <f t="shared" si="0"/>
        <v>374</v>
      </c>
      <c r="K19" s="22">
        <f t="shared" si="1"/>
        <v>368</v>
      </c>
      <c r="L19" s="22">
        <f t="shared" si="2"/>
        <v>6</v>
      </c>
      <c r="M19" s="22">
        <f t="shared" si="3"/>
        <v>374</v>
      </c>
      <c r="N19" s="24">
        <f t="shared" si="4"/>
        <v>1.6042780748663103E-2</v>
      </c>
      <c r="O19" s="24"/>
      <c r="P19" s="24" t="str">
        <f t="shared" si="5"/>
        <v/>
      </c>
      <c r="Q19" s="22"/>
    </row>
    <row r="20" spans="1:17" ht="15" customHeight="1" x14ac:dyDescent="0.25">
      <c r="A20" s="22" t="s">
        <v>196</v>
      </c>
      <c r="B20" s="22">
        <v>0</v>
      </c>
      <c r="C20" s="22" t="s">
        <v>189</v>
      </c>
      <c r="D20" s="22"/>
      <c r="E20" s="22" t="s">
        <v>180</v>
      </c>
      <c r="F20" s="22" t="s">
        <v>183</v>
      </c>
      <c r="G20" s="23">
        <v>38100</v>
      </c>
      <c r="H20" s="22">
        <v>11</v>
      </c>
      <c r="I20" s="22">
        <v>1</v>
      </c>
      <c r="J20" s="22">
        <f t="shared" si="0"/>
        <v>11</v>
      </c>
      <c r="K20" s="22">
        <f t="shared" si="1"/>
        <v>1</v>
      </c>
      <c r="L20" s="22">
        <f t="shared" si="2"/>
        <v>10</v>
      </c>
      <c r="M20" s="22">
        <f t="shared" si="3"/>
        <v>374</v>
      </c>
      <c r="N20" s="24">
        <f t="shared" si="4"/>
        <v>2.6737967914438502E-2</v>
      </c>
      <c r="O20" s="24">
        <v>2.6737967914438499E-2</v>
      </c>
      <c r="P20" s="24">
        <f t="shared" si="5"/>
        <v>3.4694469519536142E-18</v>
      </c>
      <c r="Q20" s="22"/>
    </row>
    <row r="21" spans="1:17" ht="15" customHeight="1" x14ac:dyDescent="0.25">
      <c r="A21" s="22" t="s">
        <v>196</v>
      </c>
      <c r="B21" s="22">
        <v>3</v>
      </c>
      <c r="C21" s="22" t="s">
        <v>464</v>
      </c>
      <c r="D21" s="22">
        <v>-180</v>
      </c>
      <c r="E21" s="22" t="s">
        <v>180</v>
      </c>
      <c r="F21" s="22" t="s">
        <v>183</v>
      </c>
      <c r="G21" s="23">
        <v>38100</v>
      </c>
      <c r="H21" s="22">
        <v>23</v>
      </c>
      <c r="I21" s="22">
        <v>0</v>
      </c>
      <c r="J21" s="22">
        <f t="shared" si="0"/>
        <v>34</v>
      </c>
      <c r="K21" s="22">
        <f t="shared" si="1"/>
        <v>1</v>
      </c>
      <c r="L21" s="22">
        <f t="shared" si="2"/>
        <v>33</v>
      </c>
      <c r="M21" s="22">
        <f t="shared" si="3"/>
        <v>374</v>
      </c>
      <c r="N21" s="24">
        <f t="shared" si="4"/>
        <v>8.8235294117647065E-2</v>
      </c>
      <c r="O21" s="24">
        <v>8.8235294117647106E-2</v>
      </c>
      <c r="P21" s="24">
        <f t="shared" si="5"/>
        <v>-4.163336342344337E-17</v>
      </c>
      <c r="Q21" s="22"/>
    </row>
    <row r="22" spans="1:17" ht="15" customHeight="1" x14ac:dyDescent="0.25">
      <c r="A22" s="22" t="s">
        <v>196</v>
      </c>
      <c r="B22" s="22">
        <v>4</v>
      </c>
      <c r="C22" s="22" t="s">
        <v>465</v>
      </c>
      <c r="D22" s="22">
        <v>-165</v>
      </c>
      <c r="E22" s="22" t="s">
        <v>180</v>
      </c>
      <c r="F22" s="22" t="s">
        <v>183</v>
      </c>
      <c r="G22" s="23">
        <v>38100</v>
      </c>
      <c r="H22" s="22">
        <v>25</v>
      </c>
      <c r="I22" s="22">
        <v>0</v>
      </c>
      <c r="J22" s="22">
        <f t="shared" si="0"/>
        <v>59</v>
      </c>
      <c r="K22" s="22">
        <f t="shared" si="1"/>
        <v>1</v>
      </c>
      <c r="L22" s="22">
        <f t="shared" si="2"/>
        <v>58</v>
      </c>
      <c r="M22" s="22">
        <f t="shared" si="3"/>
        <v>374</v>
      </c>
      <c r="N22" s="24">
        <f t="shared" si="4"/>
        <v>0.15508021390374332</v>
      </c>
      <c r="O22" s="24">
        <v>0.15508021390374299</v>
      </c>
      <c r="P22" s="24">
        <f t="shared" si="5"/>
        <v>3.3306690738754696E-16</v>
      </c>
      <c r="Q22" s="22"/>
    </row>
    <row r="23" spans="1:17" ht="15" customHeight="1" x14ac:dyDescent="0.25">
      <c r="A23" s="22" t="s">
        <v>196</v>
      </c>
      <c r="B23" s="22">
        <v>5</v>
      </c>
      <c r="C23" s="22" t="s">
        <v>466</v>
      </c>
      <c r="D23" s="22">
        <v>-150</v>
      </c>
      <c r="E23" s="22" t="s">
        <v>180</v>
      </c>
      <c r="F23" s="22" t="s">
        <v>183</v>
      </c>
      <c r="G23" s="23">
        <v>38100</v>
      </c>
      <c r="H23" s="22">
        <v>39</v>
      </c>
      <c r="I23" s="22">
        <v>5</v>
      </c>
      <c r="J23" s="22">
        <f t="shared" si="0"/>
        <v>98</v>
      </c>
      <c r="K23" s="22">
        <f t="shared" si="1"/>
        <v>6</v>
      </c>
      <c r="L23" s="22">
        <f t="shared" si="2"/>
        <v>92</v>
      </c>
      <c r="M23" s="22">
        <f t="shared" si="3"/>
        <v>374</v>
      </c>
      <c r="N23" s="24">
        <f t="shared" si="4"/>
        <v>0.24598930481283424</v>
      </c>
      <c r="O23" s="24">
        <v>0.24598930481283399</v>
      </c>
      <c r="P23" s="24">
        <f t="shared" si="5"/>
        <v>2.4980018054066022E-16</v>
      </c>
      <c r="Q23" s="22"/>
    </row>
    <row r="24" spans="1:17" ht="15" customHeight="1" x14ac:dyDescent="0.25">
      <c r="A24" s="22" t="s">
        <v>196</v>
      </c>
      <c r="B24" s="22">
        <v>6</v>
      </c>
      <c r="C24" s="22" t="s">
        <v>467</v>
      </c>
      <c r="D24" s="22">
        <v>-135</v>
      </c>
      <c r="E24" s="22" t="s">
        <v>180</v>
      </c>
      <c r="F24" s="22" t="s">
        <v>183</v>
      </c>
      <c r="G24" s="23">
        <v>38100</v>
      </c>
      <c r="H24" s="22">
        <v>38</v>
      </c>
      <c r="I24" s="22">
        <v>4</v>
      </c>
      <c r="J24" s="22">
        <f t="shared" si="0"/>
        <v>136</v>
      </c>
      <c r="K24" s="22">
        <f t="shared" si="1"/>
        <v>10</v>
      </c>
      <c r="L24" s="22">
        <f t="shared" si="2"/>
        <v>126</v>
      </c>
      <c r="M24" s="22">
        <f t="shared" si="3"/>
        <v>374</v>
      </c>
      <c r="N24" s="24">
        <f t="shared" si="4"/>
        <v>0.33689839572192515</v>
      </c>
      <c r="O24" s="24">
        <v>0.33689839572192498</v>
      </c>
      <c r="P24" s="24">
        <f t="shared" si="5"/>
        <v>1.6653345369377348E-16</v>
      </c>
      <c r="Q24" s="22"/>
    </row>
    <row r="25" spans="1:17" ht="15" customHeight="1" x14ac:dyDescent="0.25">
      <c r="A25" s="22" t="s">
        <v>196</v>
      </c>
      <c r="B25" s="22">
        <v>7</v>
      </c>
      <c r="C25" s="22" t="s">
        <v>212</v>
      </c>
      <c r="D25" s="22">
        <v>-120</v>
      </c>
      <c r="E25" s="22" t="s">
        <v>180</v>
      </c>
      <c r="F25" s="22" t="s">
        <v>183</v>
      </c>
      <c r="G25" s="23">
        <v>38100</v>
      </c>
      <c r="H25" s="22">
        <v>24</v>
      </c>
      <c r="I25" s="22">
        <v>16</v>
      </c>
      <c r="J25" s="22">
        <f t="shared" si="0"/>
        <v>160</v>
      </c>
      <c r="K25" s="22">
        <f t="shared" si="1"/>
        <v>26</v>
      </c>
      <c r="L25" s="22">
        <f t="shared" si="2"/>
        <v>134</v>
      </c>
      <c r="M25" s="22">
        <f t="shared" si="3"/>
        <v>374</v>
      </c>
      <c r="N25" s="24">
        <f t="shared" si="4"/>
        <v>0.35828877005347592</v>
      </c>
      <c r="O25" s="24">
        <v>0.35828877005347598</v>
      </c>
      <c r="P25" s="24">
        <f t="shared" si="5"/>
        <v>-5.5511151231257827E-17</v>
      </c>
      <c r="Q25" s="22"/>
    </row>
    <row r="26" spans="1:17" ht="15" customHeight="1" x14ac:dyDescent="0.25">
      <c r="A26" s="22" t="s">
        <v>196</v>
      </c>
      <c r="B26" s="22">
        <v>8</v>
      </c>
      <c r="C26" s="22" t="s">
        <v>226</v>
      </c>
      <c r="D26" s="22">
        <v>-105</v>
      </c>
      <c r="E26" s="22" t="s">
        <v>180</v>
      </c>
      <c r="F26" s="22" t="s">
        <v>183</v>
      </c>
      <c r="G26" s="23">
        <v>38100</v>
      </c>
      <c r="H26" s="22">
        <v>51</v>
      </c>
      <c r="I26" s="22">
        <v>18</v>
      </c>
      <c r="J26" s="22">
        <f t="shared" si="0"/>
        <v>211</v>
      </c>
      <c r="K26" s="22">
        <f t="shared" si="1"/>
        <v>44</v>
      </c>
      <c r="L26" s="22">
        <f t="shared" si="2"/>
        <v>167</v>
      </c>
      <c r="M26" s="22">
        <f t="shared" si="3"/>
        <v>374</v>
      </c>
      <c r="N26" s="24">
        <f t="shared" si="4"/>
        <v>0.446524064171123</v>
      </c>
      <c r="O26" s="24">
        <v>0.446524064171123</v>
      </c>
      <c r="P26" s="24">
        <f t="shared" si="5"/>
        <v>0</v>
      </c>
      <c r="Q26" s="22"/>
    </row>
    <row r="27" spans="1:17" ht="15" customHeight="1" x14ac:dyDescent="0.25">
      <c r="A27" s="22" t="s">
        <v>196</v>
      </c>
      <c r="B27" s="22">
        <v>9</v>
      </c>
      <c r="C27" s="22" t="s">
        <v>264</v>
      </c>
      <c r="D27" s="22">
        <v>-90</v>
      </c>
      <c r="E27" s="22" t="s">
        <v>180</v>
      </c>
      <c r="F27" s="22" t="s">
        <v>183</v>
      </c>
      <c r="G27" s="23">
        <v>38100</v>
      </c>
      <c r="H27" s="22">
        <v>49</v>
      </c>
      <c r="I27" s="22">
        <v>20</v>
      </c>
      <c r="J27" s="22">
        <f t="shared" si="0"/>
        <v>260</v>
      </c>
      <c r="K27" s="22">
        <f t="shared" si="1"/>
        <v>64</v>
      </c>
      <c r="L27" s="22">
        <f t="shared" si="2"/>
        <v>196</v>
      </c>
      <c r="M27" s="22">
        <f t="shared" si="3"/>
        <v>374</v>
      </c>
      <c r="N27" s="24">
        <f t="shared" si="4"/>
        <v>0.52406417112299464</v>
      </c>
      <c r="O27" s="24">
        <v>0.52406417112299497</v>
      </c>
      <c r="P27" s="24">
        <f t="shared" si="5"/>
        <v>-3.3306690738754696E-16</v>
      </c>
      <c r="Q27" s="22"/>
    </row>
    <row r="28" spans="1:17" ht="15" customHeight="1" x14ac:dyDescent="0.25">
      <c r="A28" s="22" t="s">
        <v>196</v>
      </c>
      <c r="B28" s="22">
        <v>10</v>
      </c>
      <c r="C28" s="22" t="s">
        <v>191</v>
      </c>
      <c r="D28" s="22">
        <v>-75</v>
      </c>
      <c r="E28" s="22" t="s">
        <v>180</v>
      </c>
      <c r="F28" s="22" t="s">
        <v>183</v>
      </c>
      <c r="G28" s="23">
        <v>38100</v>
      </c>
      <c r="H28" s="22">
        <v>36</v>
      </c>
      <c r="I28" s="22">
        <v>28</v>
      </c>
      <c r="J28" s="22">
        <f t="shared" si="0"/>
        <v>296</v>
      </c>
      <c r="K28" s="22">
        <f t="shared" si="1"/>
        <v>92</v>
      </c>
      <c r="L28" s="22">
        <f t="shared" si="2"/>
        <v>204</v>
      </c>
      <c r="M28" s="22">
        <f t="shared" si="3"/>
        <v>374</v>
      </c>
      <c r="N28" s="24">
        <f t="shared" si="4"/>
        <v>0.54545454545454541</v>
      </c>
      <c r="O28" s="24">
        <v>0.54545454545454497</v>
      </c>
      <c r="P28" s="24">
        <f t="shared" si="5"/>
        <v>4.4408920985006262E-16</v>
      </c>
      <c r="Q28" s="22"/>
    </row>
    <row r="29" spans="1:17" ht="15" customHeight="1" x14ac:dyDescent="0.25">
      <c r="A29" s="22" t="s">
        <v>196</v>
      </c>
      <c r="B29" s="22">
        <v>11</v>
      </c>
      <c r="C29" s="22" t="s">
        <v>231</v>
      </c>
      <c r="D29" s="22">
        <v>-60</v>
      </c>
      <c r="E29" s="22" t="s">
        <v>180</v>
      </c>
      <c r="F29" s="22" t="s">
        <v>183</v>
      </c>
      <c r="G29" s="23">
        <v>38100</v>
      </c>
      <c r="H29" s="22">
        <v>21</v>
      </c>
      <c r="I29" s="22">
        <v>30</v>
      </c>
      <c r="J29" s="22">
        <f t="shared" si="0"/>
        <v>317</v>
      </c>
      <c r="K29" s="22">
        <f t="shared" si="1"/>
        <v>122</v>
      </c>
      <c r="L29" s="22">
        <f t="shared" si="2"/>
        <v>195</v>
      </c>
      <c r="M29" s="22">
        <f t="shared" si="3"/>
        <v>374</v>
      </c>
      <c r="N29" s="24">
        <f t="shared" si="4"/>
        <v>0.52139037433155078</v>
      </c>
      <c r="O29" s="24">
        <v>0.521390374331551</v>
      </c>
      <c r="P29" s="24">
        <f t="shared" si="5"/>
        <v>-2.2204460492503131E-16</v>
      </c>
      <c r="Q29" s="22"/>
    </row>
    <row r="30" spans="1:17" ht="15" customHeight="1" x14ac:dyDescent="0.25">
      <c r="A30" s="22" t="s">
        <v>196</v>
      </c>
      <c r="B30" s="22">
        <v>12</v>
      </c>
      <c r="C30" s="22" t="s">
        <v>239</v>
      </c>
      <c r="D30" s="22">
        <v>-45</v>
      </c>
      <c r="E30" s="22" t="s">
        <v>180</v>
      </c>
      <c r="F30" s="22" t="s">
        <v>183</v>
      </c>
      <c r="G30" s="23">
        <v>38100</v>
      </c>
      <c r="H30" s="22">
        <v>20</v>
      </c>
      <c r="I30" s="22">
        <v>40</v>
      </c>
      <c r="J30" s="22">
        <f t="shared" si="0"/>
        <v>337</v>
      </c>
      <c r="K30" s="22">
        <f t="shared" si="1"/>
        <v>162</v>
      </c>
      <c r="L30" s="22">
        <f t="shared" si="2"/>
        <v>175</v>
      </c>
      <c r="M30" s="22">
        <f t="shared" si="3"/>
        <v>374</v>
      </c>
      <c r="N30" s="24">
        <f t="shared" si="4"/>
        <v>0.46791443850267378</v>
      </c>
      <c r="O30" s="24">
        <v>0.467914438502674</v>
      </c>
      <c r="P30" s="24">
        <f t="shared" si="5"/>
        <v>-2.2204460492503131E-16</v>
      </c>
      <c r="Q30" s="22"/>
    </row>
    <row r="31" spans="1:17" ht="15" customHeight="1" x14ac:dyDescent="0.25">
      <c r="A31" s="22" t="s">
        <v>196</v>
      </c>
      <c r="B31" s="22">
        <v>13</v>
      </c>
      <c r="C31" s="22" t="s">
        <v>387</v>
      </c>
      <c r="D31" s="22">
        <v>-30</v>
      </c>
      <c r="E31" s="22" t="s">
        <v>180</v>
      </c>
      <c r="F31" s="22" t="s">
        <v>183</v>
      </c>
      <c r="G31" s="23">
        <v>38100</v>
      </c>
      <c r="H31" s="22">
        <v>11</v>
      </c>
      <c r="I31" s="22">
        <v>61</v>
      </c>
      <c r="J31" s="22">
        <f t="shared" si="0"/>
        <v>348</v>
      </c>
      <c r="K31" s="22">
        <f t="shared" si="1"/>
        <v>223</v>
      </c>
      <c r="L31" s="22">
        <f t="shared" si="2"/>
        <v>125</v>
      </c>
      <c r="M31" s="22">
        <f t="shared" si="3"/>
        <v>374</v>
      </c>
      <c r="N31" s="24">
        <f t="shared" si="4"/>
        <v>0.33422459893048129</v>
      </c>
      <c r="O31" s="24">
        <v>0.33422459893048101</v>
      </c>
      <c r="P31" s="24">
        <f t="shared" si="5"/>
        <v>2.7755575615628914E-16</v>
      </c>
      <c r="Q31" s="22"/>
    </row>
    <row r="32" spans="1:17" ht="15" customHeight="1" x14ac:dyDescent="0.25">
      <c r="A32" s="22" t="s">
        <v>196</v>
      </c>
      <c r="B32" s="22">
        <v>14</v>
      </c>
      <c r="C32" s="22" t="s">
        <v>468</v>
      </c>
      <c r="D32" s="22">
        <v>-15</v>
      </c>
      <c r="E32" s="22" t="s">
        <v>180</v>
      </c>
      <c r="F32" s="22" t="s">
        <v>183</v>
      </c>
      <c r="G32" s="23">
        <v>38100</v>
      </c>
      <c r="H32" s="22">
        <v>8</v>
      </c>
      <c r="I32" s="22">
        <v>34</v>
      </c>
      <c r="J32" s="22">
        <f t="shared" si="0"/>
        <v>356</v>
      </c>
      <c r="K32" s="22">
        <f t="shared" si="1"/>
        <v>257</v>
      </c>
      <c r="L32" s="22">
        <f t="shared" si="2"/>
        <v>99</v>
      </c>
      <c r="M32" s="22">
        <f t="shared" si="3"/>
        <v>374</v>
      </c>
      <c r="N32" s="24">
        <f t="shared" si="4"/>
        <v>0.26470588235294118</v>
      </c>
      <c r="O32" s="24">
        <v>0.26470588235294101</v>
      </c>
      <c r="P32" s="24">
        <f t="shared" si="5"/>
        <v>1.6653345369377348E-16</v>
      </c>
      <c r="Q32" s="22"/>
    </row>
    <row r="33" spans="1:17" ht="15" customHeight="1" x14ac:dyDescent="0.25">
      <c r="A33" s="22" t="s">
        <v>196</v>
      </c>
      <c r="B33" s="22">
        <v>15</v>
      </c>
      <c r="C33" s="22" t="s">
        <v>469</v>
      </c>
      <c r="D33" s="22">
        <v>0</v>
      </c>
      <c r="E33" s="22" t="s">
        <v>180</v>
      </c>
      <c r="F33" s="22" t="s">
        <v>183</v>
      </c>
      <c r="G33" s="23">
        <v>38100</v>
      </c>
      <c r="H33" s="22">
        <v>8</v>
      </c>
      <c r="I33" s="22">
        <v>29</v>
      </c>
      <c r="J33" s="22">
        <f t="shared" si="0"/>
        <v>364</v>
      </c>
      <c r="K33" s="22">
        <f t="shared" si="1"/>
        <v>286</v>
      </c>
      <c r="L33" s="22">
        <f t="shared" si="2"/>
        <v>78</v>
      </c>
      <c r="M33" s="22">
        <f t="shared" si="3"/>
        <v>374</v>
      </c>
      <c r="N33" s="24">
        <f t="shared" si="4"/>
        <v>0.20855614973262032</v>
      </c>
      <c r="O33" s="24">
        <v>0.20855614973261999</v>
      </c>
      <c r="P33" s="24">
        <f t="shared" si="5"/>
        <v>3.3306690738754696E-16</v>
      </c>
      <c r="Q33" s="22"/>
    </row>
    <row r="34" spans="1:17" ht="15" customHeight="1" x14ac:dyDescent="0.25">
      <c r="A34" s="22" t="s">
        <v>196</v>
      </c>
      <c r="B34" s="22">
        <v>16</v>
      </c>
      <c r="C34" s="22" t="s">
        <v>351</v>
      </c>
      <c r="D34" s="22">
        <v>15</v>
      </c>
      <c r="E34" s="22" t="s">
        <v>180</v>
      </c>
      <c r="F34" s="22" t="s">
        <v>183</v>
      </c>
      <c r="G34" s="23">
        <v>38100</v>
      </c>
      <c r="H34" s="22">
        <v>7</v>
      </c>
      <c r="I34" s="22">
        <v>23</v>
      </c>
      <c r="J34" s="22">
        <f t="shared" si="0"/>
        <v>371</v>
      </c>
      <c r="K34" s="22">
        <f t="shared" si="1"/>
        <v>309</v>
      </c>
      <c r="L34" s="22">
        <f t="shared" si="2"/>
        <v>62</v>
      </c>
      <c r="M34" s="22">
        <f t="shared" si="3"/>
        <v>374</v>
      </c>
      <c r="N34" s="24">
        <f t="shared" si="4"/>
        <v>0.16577540106951871</v>
      </c>
      <c r="O34" s="24">
        <v>0.16577540106951899</v>
      </c>
      <c r="P34" s="24">
        <f t="shared" si="5"/>
        <v>-2.7755575615628914E-16</v>
      </c>
      <c r="Q34" s="22"/>
    </row>
    <row r="35" spans="1:17" ht="15" customHeight="1" x14ac:dyDescent="0.25">
      <c r="A35" s="22" t="s">
        <v>196</v>
      </c>
      <c r="B35" s="22">
        <v>17</v>
      </c>
      <c r="C35" s="22" t="s">
        <v>311</v>
      </c>
      <c r="D35" s="22">
        <v>30</v>
      </c>
      <c r="E35" s="22" t="s">
        <v>180</v>
      </c>
      <c r="F35" s="22" t="s">
        <v>183</v>
      </c>
      <c r="G35" s="23">
        <v>38100</v>
      </c>
      <c r="H35" s="22">
        <v>1</v>
      </c>
      <c r="I35" s="22">
        <v>22</v>
      </c>
      <c r="J35" s="22">
        <f t="shared" si="0"/>
        <v>372</v>
      </c>
      <c r="K35" s="22">
        <f t="shared" si="1"/>
        <v>331</v>
      </c>
      <c r="L35" s="22">
        <f t="shared" si="2"/>
        <v>41</v>
      </c>
      <c r="M35" s="22">
        <f t="shared" si="3"/>
        <v>374</v>
      </c>
      <c r="N35" s="24">
        <f t="shared" si="4"/>
        <v>0.10962566844919786</v>
      </c>
      <c r="O35" s="24">
        <v>0.10962566844919799</v>
      </c>
      <c r="P35" s="24">
        <f t="shared" si="5"/>
        <v>-1.3877787807814457E-16</v>
      </c>
      <c r="Q35" s="22"/>
    </row>
    <row r="36" spans="1:17" ht="15" customHeight="1" x14ac:dyDescent="0.25">
      <c r="A36" s="22" t="s">
        <v>196</v>
      </c>
      <c r="B36" s="22">
        <v>18</v>
      </c>
      <c r="C36" s="22" t="s">
        <v>211</v>
      </c>
      <c r="D36" s="22">
        <v>45</v>
      </c>
      <c r="E36" s="22" t="s">
        <v>180</v>
      </c>
      <c r="F36" s="22" t="s">
        <v>183</v>
      </c>
      <c r="G36" s="23">
        <v>38100</v>
      </c>
      <c r="H36" s="22">
        <v>0</v>
      </c>
      <c r="I36" s="22">
        <v>21</v>
      </c>
      <c r="J36" s="22">
        <f t="shared" si="0"/>
        <v>372</v>
      </c>
      <c r="K36" s="22">
        <f t="shared" si="1"/>
        <v>352</v>
      </c>
      <c r="L36" s="22">
        <f t="shared" si="2"/>
        <v>20</v>
      </c>
      <c r="M36" s="22">
        <f t="shared" si="3"/>
        <v>374</v>
      </c>
      <c r="N36" s="24">
        <f t="shared" si="4"/>
        <v>5.3475935828877004E-2</v>
      </c>
      <c r="O36" s="24">
        <v>5.3475935828876997E-2</v>
      </c>
      <c r="P36" s="24">
        <f t="shared" si="5"/>
        <v>6.9388939039072284E-18</v>
      </c>
      <c r="Q36" s="22"/>
    </row>
    <row r="37" spans="1:17" ht="15" customHeight="1" x14ac:dyDescent="0.25">
      <c r="A37" s="22" t="s">
        <v>196</v>
      </c>
      <c r="B37" s="22">
        <v>19</v>
      </c>
      <c r="C37" s="22" t="s">
        <v>190</v>
      </c>
      <c r="D37" s="22">
        <v>60</v>
      </c>
      <c r="E37" s="22" t="s">
        <v>180</v>
      </c>
      <c r="F37" s="22" t="s">
        <v>183</v>
      </c>
      <c r="G37" s="23">
        <v>38100</v>
      </c>
      <c r="H37" s="22">
        <v>2</v>
      </c>
      <c r="I37" s="22">
        <v>16</v>
      </c>
      <c r="J37" s="22">
        <f t="shared" si="0"/>
        <v>374</v>
      </c>
      <c r="K37" s="22">
        <f t="shared" si="1"/>
        <v>368</v>
      </c>
      <c r="L37" s="22">
        <f t="shared" si="2"/>
        <v>6</v>
      </c>
      <c r="M37" s="22">
        <f t="shared" si="3"/>
        <v>374</v>
      </c>
      <c r="N37" s="24">
        <f t="shared" si="4"/>
        <v>1.6042780748663103E-2</v>
      </c>
      <c r="O37" s="24">
        <v>1.60427807486631E-2</v>
      </c>
      <c r="P37" s="24">
        <f t="shared" si="5"/>
        <v>3.4694469519536142E-18</v>
      </c>
      <c r="Q37" s="22"/>
    </row>
    <row r="38" spans="1:17" ht="15" customHeight="1" x14ac:dyDescent="0.25">
      <c r="A38" s="22" t="s">
        <v>203</v>
      </c>
      <c r="B38" s="22">
        <v>0</v>
      </c>
      <c r="C38" s="22" t="s">
        <v>189</v>
      </c>
      <c r="D38" s="22"/>
      <c r="E38" s="22" t="s">
        <v>180</v>
      </c>
      <c r="F38" s="22" t="s">
        <v>205</v>
      </c>
      <c r="G38" s="23">
        <v>39765</v>
      </c>
      <c r="H38" s="22">
        <v>16</v>
      </c>
      <c r="I38" s="22">
        <v>0</v>
      </c>
      <c r="J38" s="22">
        <f t="shared" si="0"/>
        <v>16</v>
      </c>
      <c r="K38" s="22">
        <f t="shared" si="1"/>
        <v>0</v>
      </c>
      <c r="L38" s="22">
        <f t="shared" si="2"/>
        <v>16</v>
      </c>
      <c r="M38" s="22">
        <f t="shared" si="3"/>
        <v>231</v>
      </c>
      <c r="N38" s="24">
        <f t="shared" si="4"/>
        <v>6.9264069264069264E-2</v>
      </c>
      <c r="O38" s="24"/>
      <c r="P38" s="24" t="str">
        <f t="shared" si="5"/>
        <v/>
      </c>
      <c r="Q38" s="25" t="s">
        <v>470</v>
      </c>
    </row>
    <row r="39" spans="1:17" ht="15" customHeight="1" x14ac:dyDescent="0.25">
      <c r="A39" s="22" t="s">
        <v>203</v>
      </c>
      <c r="B39" s="22">
        <v>3</v>
      </c>
      <c r="C39" s="22" t="s">
        <v>464</v>
      </c>
      <c r="D39" s="22">
        <v>-180</v>
      </c>
      <c r="E39" s="22" t="s">
        <v>180</v>
      </c>
      <c r="F39" s="22" t="s">
        <v>205</v>
      </c>
      <c r="G39" s="23">
        <v>39765</v>
      </c>
      <c r="H39" s="22">
        <v>7</v>
      </c>
      <c r="I39" s="22">
        <v>3</v>
      </c>
      <c r="J39" s="22">
        <f t="shared" si="0"/>
        <v>23</v>
      </c>
      <c r="K39" s="22">
        <f t="shared" si="1"/>
        <v>3</v>
      </c>
      <c r="L39" s="22">
        <f t="shared" si="2"/>
        <v>20</v>
      </c>
      <c r="M39" s="22">
        <f t="shared" si="3"/>
        <v>231</v>
      </c>
      <c r="N39" s="24">
        <f t="shared" si="4"/>
        <v>8.6580086580086577E-2</v>
      </c>
      <c r="O39" s="24"/>
      <c r="P39" s="24" t="str">
        <f t="shared" si="5"/>
        <v/>
      </c>
      <c r="Q39" s="22"/>
    </row>
    <row r="40" spans="1:17" ht="15" customHeight="1" x14ac:dyDescent="0.25">
      <c r="A40" s="22" t="s">
        <v>203</v>
      </c>
      <c r="B40" s="22">
        <v>4</v>
      </c>
      <c r="C40" s="22" t="s">
        <v>465</v>
      </c>
      <c r="D40" s="22">
        <v>-165</v>
      </c>
      <c r="E40" s="22" t="s">
        <v>180</v>
      </c>
      <c r="F40" s="22" t="s">
        <v>205</v>
      </c>
      <c r="G40" s="23">
        <v>39765</v>
      </c>
      <c r="H40" s="22">
        <v>16</v>
      </c>
      <c r="I40" s="22">
        <v>2</v>
      </c>
      <c r="J40" s="22">
        <f t="shared" si="0"/>
        <v>39</v>
      </c>
      <c r="K40" s="22">
        <f t="shared" si="1"/>
        <v>5</v>
      </c>
      <c r="L40" s="22">
        <f t="shared" si="2"/>
        <v>34</v>
      </c>
      <c r="M40" s="22">
        <f t="shared" si="3"/>
        <v>231</v>
      </c>
      <c r="N40" s="24">
        <f t="shared" si="4"/>
        <v>0.1471861471861472</v>
      </c>
      <c r="O40" s="24"/>
      <c r="P40" s="24" t="str">
        <f t="shared" si="5"/>
        <v/>
      </c>
      <c r="Q40" s="22"/>
    </row>
    <row r="41" spans="1:17" ht="15" customHeight="1" x14ac:dyDescent="0.25">
      <c r="A41" s="22" t="s">
        <v>203</v>
      </c>
      <c r="B41" s="22">
        <v>5</v>
      </c>
      <c r="C41" s="22" t="s">
        <v>466</v>
      </c>
      <c r="D41" s="22">
        <v>-150</v>
      </c>
      <c r="E41" s="22" t="s">
        <v>180</v>
      </c>
      <c r="F41" s="22" t="s">
        <v>205</v>
      </c>
      <c r="G41" s="23">
        <v>39765</v>
      </c>
      <c r="H41" s="22">
        <v>25</v>
      </c>
      <c r="I41" s="22">
        <v>0</v>
      </c>
      <c r="J41" s="22">
        <f t="shared" si="0"/>
        <v>64</v>
      </c>
      <c r="K41" s="22">
        <f t="shared" si="1"/>
        <v>5</v>
      </c>
      <c r="L41" s="22">
        <f t="shared" si="2"/>
        <v>59</v>
      </c>
      <c r="M41" s="22">
        <f t="shared" si="3"/>
        <v>231</v>
      </c>
      <c r="N41" s="24">
        <f t="shared" si="4"/>
        <v>0.25541125541125542</v>
      </c>
      <c r="O41" s="24"/>
      <c r="P41" s="24" t="str">
        <f t="shared" si="5"/>
        <v/>
      </c>
      <c r="Q41" s="22"/>
    </row>
    <row r="42" spans="1:17" ht="15" customHeight="1" x14ac:dyDescent="0.25">
      <c r="A42" s="22" t="s">
        <v>203</v>
      </c>
      <c r="B42" s="22">
        <v>6</v>
      </c>
      <c r="C42" s="22" t="s">
        <v>467</v>
      </c>
      <c r="D42" s="22">
        <v>-135</v>
      </c>
      <c r="E42" s="22" t="s">
        <v>180</v>
      </c>
      <c r="F42" s="22" t="s">
        <v>205</v>
      </c>
      <c r="G42" s="23">
        <v>39765</v>
      </c>
      <c r="H42" s="22">
        <v>23</v>
      </c>
      <c r="I42" s="22">
        <v>7</v>
      </c>
      <c r="J42" s="22">
        <f t="shared" si="0"/>
        <v>87</v>
      </c>
      <c r="K42" s="22">
        <f t="shared" si="1"/>
        <v>12</v>
      </c>
      <c r="L42" s="22">
        <f t="shared" si="2"/>
        <v>75</v>
      </c>
      <c r="M42" s="22">
        <f t="shared" si="3"/>
        <v>231</v>
      </c>
      <c r="N42" s="24">
        <f t="shared" si="4"/>
        <v>0.32467532467532467</v>
      </c>
      <c r="O42" s="24"/>
      <c r="P42" s="24" t="str">
        <f t="shared" si="5"/>
        <v/>
      </c>
      <c r="Q42" s="22"/>
    </row>
    <row r="43" spans="1:17" ht="15" customHeight="1" x14ac:dyDescent="0.25">
      <c r="A43" s="22" t="s">
        <v>203</v>
      </c>
      <c r="B43" s="22">
        <v>7</v>
      </c>
      <c r="C43" s="22" t="s">
        <v>212</v>
      </c>
      <c r="D43" s="22">
        <v>-120</v>
      </c>
      <c r="E43" s="22" t="s">
        <v>180</v>
      </c>
      <c r="F43" s="22" t="s">
        <v>205</v>
      </c>
      <c r="G43" s="23">
        <v>39765</v>
      </c>
      <c r="H43" s="22">
        <v>15</v>
      </c>
      <c r="I43" s="22">
        <v>9</v>
      </c>
      <c r="J43" s="22">
        <f t="shared" si="0"/>
        <v>102</v>
      </c>
      <c r="K43" s="22">
        <f t="shared" si="1"/>
        <v>21</v>
      </c>
      <c r="L43" s="22">
        <f t="shared" si="2"/>
        <v>81</v>
      </c>
      <c r="M43" s="22">
        <f t="shared" si="3"/>
        <v>231</v>
      </c>
      <c r="N43" s="24">
        <f t="shared" si="4"/>
        <v>0.35064935064935066</v>
      </c>
      <c r="O43" s="24"/>
      <c r="P43" s="24" t="str">
        <f t="shared" si="5"/>
        <v/>
      </c>
      <c r="Q43" s="22"/>
    </row>
    <row r="44" spans="1:17" ht="15" customHeight="1" x14ac:dyDescent="0.25">
      <c r="A44" s="22" t="s">
        <v>203</v>
      </c>
      <c r="B44" s="22">
        <v>8</v>
      </c>
      <c r="C44" s="22" t="s">
        <v>226</v>
      </c>
      <c r="D44" s="22">
        <v>-105</v>
      </c>
      <c r="E44" s="22" t="s">
        <v>180</v>
      </c>
      <c r="F44" s="22" t="s">
        <v>205</v>
      </c>
      <c r="G44" s="23">
        <v>39765</v>
      </c>
      <c r="H44" s="22">
        <v>22</v>
      </c>
      <c r="I44" s="22">
        <v>25</v>
      </c>
      <c r="J44" s="22">
        <f t="shared" si="0"/>
        <v>124</v>
      </c>
      <c r="K44" s="22">
        <f t="shared" si="1"/>
        <v>46</v>
      </c>
      <c r="L44" s="22">
        <f t="shared" si="2"/>
        <v>78</v>
      </c>
      <c r="M44" s="22">
        <f t="shared" si="3"/>
        <v>231</v>
      </c>
      <c r="N44" s="24">
        <f t="shared" si="4"/>
        <v>0.33766233766233766</v>
      </c>
      <c r="O44" s="24"/>
      <c r="P44" s="24" t="str">
        <f t="shared" si="5"/>
        <v/>
      </c>
      <c r="Q44" s="22"/>
    </row>
    <row r="45" spans="1:17" ht="15" customHeight="1" x14ac:dyDescent="0.25">
      <c r="A45" s="22" t="s">
        <v>203</v>
      </c>
      <c r="B45" s="22">
        <v>9</v>
      </c>
      <c r="C45" s="22" t="s">
        <v>264</v>
      </c>
      <c r="D45" s="22">
        <v>-90</v>
      </c>
      <c r="E45" s="22" t="s">
        <v>180</v>
      </c>
      <c r="F45" s="22" t="s">
        <v>205</v>
      </c>
      <c r="G45" s="23">
        <v>39765</v>
      </c>
      <c r="H45" s="22">
        <v>28</v>
      </c>
      <c r="I45" s="22">
        <v>25</v>
      </c>
      <c r="J45" s="22">
        <f t="shared" si="0"/>
        <v>152</v>
      </c>
      <c r="K45" s="22">
        <f t="shared" si="1"/>
        <v>71</v>
      </c>
      <c r="L45" s="22">
        <f t="shared" si="2"/>
        <v>81</v>
      </c>
      <c r="M45" s="22">
        <f t="shared" si="3"/>
        <v>231</v>
      </c>
      <c r="N45" s="24">
        <f t="shared" si="4"/>
        <v>0.35064935064935066</v>
      </c>
      <c r="O45" s="24"/>
      <c r="P45" s="24" t="str">
        <f t="shared" si="5"/>
        <v/>
      </c>
      <c r="Q45" s="22"/>
    </row>
    <row r="46" spans="1:17" ht="15" customHeight="1" x14ac:dyDescent="0.25">
      <c r="A46" s="22" t="s">
        <v>203</v>
      </c>
      <c r="B46" s="22">
        <v>10</v>
      </c>
      <c r="C46" s="22" t="s">
        <v>191</v>
      </c>
      <c r="D46" s="22">
        <v>-75</v>
      </c>
      <c r="E46" s="22" t="s">
        <v>180</v>
      </c>
      <c r="F46" s="22" t="s">
        <v>205</v>
      </c>
      <c r="G46" s="23">
        <v>39765</v>
      </c>
      <c r="H46" s="22">
        <v>26</v>
      </c>
      <c r="I46" s="22">
        <v>26</v>
      </c>
      <c r="J46" s="22">
        <f t="shared" si="0"/>
        <v>178</v>
      </c>
      <c r="K46" s="22">
        <f t="shared" si="1"/>
        <v>97</v>
      </c>
      <c r="L46" s="22">
        <f t="shared" si="2"/>
        <v>81</v>
      </c>
      <c r="M46" s="22">
        <f t="shared" si="3"/>
        <v>231</v>
      </c>
      <c r="N46" s="24">
        <f t="shared" si="4"/>
        <v>0.35064935064935066</v>
      </c>
      <c r="O46" s="24"/>
      <c r="P46" s="24" t="str">
        <f t="shared" si="5"/>
        <v/>
      </c>
      <c r="Q46" s="22"/>
    </row>
    <row r="47" spans="1:17" ht="15" customHeight="1" x14ac:dyDescent="0.25">
      <c r="A47" s="22" t="s">
        <v>203</v>
      </c>
      <c r="B47" s="22">
        <v>11</v>
      </c>
      <c r="C47" s="22" t="s">
        <v>231</v>
      </c>
      <c r="D47" s="22">
        <v>-60</v>
      </c>
      <c r="E47" s="22" t="s">
        <v>180</v>
      </c>
      <c r="F47" s="22" t="s">
        <v>205</v>
      </c>
      <c r="G47" s="23">
        <v>39765</v>
      </c>
      <c r="H47" s="22">
        <v>10</v>
      </c>
      <c r="I47" s="22">
        <v>23</v>
      </c>
      <c r="J47" s="22">
        <f t="shared" si="0"/>
        <v>188</v>
      </c>
      <c r="K47" s="22">
        <f t="shared" si="1"/>
        <v>120</v>
      </c>
      <c r="L47" s="22">
        <f t="shared" si="2"/>
        <v>68</v>
      </c>
      <c r="M47" s="22">
        <f t="shared" si="3"/>
        <v>231</v>
      </c>
      <c r="N47" s="24">
        <f t="shared" si="4"/>
        <v>0.2943722943722944</v>
      </c>
      <c r="O47" s="24"/>
      <c r="P47" s="24" t="str">
        <f t="shared" si="5"/>
        <v/>
      </c>
      <c r="Q47" s="22"/>
    </row>
    <row r="48" spans="1:17" ht="15" customHeight="1" x14ac:dyDescent="0.25">
      <c r="A48" s="22" t="s">
        <v>203</v>
      </c>
      <c r="B48" s="22">
        <v>12</v>
      </c>
      <c r="C48" s="22" t="s">
        <v>239</v>
      </c>
      <c r="D48" s="22">
        <v>-45</v>
      </c>
      <c r="E48" s="22" t="s">
        <v>180</v>
      </c>
      <c r="F48" s="22" t="s">
        <v>205</v>
      </c>
      <c r="G48" s="23">
        <v>39765</v>
      </c>
      <c r="H48" s="22">
        <v>13</v>
      </c>
      <c r="I48" s="22">
        <v>19</v>
      </c>
      <c r="J48" s="22">
        <f t="shared" si="0"/>
        <v>201</v>
      </c>
      <c r="K48" s="22">
        <f t="shared" si="1"/>
        <v>139</v>
      </c>
      <c r="L48" s="22">
        <f t="shared" si="2"/>
        <v>62</v>
      </c>
      <c r="M48" s="22">
        <f t="shared" si="3"/>
        <v>231</v>
      </c>
      <c r="N48" s="24">
        <f t="shared" si="4"/>
        <v>0.26839826839826841</v>
      </c>
      <c r="O48" s="24"/>
      <c r="P48" s="24" t="str">
        <f t="shared" si="5"/>
        <v/>
      </c>
      <c r="Q48" s="22"/>
    </row>
    <row r="49" spans="1:17" ht="15" customHeight="1" x14ac:dyDescent="0.25">
      <c r="A49" s="22" t="s">
        <v>203</v>
      </c>
      <c r="B49" s="22">
        <v>13</v>
      </c>
      <c r="C49" s="22" t="s">
        <v>387</v>
      </c>
      <c r="D49" s="22">
        <v>-30</v>
      </c>
      <c r="E49" s="22" t="s">
        <v>180</v>
      </c>
      <c r="F49" s="22" t="s">
        <v>205</v>
      </c>
      <c r="G49" s="23">
        <v>39765</v>
      </c>
      <c r="H49" s="22">
        <v>7</v>
      </c>
      <c r="I49" s="22">
        <v>16</v>
      </c>
      <c r="J49" s="22">
        <f t="shared" si="0"/>
        <v>208</v>
      </c>
      <c r="K49" s="22">
        <f t="shared" si="1"/>
        <v>155</v>
      </c>
      <c r="L49" s="22">
        <f t="shared" si="2"/>
        <v>53</v>
      </c>
      <c r="M49" s="22">
        <f t="shared" si="3"/>
        <v>231</v>
      </c>
      <c r="N49" s="24">
        <f t="shared" si="4"/>
        <v>0.22943722943722944</v>
      </c>
      <c r="O49" s="24"/>
      <c r="P49" s="24" t="str">
        <f t="shared" si="5"/>
        <v/>
      </c>
      <c r="Q49" s="22"/>
    </row>
    <row r="50" spans="1:17" ht="15" customHeight="1" x14ac:dyDescent="0.25">
      <c r="A50" s="22" t="s">
        <v>203</v>
      </c>
      <c r="B50" s="22">
        <v>14</v>
      </c>
      <c r="C50" s="22" t="s">
        <v>468</v>
      </c>
      <c r="D50" s="22">
        <v>-15</v>
      </c>
      <c r="E50" s="22" t="s">
        <v>180</v>
      </c>
      <c r="F50" s="22" t="s">
        <v>205</v>
      </c>
      <c r="G50" s="23">
        <v>39765</v>
      </c>
      <c r="H50" s="22">
        <v>14</v>
      </c>
      <c r="I50" s="22">
        <v>24</v>
      </c>
      <c r="J50" s="22">
        <f t="shared" si="0"/>
        <v>222</v>
      </c>
      <c r="K50" s="22">
        <f t="shared" si="1"/>
        <v>179</v>
      </c>
      <c r="L50" s="22">
        <f t="shared" si="2"/>
        <v>43</v>
      </c>
      <c r="M50" s="22">
        <f t="shared" si="3"/>
        <v>231</v>
      </c>
      <c r="N50" s="24">
        <f t="shared" si="4"/>
        <v>0.18614718614718614</v>
      </c>
      <c r="O50" s="24"/>
      <c r="P50" s="24" t="str">
        <f t="shared" si="5"/>
        <v/>
      </c>
      <c r="Q50" s="22"/>
    </row>
    <row r="51" spans="1:17" ht="15" customHeight="1" x14ac:dyDescent="0.25">
      <c r="A51" s="22" t="s">
        <v>203</v>
      </c>
      <c r="B51" s="22">
        <v>15</v>
      </c>
      <c r="C51" s="22" t="s">
        <v>469</v>
      </c>
      <c r="D51" s="22">
        <v>0</v>
      </c>
      <c r="E51" s="22" t="s">
        <v>180</v>
      </c>
      <c r="F51" s="22" t="s">
        <v>205</v>
      </c>
      <c r="G51" s="23">
        <v>39765</v>
      </c>
      <c r="H51" s="22">
        <v>2</v>
      </c>
      <c r="I51" s="22">
        <v>15</v>
      </c>
      <c r="J51" s="22">
        <f t="shared" si="0"/>
        <v>224</v>
      </c>
      <c r="K51" s="22">
        <f t="shared" si="1"/>
        <v>194</v>
      </c>
      <c r="L51" s="22">
        <f t="shared" si="2"/>
        <v>30</v>
      </c>
      <c r="M51" s="22">
        <f t="shared" si="3"/>
        <v>231</v>
      </c>
      <c r="N51" s="24">
        <f t="shared" si="4"/>
        <v>0.12987012987012986</v>
      </c>
      <c r="O51" s="24"/>
      <c r="P51" s="24" t="str">
        <f t="shared" si="5"/>
        <v/>
      </c>
      <c r="Q51" s="22"/>
    </row>
    <row r="52" spans="1:17" ht="15" customHeight="1" x14ac:dyDescent="0.25">
      <c r="A52" s="22" t="s">
        <v>203</v>
      </c>
      <c r="B52" s="22">
        <v>16</v>
      </c>
      <c r="C52" s="22" t="s">
        <v>351</v>
      </c>
      <c r="D52" s="22">
        <v>15</v>
      </c>
      <c r="E52" s="22" t="s">
        <v>180</v>
      </c>
      <c r="F52" s="22" t="s">
        <v>205</v>
      </c>
      <c r="G52" s="23">
        <v>39765</v>
      </c>
      <c r="H52" s="22">
        <v>4</v>
      </c>
      <c r="I52" s="22">
        <v>17</v>
      </c>
      <c r="J52" s="22">
        <f t="shared" si="0"/>
        <v>228</v>
      </c>
      <c r="K52" s="22">
        <f t="shared" si="1"/>
        <v>211</v>
      </c>
      <c r="L52" s="22">
        <f t="shared" si="2"/>
        <v>17</v>
      </c>
      <c r="M52" s="22">
        <f t="shared" si="3"/>
        <v>231</v>
      </c>
      <c r="N52" s="24">
        <f t="shared" si="4"/>
        <v>7.3593073593073599E-2</v>
      </c>
      <c r="O52" s="24"/>
      <c r="P52" s="24" t="str">
        <f t="shared" si="5"/>
        <v/>
      </c>
      <c r="Q52" s="22"/>
    </row>
    <row r="53" spans="1:17" ht="15" customHeight="1" x14ac:dyDescent="0.25">
      <c r="A53" s="22" t="s">
        <v>203</v>
      </c>
      <c r="B53" s="22">
        <v>17</v>
      </c>
      <c r="C53" s="22" t="s">
        <v>311</v>
      </c>
      <c r="D53" s="22">
        <v>30</v>
      </c>
      <c r="E53" s="22" t="s">
        <v>180</v>
      </c>
      <c r="F53" s="22" t="s">
        <v>205</v>
      </c>
      <c r="G53" s="23">
        <v>39765</v>
      </c>
      <c r="H53" s="22">
        <v>2</v>
      </c>
      <c r="I53" s="22">
        <v>4</v>
      </c>
      <c r="J53" s="22">
        <f t="shared" si="0"/>
        <v>230</v>
      </c>
      <c r="K53" s="22">
        <f t="shared" si="1"/>
        <v>215</v>
      </c>
      <c r="L53" s="22">
        <f t="shared" si="2"/>
        <v>15</v>
      </c>
      <c r="M53" s="22">
        <f t="shared" si="3"/>
        <v>231</v>
      </c>
      <c r="N53" s="24">
        <f t="shared" si="4"/>
        <v>6.4935064935064929E-2</v>
      </c>
      <c r="O53" s="24"/>
      <c r="P53" s="24" t="str">
        <f t="shared" si="5"/>
        <v/>
      </c>
      <c r="Q53" s="22"/>
    </row>
    <row r="54" spans="1:17" ht="15" customHeight="1" x14ac:dyDescent="0.25">
      <c r="A54" s="22" t="s">
        <v>203</v>
      </c>
      <c r="B54" s="22">
        <v>18</v>
      </c>
      <c r="C54" s="22" t="s">
        <v>211</v>
      </c>
      <c r="D54" s="22">
        <v>45</v>
      </c>
      <c r="E54" s="22" t="s">
        <v>180</v>
      </c>
      <c r="F54" s="22" t="s">
        <v>205</v>
      </c>
      <c r="G54" s="23">
        <v>39765</v>
      </c>
      <c r="H54" s="22">
        <v>1</v>
      </c>
      <c r="I54" s="22">
        <v>8</v>
      </c>
      <c r="J54" s="22">
        <f t="shared" si="0"/>
        <v>231</v>
      </c>
      <c r="K54" s="22">
        <f t="shared" si="1"/>
        <v>223</v>
      </c>
      <c r="L54" s="22">
        <f t="shared" si="2"/>
        <v>8</v>
      </c>
      <c r="M54" s="22">
        <f t="shared" si="3"/>
        <v>231</v>
      </c>
      <c r="N54" s="24">
        <f t="shared" si="4"/>
        <v>3.4632034632034632E-2</v>
      </c>
      <c r="O54" s="24"/>
      <c r="P54" s="24" t="str">
        <f t="shared" si="5"/>
        <v/>
      </c>
      <c r="Q54" s="22"/>
    </row>
    <row r="55" spans="1:17" ht="15" customHeight="1" x14ac:dyDescent="0.25">
      <c r="A55" s="22" t="s">
        <v>215</v>
      </c>
      <c r="B55" s="22">
        <v>0</v>
      </c>
      <c r="C55" s="22" t="s">
        <v>189</v>
      </c>
      <c r="D55" s="22"/>
      <c r="E55" s="22" t="s">
        <v>180</v>
      </c>
      <c r="F55" s="22" t="s">
        <v>205</v>
      </c>
      <c r="G55" s="23">
        <v>39765</v>
      </c>
      <c r="H55" s="22">
        <v>16</v>
      </c>
      <c r="I55" s="22">
        <v>0</v>
      </c>
      <c r="J55" s="22">
        <f t="shared" si="0"/>
        <v>16</v>
      </c>
      <c r="K55" s="22">
        <f t="shared" si="1"/>
        <v>0</v>
      </c>
      <c r="L55" s="22">
        <f t="shared" si="2"/>
        <v>16</v>
      </c>
      <c r="M55" s="22">
        <f t="shared" si="3"/>
        <v>231</v>
      </c>
      <c r="N55" s="24">
        <f t="shared" si="4"/>
        <v>6.9264069264069264E-2</v>
      </c>
      <c r="O55" s="24">
        <v>6.9264069264069306E-2</v>
      </c>
      <c r="P55" s="24">
        <f t="shared" si="5"/>
        <v>-4.163336342344337E-17</v>
      </c>
      <c r="Q55" s="25" t="s">
        <v>470</v>
      </c>
    </row>
    <row r="56" spans="1:17" ht="15" customHeight="1" x14ac:dyDescent="0.25">
      <c r="A56" s="22" t="s">
        <v>215</v>
      </c>
      <c r="B56" s="22">
        <v>3</v>
      </c>
      <c r="C56" s="22" t="s">
        <v>464</v>
      </c>
      <c r="D56" s="22">
        <v>-180</v>
      </c>
      <c r="E56" s="22" t="s">
        <v>180</v>
      </c>
      <c r="F56" s="22" t="s">
        <v>205</v>
      </c>
      <c r="G56" s="23">
        <v>39765</v>
      </c>
      <c r="H56" s="22">
        <v>7</v>
      </c>
      <c r="I56" s="22">
        <v>3</v>
      </c>
      <c r="J56" s="22">
        <f t="shared" si="0"/>
        <v>23</v>
      </c>
      <c r="K56" s="22">
        <f t="shared" si="1"/>
        <v>3</v>
      </c>
      <c r="L56" s="22">
        <f t="shared" si="2"/>
        <v>20</v>
      </c>
      <c r="M56" s="22">
        <f t="shared" si="3"/>
        <v>231</v>
      </c>
      <c r="N56" s="24">
        <f t="shared" si="4"/>
        <v>8.6580086580086577E-2</v>
      </c>
      <c r="O56" s="24">
        <v>8.6580086580086604E-2</v>
      </c>
      <c r="P56" s="24">
        <f t="shared" si="5"/>
        <v>-2.7755575615628914E-17</v>
      </c>
      <c r="Q56" s="22"/>
    </row>
    <row r="57" spans="1:17" ht="15" customHeight="1" x14ac:dyDescent="0.25">
      <c r="A57" s="22" t="s">
        <v>215</v>
      </c>
      <c r="B57" s="22">
        <v>4</v>
      </c>
      <c r="C57" s="22" t="s">
        <v>465</v>
      </c>
      <c r="D57" s="22">
        <v>-165</v>
      </c>
      <c r="E57" s="22" t="s">
        <v>180</v>
      </c>
      <c r="F57" s="22" t="s">
        <v>205</v>
      </c>
      <c r="G57" s="23">
        <v>39765</v>
      </c>
      <c r="H57" s="22">
        <v>16</v>
      </c>
      <c r="I57" s="22">
        <v>2</v>
      </c>
      <c r="J57" s="22">
        <f t="shared" si="0"/>
        <v>39</v>
      </c>
      <c r="K57" s="22">
        <f t="shared" si="1"/>
        <v>5</v>
      </c>
      <c r="L57" s="22">
        <f t="shared" si="2"/>
        <v>34</v>
      </c>
      <c r="M57" s="22">
        <f t="shared" si="3"/>
        <v>231</v>
      </c>
      <c r="N57" s="24">
        <f t="shared" si="4"/>
        <v>0.1471861471861472</v>
      </c>
      <c r="O57" s="24">
        <v>0.147186147186147</v>
      </c>
      <c r="P57" s="24">
        <f t="shared" si="5"/>
        <v>1.9428902930940239E-16</v>
      </c>
      <c r="Q57" s="22"/>
    </row>
    <row r="58" spans="1:17" ht="15" customHeight="1" x14ac:dyDescent="0.25">
      <c r="A58" s="22" t="s">
        <v>215</v>
      </c>
      <c r="B58" s="22">
        <v>5</v>
      </c>
      <c r="C58" s="22" t="s">
        <v>466</v>
      </c>
      <c r="D58" s="22">
        <v>-150</v>
      </c>
      <c r="E58" s="22" t="s">
        <v>180</v>
      </c>
      <c r="F58" s="22" t="s">
        <v>205</v>
      </c>
      <c r="G58" s="23">
        <v>39765</v>
      </c>
      <c r="H58" s="22">
        <v>25</v>
      </c>
      <c r="I58" s="22">
        <v>0</v>
      </c>
      <c r="J58" s="22">
        <f t="shared" si="0"/>
        <v>64</v>
      </c>
      <c r="K58" s="22">
        <f t="shared" si="1"/>
        <v>5</v>
      </c>
      <c r="L58" s="22">
        <f t="shared" si="2"/>
        <v>59</v>
      </c>
      <c r="M58" s="22">
        <f t="shared" si="3"/>
        <v>231</v>
      </c>
      <c r="N58" s="24">
        <f t="shared" si="4"/>
        <v>0.25541125541125542</v>
      </c>
      <c r="O58" s="24">
        <v>0.25541125541125498</v>
      </c>
      <c r="P58" s="24">
        <f t="shared" si="5"/>
        <v>4.4408920985006262E-16</v>
      </c>
      <c r="Q58" s="22"/>
    </row>
    <row r="59" spans="1:17" ht="15" customHeight="1" x14ac:dyDescent="0.25">
      <c r="A59" s="22" t="s">
        <v>215</v>
      </c>
      <c r="B59" s="22">
        <v>6</v>
      </c>
      <c r="C59" s="22" t="s">
        <v>467</v>
      </c>
      <c r="D59" s="22">
        <v>-135</v>
      </c>
      <c r="E59" s="22" t="s">
        <v>180</v>
      </c>
      <c r="F59" s="22" t="s">
        <v>205</v>
      </c>
      <c r="G59" s="23">
        <v>39765</v>
      </c>
      <c r="H59" s="22">
        <v>23</v>
      </c>
      <c r="I59" s="22">
        <v>7</v>
      </c>
      <c r="J59" s="22">
        <f t="shared" si="0"/>
        <v>87</v>
      </c>
      <c r="K59" s="22">
        <f t="shared" si="1"/>
        <v>12</v>
      </c>
      <c r="L59" s="22">
        <f t="shared" si="2"/>
        <v>75</v>
      </c>
      <c r="M59" s="22">
        <f t="shared" si="3"/>
        <v>231</v>
      </c>
      <c r="N59" s="24">
        <f t="shared" si="4"/>
        <v>0.32467532467532467</v>
      </c>
      <c r="O59" s="24">
        <v>0.32467532467532501</v>
      </c>
      <c r="P59" s="24">
        <f t="shared" si="5"/>
        <v>-3.3306690738754696E-16</v>
      </c>
      <c r="Q59" s="22"/>
    </row>
    <row r="60" spans="1:17" ht="15" customHeight="1" x14ac:dyDescent="0.25">
      <c r="A60" s="22" t="s">
        <v>215</v>
      </c>
      <c r="B60" s="22">
        <v>7</v>
      </c>
      <c r="C60" s="22" t="s">
        <v>212</v>
      </c>
      <c r="D60" s="22">
        <v>-120</v>
      </c>
      <c r="E60" s="22" t="s">
        <v>180</v>
      </c>
      <c r="F60" s="22" t="s">
        <v>205</v>
      </c>
      <c r="G60" s="23">
        <v>39765</v>
      </c>
      <c r="H60" s="22">
        <v>15</v>
      </c>
      <c r="I60" s="22">
        <v>9</v>
      </c>
      <c r="J60" s="22">
        <f t="shared" si="0"/>
        <v>102</v>
      </c>
      <c r="K60" s="22">
        <f t="shared" si="1"/>
        <v>21</v>
      </c>
      <c r="L60" s="22">
        <f t="shared" si="2"/>
        <v>81</v>
      </c>
      <c r="M60" s="22">
        <f t="shared" si="3"/>
        <v>231</v>
      </c>
      <c r="N60" s="24">
        <f t="shared" si="4"/>
        <v>0.35064935064935066</v>
      </c>
      <c r="O60" s="24">
        <v>0.35064935064935099</v>
      </c>
      <c r="P60" s="24">
        <f t="shared" si="5"/>
        <v>-3.3306690738754696E-16</v>
      </c>
      <c r="Q60" s="22"/>
    </row>
    <row r="61" spans="1:17" ht="15" customHeight="1" x14ac:dyDescent="0.25">
      <c r="A61" s="22" t="s">
        <v>215</v>
      </c>
      <c r="B61" s="22">
        <v>8</v>
      </c>
      <c r="C61" s="22" t="s">
        <v>226</v>
      </c>
      <c r="D61" s="22">
        <v>-105</v>
      </c>
      <c r="E61" s="22" t="s">
        <v>180</v>
      </c>
      <c r="F61" s="22" t="s">
        <v>205</v>
      </c>
      <c r="G61" s="23">
        <v>39765</v>
      </c>
      <c r="H61" s="22">
        <v>22</v>
      </c>
      <c r="I61" s="22">
        <v>25</v>
      </c>
      <c r="J61" s="22">
        <f t="shared" si="0"/>
        <v>124</v>
      </c>
      <c r="K61" s="22">
        <f t="shared" si="1"/>
        <v>46</v>
      </c>
      <c r="L61" s="22">
        <f t="shared" si="2"/>
        <v>78</v>
      </c>
      <c r="M61" s="22">
        <f t="shared" si="3"/>
        <v>231</v>
      </c>
      <c r="N61" s="24">
        <f t="shared" si="4"/>
        <v>0.33766233766233766</v>
      </c>
      <c r="O61" s="24">
        <v>0.337662337662338</v>
      </c>
      <c r="P61" s="24">
        <f t="shared" si="5"/>
        <v>-3.3306690738754696E-16</v>
      </c>
      <c r="Q61" s="22"/>
    </row>
    <row r="62" spans="1:17" ht="15" customHeight="1" x14ac:dyDescent="0.25">
      <c r="A62" s="22" t="s">
        <v>215</v>
      </c>
      <c r="B62" s="22">
        <v>9</v>
      </c>
      <c r="C62" s="22" t="s">
        <v>264</v>
      </c>
      <c r="D62" s="22">
        <v>-90</v>
      </c>
      <c r="E62" s="22" t="s">
        <v>180</v>
      </c>
      <c r="F62" s="22" t="s">
        <v>205</v>
      </c>
      <c r="G62" s="23">
        <v>39765</v>
      </c>
      <c r="H62" s="22">
        <v>28</v>
      </c>
      <c r="I62" s="22">
        <v>25</v>
      </c>
      <c r="J62" s="22">
        <f t="shared" si="0"/>
        <v>152</v>
      </c>
      <c r="K62" s="22">
        <f t="shared" si="1"/>
        <v>71</v>
      </c>
      <c r="L62" s="22">
        <f t="shared" si="2"/>
        <v>81</v>
      </c>
      <c r="M62" s="22">
        <f t="shared" si="3"/>
        <v>231</v>
      </c>
      <c r="N62" s="24">
        <f t="shared" si="4"/>
        <v>0.35064935064935066</v>
      </c>
      <c r="O62" s="24">
        <v>0.35064935064935099</v>
      </c>
      <c r="P62" s="24">
        <f t="shared" si="5"/>
        <v>-3.3306690738754696E-16</v>
      </c>
      <c r="Q62" s="22"/>
    </row>
    <row r="63" spans="1:17" ht="15" customHeight="1" x14ac:dyDescent="0.25">
      <c r="A63" s="22" t="s">
        <v>215</v>
      </c>
      <c r="B63" s="22">
        <v>10</v>
      </c>
      <c r="C63" s="22" t="s">
        <v>191</v>
      </c>
      <c r="D63" s="22">
        <v>-75</v>
      </c>
      <c r="E63" s="22" t="s">
        <v>180</v>
      </c>
      <c r="F63" s="22" t="s">
        <v>205</v>
      </c>
      <c r="G63" s="23">
        <v>39765</v>
      </c>
      <c r="H63" s="22">
        <v>26</v>
      </c>
      <c r="I63" s="22">
        <v>26</v>
      </c>
      <c r="J63" s="22">
        <f t="shared" si="0"/>
        <v>178</v>
      </c>
      <c r="K63" s="22">
        <f t="shared" si="1"/>
        <v>97</v>
      </c>
      <c r="L63" s="22">
        <f t="shared" si="2"/>
        <v>81</v>
      </c>
      <c r="M63" s="22">
        <f t="shared" si="3"/>
        <v>231</v>
      </c>
      <c r="N63" s="24">
        <f t="shared" si="4"/>
        <v>0.35064935064935066</v>
      </c>
      <c r="O63" s="24">
        <v>0.35064935064935099</v>
      </c>
      <c r="P63" s="24">
        <f t="shared" si="5"/>
        <v>-3.3306690738754696E-16</v>
      </c>
      <c r="Q63" s="22"/>
    </row>
    <row r="64" spans="1:17" ht="15" customHeight="1" x14ac:dyDescent="0.25">
      <c r="A64" s="22" t="s">
        <v>215</v>
      </c>
      <c r="B64" s="22">
        <v>11</v>
      </c>
      <c r="C64" s="22" t="s">
        <v>231</v>
      </c>
      <c r="D64" s="22">
        <v>-60</v>
      </c>
      <c r="E64" s="22" t="s">
        <v>180</v>
      </c>
      <c r="F64" s="22" t="s">
        <v>205</v>
      </c>
      <c r="G64" s="23">
        <v>39765</v>
      </c>
      <c r="H64" s="22">
        <v>10</v>
      </c>
      <c r="I64" s="22">
        <v>23</v>
      </c>
      <c r="J64" s="22">
        <f t="shared" si="0"/>
        <v>188</v>
      </c>
      <c r="K64" s="22">
        <f t="shared" si="1"/>
        <v>120</v>
      </c>
      <c r="L64" s="22">
        <f t="shared" si="2"/>
        <v>68</v>
      </c>
      <c r="M64" s="22">
        <f t="shared" si="3"/>
        <v>231</v>
      </c>
      <c r="N64" s="24">
        <f t="shared" si="4"/>
        <v>0.2943722943722944</v>
      </c>
      <c r="O64" s="24">
        <v>0.29437229437229401</v>
      </c>
      <c r="P64" s="24">
        <f t="shared" si="5"/>
        <v>3.8857805861880479E-16</v>
      </c>
      <c r="Q64" s="22"/>
    </row>
    <row r="65" spans="1:17" ht="15" customHeight="1" x14ac:dyDescent="0.25">
      <c r="A65" s="22" t="s">
        <v>215</v>
      </c>
      <c r="B65" s="22">
        <v>12</v>
      </c>
      <c r="C65" s="22" t="s">
        <v>239</v>
      </c>
      <c r="D65" s="22">
        <v>-45</v>
      </c>
      <c r="E65" s="22" t="s">
        <v>180</v>
      </c>
      <c r="F65" s="22" t="s">
        <v>205</v>
      </c>
      <c r="G65" s="23">
        <v>39765</v>
      </c>
      <c r="H65" s="22">
        <v>13</v>
      </c>
      <c r="I65" s="22">
        <v>19</v>
      </c>
      <c r="J65" s="22">
        <f t="shared" si="0"/>
        <v>201</v>
      </c>
      <c r="K65" s="22">
        <f t="shared" si="1"/>
        <v>139</v>
      </c>
      <c r="L65" s="22">
        <f t="shared" si="2"/>
        <v>62</v>
      </c>
      <c r="M65" s="22">
        <f t="shared" si="3"/>
        <v>231</v>
      </c>
      <c r="N65" s="24">
        <f t="shared" si="4"/>
        <v>0.26839826839826841</v>
      </c>
      <c r="O65" s="24">
        <v>0.26839826839826803</v>
      </c>
      <c r="P65" s="24">
        <f t="shared" si="5"/>
        <v>3.8857805861880479E-16</v>
      </c>
      <c r="Q65" s="22"/>
    </row>
    <row r="66" spans="1:17" ht="15" customHeight="1" x14ac:dyDescent="0.25">
      <c r="A66" s="22" t="s">
        <v>215</v>
      </c>
      <c r="B66" s="22">
        <v>13</v>
      </c>
      <c r="C66" s="22" t="s">
        <v>387</v>
      </c>
      <c r="D66" s="22">
        <v>-30</v>
      </c>
      <c r="E66" s="22" t="s">
        <v>180</v>
      </c>
      <c r="F66" s="22" t="s">
        <v>205</v>
      </c>
      <c r="G66" s="23">
        <v>39765</v>
      </c>
      <c r="H66" s="22">
        <v>7</v>
      </c>
      <c r="I66" s="22">
        <v>16</v>
      </c>
      <c r="J66" s="22">
        <f t="shared" ref="J66:J129" si="6">SUMIFS($H$2:$H$1200,$A$2:$A$1200,$A66,$B$2:$B$1200,"&lt;="&amp;$B66)</f>
        <v>208</v>
      </c>
      <c r="K66" s="22">
        <f t="shared" ref="K66:K129" si="7">SUMIFS($I$2:$I$1200,$A$2:$A$1200,$A66,$B$2:$B$1200,"&lt;="&amp;$B66)</f>
        <v>155</v>
      </c>
      <c r="L66" s="22">
        <f t="shared" ref="L66:L129" si="8">J66-K66</f>
        <v>53</v>
      </c>
      <c r="M66" s="22">
        <f t="shared" ref="M66:M129" si="9">SUMIF($A$2:$A$1200,$A66,$H$2:$H$1200)</f>
        <v>231</v>
      </c>
      <c r="N66" s="24">
        <f t="shared" ref="N66:N129" si="10">IF(M66=0,"",L66/M66)</f>
        <v>0.22943722943722944</v>
      </c>
      <c r="O66" s="24">
        <v>0.229437229437229</v>
      </c>
      <c r="P66" s="24">
        <f t="shared" ref="P66:P129" si="11">IF(OR(N66="",O66=""),"",N66-O66)</f>
        <v>4.4408920985006262E-16</v>
      </c>
      <c r="Q66" s="22"/>
    </row>
    <row r="67" spans="1:17" ht="15" customHeight="1" x14ac:dyDescent="0.25">
      <c r="A67" s="22" t="s">
        <v>215</v>
      </c>
      <c r="B67" s="22">
        <v>14</v>
      </c>
      <c r="C67" s="22" t="s">
        <v>468</v>
      </c>
      <c r="D67" s="22">
        <v>-15</v>
      </c>
      <c r="E67" s="22" t="s">
        <v>180</v>
      </c>
      <c r="F67" s="22" t="s">
        <v>205</v>
      </c>
      <c r="G67" s="23">
        <v>39765</v>
      </c>
      <c r="H67" s="22">
        <v>14</v>
      </c>
      <c r="I67" s="22">
        <v>24</v>
      </c>
      <c r="J67" s="22">
        <f t="shared" si="6"/>
        <v>222</v>
      </c>
      <c r="K67" s="22">
        <f t="shared" si="7"/>
        <v>179</v>
      </c>
      <c r="L67" s="22">
        <f t="shared" si="8"/>
        <v>43</v>
      </c>
      <c r="M67" s="22">
        <f t="shared" si="9"/>
        <v>231</v>
      </c>
      <c r="N67" s="24">
        <f t="shared" si="10"/>
        <v>0.18614718614718614</v>
      </c>
      <c r="O67" s="24">
        <v>0.18614718614718601</v>
      </c>
      <c r="P67" s="24">
        <f t="shared" si="11"/>
        <v>1.3877787807814457E-16</v>
      </c>
      <c r="Q67" s="22"/>
    </row>
    <row r="68" spans="1:17" ht="15" customHeight="1" x14ac:dyDescent="0.25">
      <c r="A68" s="22" t="s">
        <v>215</v>
      </c>
      <c r="B68" s="22">
        <v>15</v>
      </c>
      <c r="C68" s="22" t="s">
        <v>469</v>
      </c>
      <c r="D68" s="22">
        <v>0</v>
      </c>
      <c r="E68" s="22" t="s">
        <v>180</v>
      </c>
      <c r="F68" s="22" t="s">
        <v>205</v>
      </c>
      <c r="G68" s="23">
        <v>39765</v>
      </c>
      <c r="H68" s="22">
        <v>2</v>
      </c>
      <c r="I68" s="22">
        <v>15</v>
      </c>
      <c r="J68" s="22">
        <f t="shared" si="6"/>
        <v>224</v>
      </c>
      <c r="K68" s="22">
        <f t="shared" si="7"/>
        <v>194</v>
      </c>
      <c r="L68" s="22">
        <f t="shared" si="8"/>
        <v>30</v>
      </c>
      <c r="M68" s="22">
        <f t="shared" si="9"/>
        <v>231</v>
      </c>
      <c r="N68" s="24">
        <f t="shared" si="10"/>
        <v>0.12987012987012986</v>
      </c>
      <c r="O68" s="24">
        <v>0.12987012987013</v>
      </c>
      <c r="P68" s="24">
        <f t="shared" si="11"/>
        <v>-1.3877787807814457E-16</v>
      </c>
      <c r="Q68" s="22"/>
    </row>
    <row r="69" spans="1:17" ht="15" customHeight="1" x14ac:dyDescent="0.25">
      <c r="A69" s="22" t="s">
        <v>215</v>
      </c>
      <c r="B69" s="22">
        <v>16</v>
      </c>
      <c r="C69" s="22" t="s">
        <v>351</v>
      </c>
      <c r="D69" s="22">
        <v>15</v>
      </c>
      <c r="E69" s="22" t="s">
        <v>180</v>
      </c>
      <c r="F69" s="22" t="s">
        <v>205</v>
      </c>
      <c r="G69" s="23">
        <v>39765</v>
      </c>
      <c r="H69" s="22">
        <v>4</v>
      </c>
      <c r="I69" s="22">
        <v>17</v>
      </c>
      <c r="J69" s="22">
        <f t="shared" si="6"/>
        <v>228</v>
      </c>
      <c r="K69" s="22">
        <f t="shared" si="7"/>
        <v>211</v>
      </c>
      <c r="L69" s="22">
        <f t="shared" si="8"/>
        <v>17</v>
      </c>
      <c r="M69" s="22">
        <f t="shared" si="9"/>
        <v>231</v>
      </c>
      <c r="N69" s="24">
        <f t="shared" si="10"/>
        <v>7.3593073593073599E-2</v>
      </c>
      <c r="O69" s="24">
        <v>7.3593073593073599E-2</v>
      </c>
      <c r="P69" s="24">
        <f t="shared" si="11"/>
        <v>0</v>
      </c>
      <c r="Q69" s="22"/>
    </row>
    <row r="70" spans="1:17" ht="15" customHeight="1" x14ac:dyDescent="0.25">
      <c r="A70" s="22" t="s">
        <v>215</v>
      </c>
      <c r="B70" s="22">
        <v>17</v>
      </c>
      <c r="C70" s="22" t="s">
        <v>311</v>
      </c>
      <c r="D70" s="22">
        <v>30</v>
      </c>
      <c r="E70" s="22" t="s">
        <v>180</v>
      </c>
      <c r="F70" s="22" t="s">
        <v>205</v>
      </c>
      <c r="G70" s="23">
        <v>39765</v>
      </c>
      <c r="H70" s="22">
        <v>2</v>
      </c>
      <c r="I70" s="22">
        <v>4</v>
      </c>
      <c r="J70" s="22">
        <f t="shared" si="6"/>
        <v>230</v>
      </c>
      <c r="K70" s="22">
        <f t="shared" si="7"/>
        <v>215</v>
      </c>
      <c r="L70" s="22">
        <f t="shared" si="8"/>
        <v>15</v>
      </c>
      <c r="M70" s="22">
        <f t="shared" si="9"/>
        <v>231</v>
      </c>
      <c r="N70" s="24">
        <f t="shared" si="10"/>
        <v>6.4935064935064929E-2</v>
      </c>
      <c r="O70" s="24">
        <v>6.4935064935064901E-2</v>
      </c>
      <c r="P70" s="24">
        <f t="shared" si="11"/>
        <v>2.7755575615628914E-17</v>
      </c>
      <c r="Q70" s="22"/>
    </row>
    <row r="71" spans="1:17" ht="15" customHeight="1" x14ac:dyDescent="0.25">
      <c r="A71" s="22" t="s">
        <v>215</v>
      </c>
      <c r="B71" s="22">
        <v>18</v>
      </c>
      <c r="C71" s="22" t="s">
        <v>211</v>
      </c>
      <c r="D71" s="22">
        <v>45</v>
      </c>
      <c r="E71" s="22" t="s">
        <v>180</v>
      </c>
      <c r="F71" s="22" t="s">
        <v>205</v>
      </c>
      <c r="G71" s="23">
        <v>39765</v>
      </c>
      <c r="H71" s="22">
        <v>1</v>
      </c>
      <c r="I71" s="22">
        <v>8</v>
      </c>
      <c r="J71" s="22">
        <f t="shared" si="6"/>
        <v>231</v>
      </c>
      <c r="K71" s="22">
        <f t="shared" si="7"/>
        <v>223</v>
      </c>
      <c r="L71" s="22">
        <f t="shared" si="8"/>
        <v>8</v>
      </c>
      <c r="M71" s="22">
        <f t="shared" si="9"/>
        <v>231</v>
      </c>
      <c r="N71" s="24">
        <f t="shared" si="10"/>
        <v>3.4632034632034632E-2</v>
      </c>
      <c r="O71" s="24">
        <v>3.4632034632034597E-2</v>
      </c>
      <c r="P71" s="24">
        <f t="shared" si="11"/>
        <v>3.4694469519536142E-17</v>
      </c>
      <c r="Q71" s="22"/>
    </row>
    <row r="72" spans="1:17" ht="15" customHeight="1" x14ac:dyDescent="0.25">
      <c r="A72" s="22" t="s">
        <v>220</v>
      </c>
      <c r="B72" s="22">
        <v>0</v>
      </c>
      <c r="C72" s="22" t="s">
        <v>189</v>
      </c>
      <c r="D72" s="22"/>
      <c r="E72" s="22" t="s">
        <v>180</v>
      </c>
      <c r="F72" s="22" t="s">
        <v>205</v>
      </c>
      <c r="G72" s="23">
        <v>40459</v>
      </c>
      <c r="H72" s="22">
        <v>25</v>
      </c>
      <c r="I72" s="22">
        <v>0</v>
      </c>
      <c r="J72" s="22">
        <f t="shared" si="6"/>
        <v>25</v>
      </c>
      <c r="K72" s="22">
        <f t="shared" si="7"/>
        <v>0</v>
      </c>
      <c r="L72" s="22">
        <f t="shared" si="8"/>
        <v>25</v>
      </c>
      <c r="M72" s="22">
        <f t="shared" si="9"/>
        <v>486</v>
      </c>
      <c r="N72" s="24">
        <f t="shared" si="10"/>
        <v>5.1440329218106998E-2</v>
      </c>
      <c r="O72" s="24"/>
      <c r="P72" s="24" t="str">
        <f t="shared" si="11"/>
        <v/>
      </c>
      <c r="Q72" s="22"/>
    </row>
    <row r="73" spans="1:17" ht="15" customHeight="1" x14ac:dyDescent="0.25">
      <c r="A73" s="22" t="s">
        <v>220</v>
      </c>
      <c r="B73" s="22">
        <v>1</v>
      </c>
      <c r="C73" s="22" t="s">
        <v>471</v>
      </c>
      <c r="D73" s="22">
        <v>-210</v>
      </c>
      <c r="E73" s="22" t="s">
        <v>180</v>
      </c>
      <c r="F73" s="22" t="s">
        <v>205</v>
      </c>
      <c r="G73" s="23">
        <v>40459</v>
      </c>
      <c r="H73" s="22">
        <v>12</v>
      </c>
      <c r="I73" s="22">
        <v>2</v>
      </c>
      <c r="J73" s="22">
        <f t="shared" si="6"/>
        <v>37</v>
      </c>
      <c r="K73" s="22">
        <f t="shared" si="7"/>
        <v>2</v>
      </c>
      <c r="L73" s="22">
        <f t="shared" si="8"/>
        <v>35</v>
      </c>
      <c r="M73" s="22">
        <f t="shared" si="9"/>
        <v>486</v>
      </c>
      <c r="N73" s="24">
        <f t="shared" si="10"/>
        <v>7.2016460905349799E-2</v>
      </c>
      <c r="O73" s="24"/>
      <c r="P73" s="24" t="str">
        <f t="shared" si="11"/>
        <v/>
      </c>
      <c r="Q73" s="22"/>
    </row>
    <row r="74" spans="1:17" ht="15" customHeight="1" x14ac:dyDescent="0.25">
      <c r="A74" s="22" t="s">
        <v>220</v>
      </c>
      <c r="B74" s="22">
        <v>2</v>
      </c>
      <c r="C74" s="22" t="s">
        <v>325</v>
      </c>
      <c r="D74" s="22">
        <v>-195</v>
      </c>
      <c r="E74" s="22" t="s">
        <v>180</v>
      </c>
      <c r="F74" s="22" t="s">
        <v>205</v>
      </c>
      <c r="G74" s="23">
        <v>40459</v>
      </c>
      <c r="H74" s="22">
        <v>26</v>
      </c>
      <c r="I74" s="22">
        <v>2</v>
      </c>
      <c r="J74" s="22">
        <f t="shared" si="6"/>
        <v>63</v>
      </c>
      <c r="K74" s="22">
        <f t="shared" si="7"/>
        <v>4</v>
      </c>
      <c r="L74" s="22">
        <f t="shared" si="8"/>
        <v>59</v>
      </c>
      <c r="M74" s="22">
        <f t="shared" si="9"/>
        <v>486</v>
      </c>
      <c r="N74" s="24">
        <f t="shared" si="10"/>
        <v>0.12139917695473251</v>
      </c>
      <c r="O74" s="24"/>
      <c r="P74" s="24" t="str">
        <f t="shared" si="11"/>
        <v/>
      </c>
      <c r="Q74" s="22"/>
    </row>
    <row r="75" spans="1:17" ht="15" customHeight="1" x14ac:dyDescent="0.25">
      <c r="A75" s="22" t="s">
        <v>220</v>
      </c>
      <c r="B75" s="22">
        <v>3</v>
      </c>
      <c r="C75" s="22" t="s">
        <v>464</v>
      </c>
      <c r="D75" s="22">
        <v>-180</v>
      </c>
      <c r="E75" s="22" t="s">
        <v>180</v>
      </c>
      <c r="F75" s="22" t="s">
        <v>205</v>
      </c>
      <c r="G75" s="23">
        <v>40459</v>
      </c>
      <c r="H75" s="22">
        <v>36</v>
      </c>
      <c r="I75" s="22">
        <v>2</v>
      </c>
      <c r="J75" s="22">
        <f t="shared" si="6"/>
        <v>99</v>
      </c>
      <c r="K75" s="22">
        <f t="shared" si="7"/>
        <v>6</v>
      </c>
      <c r="L75" s="22">
        <f t="shared" si="8"/>
        <v>93</v>
      </c>
      <c r="M75" s="22">
        <f t="shared" si="9"/>
        <v>486</v>
      </c>
      <c r="N75" s="24">
        <f t="shared" si="10"/>
        <v>0.19135802469135801</v>
      </c>
      <c r="O75" s="24"/>
      <c r="P75" s="24" t="str">
        <f t="shared" si="11"/>
        <v/>
      </c>
      <c r="Q75" s="22"/>
    </row>
    <row r="76" spans="1:17" ht="15" customHeight="1" x14ac:dyDescent="0.25">
      <c r="A76" s="22" t="s">
        <v>220</v>
      </c>
      <c r="B76" s="22">
        <v>4</v>
      </c>
      <c r="C76" s="22" t="s">
        <v>465</v>
      </c>
      <c r="D76" s="22">
        <v>-165</v>
      </c>
      <c r="E76" s="22" t="s">
        <v>180</v>
      </c>
      <c r="F76" s="22" t="s">
        <v>205</v>
      </c>
      <c r="G76" s="23">
        <v>40459</v>
      </c>
      <c r="H76" s="22">
        <v>51</v>
      </c>
      <c r="I76" s="22">
        <v>4</v>
      </c>
      <c r="J76" s="22">
        <f t="shared" si="6"/>
        <v>150</v>
      </c>
      <c r="K76" s="22">
        <f t="shared" si="7"/>
        <v>10</v>
      </c>
      <c r="L76" s="22">
        <f t="shared" si="8"/>
        <v>140</v>
      </c>
      <c r="M76" s="22">
        <f t="shared" si="9"/>
        <v>486</v>
      </c>
      <c r="N76" s="24">
        <f t="shared" si="10"/>
        <v>0.2880658436213992</v>
      </c>
      <c r="O76" s="24"/>
      <c r="P76" s="24" t="str">
        <f t="shared" si="11"/>
        <v/>
      </c>
      <c r="Q76" s="22"/>
    </row>
    <row r="77" spans="1:17" ht="15" customHeight="1" x14ac:dyDescent="0.25">
      <c r="A77" s="22" t="s">
        <v>220</v>
      </c>
      <c r="B77" s="22">
        <v>5</v>
      </c>
      <c r="C77" s="22" t="s">
        <v>466</v>
      </c>
      <c r="D77" s="22">
        <v>-150</v>
      </c>
      <c r="E77" s="22" t="s">
        <v>180</v>
      </c>
      <c r="F77" s="22" t="s">
        <v>205</v>
      </c>
      <c r="G77" s="23">
        <v>40459</v>
      </c>
      <c r="H77" s="22">
        <v>50</v>
      </c>
      <c r="I77" s="22">
        <v>3</v>
      </c>
      <c r="J77" s="22">
        <f t="shared" si="6"/>
        <v>200</v>
      </c>
      <c r="K77" s="22">
        <f t="shared" si="7"/>
        <v>13</v>
      </c>
      <c r="L77" s="22">
        <f t="shared" si="8"/>
        <v>187</v>
      </c>
      <c r="M77" s="22">
        <f t="shared" si="9"/>
        <v>486</v>
      </c>
      <c r="N77" s="24">
        <f t="shared" si="10"/>
        <v>0.38477366255144035</v>
      </c>
      <c r="O77" s="24"/>
      <c r="P77" s="24" t="str">
        <f t="shared" si="11"/>
        <v/>
      </c>
      <c r="Q77" s="22"/>
    </row>
    <row r="78" spans="1:17" ht="15" customHeight="1" x14ac:dyDescent="0.25">
      <c r="A78" s="22" t="s">
        <v>220</v>
      </c>
      <c r="B78" s="22">
        <v>6</v>
      </c>
      <c r="C78" s="22" t="s">
        <v>467</v>
      </c>
      <c r="D78" s="22">
        <v>-135</v>
      </c>
      <c r="E78" s="22" t="s">
        <v>180</v>
      </c>
      <c r="F78" s="22" t="s">
        <v>205</v>
      </c>
      <c r="G78" s="23">
        <v>40459</v>
      </c>
      <c r="H78" s="22">
        <v>60</v>
      </c>
      <c r="I78" s="22">
        <v>7</v>
      </c>
      <c r="J78" s="22">
        <f t="shared" si="6"/>
        <v>260</v>
      </c>
      <c r="K78" s="22">
        <f t="shared" si="7"/>
        <v>20</v>
      </c>
      <c r="L78" s="22">
        <f t="shared" si="8"/>
        <v>240</v>
      </c>
      <c r="M78" s="22">
        <f t="shared" si="9"/>
        <v>486</v>
      </c>
      <c r="N78" s="24">
        <f t="shared" si="10"/>
        <v>0.49382716049382713</v>
      </c>
      <c r="O78" s="24"/>
      <c r="P78" s="24" t="str">
        <f t="shared" si="11"/>
        <v/>
      </c>
      <c r="Q78" s="22"/>
    </row>
    <row r="79" spans="1:17" ht="15" customHeight="1" x14ac:dyDescent="0.25">
      <c r="A79" s="22" t="s">
        <v>220</v>
      </c>
      <c r="B79" s="22">
        <v>7</v>
      </c>
      <c r="C79" s="22" t="s">
        <v>212</v>
      </c>
      <c r="D79" s="22">
        <v>-120</v>
      </c>
      <c r="E79" s="22" t="s">
        <v>180</v>
      </c>
      <c r="F79" s="22" t="s">
        <v>205</v>
      </c>
      <c r="G79" s="23">
        <v>40459</v>
      </c>
      <c r="H79" s="22">
        <v>39</v>
      </c>
      <c r="I79" s="22">
        <v>11</v>
      </c>
      <c r="J79" s="22">
        <f t="shared" si="6"/>
        <v>299</v>
      </c>
      <c r="K79" s="22">
        <f t="shared" si="7"/>
        <v>31</v>
      </c>
      <c r="L79" s="22">
        <f t="shared" si="8"/>
        <v>268</v>
      </c>
      <c r="M79" s="22">
        <f t="shared" si="9"/>
        <v>486</v>
      </c>
      <c r="N79" s="24">
        <f t="shared" si="10"/>
        <v>0.55144032921810704</v>
      </c>
      <c r="O79" s="24"/>
      <c r="P79" s="24" t="str">
        <f t="shared" si="11"/>
        <v/>
      </c>
      <c r="Q79" s="22"/>
    </row>
    <row r="80" spans="1:17" ht="15" customHeight="1" x14ac:dyDescent="0.25">
      <c r="A80" s="22" t="s">
        <v>220</v>
      </c>
      <c r="B80" s="22">
        <v>8</v>
      </c>
      <c r="C80" s="22" t="s">
        <v>226</v>
      </c>
      <c r="D80" s="22">
        <v>-105</v>
      </c>
      <c r="E80" s="22" t="s">
        <v>180</v>
      </c>
      <c r="F80" s="22" t="s">
        <v>205</v>
      </c>
      <c r="G80" s="23">
        <v>40459</v>
      </c>
      <c r="H80" s="22">
        <v>33</v>
      </c>
      <c r="I80" s="22">
        <v>22</v>
      </c>
      <c r="J80" s="22">
        <f t="shared" si="6"/>
        <v>332</v>
      </c>
      <c r="K80" s="22">
        <f t="shared" si="7"/>
        <v>53</v>
      </c>
      <c r="L80" s="22">
        <f t="shared" si="8"/>
        <v>279</v>
      </c>
      <c r="M80" s="22">
        <f t="shared" si="9"/>
        <v>486</v>
      </c>
      <c r="N80" s="24">
        <f t="shared" si="10"/>
        <v>0.57407407407407407</v>
      </c>
      <c r="O80" s="24"/>
      <c r="P80" s="24" t="str">
        <f t="shared" si="11"/>
        <v/>
      </c>
      <c r="Q80" s="22"/>
    </row>
    <row r="81" spans="1:17" ht="15" customHeight="1" x14ac:dyDescent="0.25">
      <c r="A81" s="22" t="s">
        <v>220</v>
      </c>
      <c r="B81" s="22">
        <v>9</v>
      </c>
      <c r="C81" s="22" t="s">
        <v>264</v>
      </c>
      <c r="D81" s="22">
        <v>-90</v>
      </c>
      <c r="E81" s="22" t="s">
        <v>180</v>
      </c>
      <c r="F81" s="22" t="s">
        <v>205</v>
      </c>
      <c r="G81" s="23">
        <v>40459</v>
      </c>
      <c r="H81" s="22">
        <v>34</v>
      </c>
      <c r="I81" s="22">
        <v>39</v>
      </c>
      <c r="J81" s="22">
        <f t="shared" si="6"/>
        <v>366</v>
      </c>
      <c r="K81" s="22">
        <f t="shared" si="7"/>
        <v>92</v>
      </c>
      <c r="L81" s="22">
        <f t="shared" si="8"/>
        <v>274</v>
      </c>
      <c r="M81" s="22">
        <f t="shared" si="9"/>
        <v>486</v>
      </c>
      <c r="N81" s="24">
        <f t="shared" si="10"/>
        <v>0.56378600823045266</v>
      </c>
      <c r="O81" s="24"/>
      <c r="P81" s="24" t="str">
        <f t="shared" si="11"/>
        <v/>
      </c>
      <c r="Q81" s="22"/>
    </row>
    <row r="82" spans="1:17" ht="15" customHeight="1" x14ac:dyDescent="0.25">
      <c r="A82" s="22" t="s">
        <v>220</v>
      </c>
      <c r="B82" s="22">
        <v>10</v>
      </c>
      <c r="C82" s="22" t="s">
        <v>191</v>
      </c>
      <c r="D82" s="22">
        <v>-75</v>
      </c>
      <c r="E82" s="22" t="s">
        <v>180</v>
      </c>
      <c r="F82" s="22" t="s">
        <v>205</v>
      </c>
      <c r="G82" s="23">
        <v>40459</v>
      </c>
      <c r="H82" s="22">
        <v>35</v>
      </c>
      <c r="I82" s="22">
        <v>33</v>
      </c>
      <c r="J82" s="22">
        <f t="shared" si="6"/>
        <v>401</v>
      </c>
      <c r="K82" s="22">
        <f t="shared" si="7"/>
        <v>125</v>
      </c>
      <c r="L82" s="22">
        <f t="shared" si="8"/>
        <v>276</v>
      </c>
      <c r="M82" s="22">
        <f t="shared" si="9"/>
        <v>486</v>
      </c>
      <c r="N82" s="24">
        <f t="shared" si="10"/>
        <v>0.5679012345679012</v>
      </c>
      <c r="O82" s="24"/>
      <c r="P82" s="24" t="str">
        <f t="shared" si="11"/>
        <v/>
      </c>
      <c r="Q82" s="22"/>
    </row>
    <row r="83" spans="1:17" ht="15" customHeight="1" x14ac:dyDescent="0.25">
      <c r="A83" s="22" t="s">
        <v>220</v>
      </c>
      <c r="B83" s="22">
        <v>11</v>
      </c>
      <c r="C83" s="22" t="s">
        <v>231</v>
      </c>
      <c r="D83" s="22">
        <v>-60</v>
      </c>
      <c r="E83" s="22" t="s">
        <v>180</v>
      </c>
      <c r="F83" s="22" t="s">
        <v>205</v>
      </c>
      <c r="G83" s="23">
        <v>40459</v>
      </c>
      <c r="H83" s="22">
        <v>20</v>
      </c>
      <c r="I83" s="22">
        <v>67</v>
      </c>
      <c r="J83" s="22">
        <f t="shared" si="6"/>
        <v>421</v>
      </c>
      <c r="K83" s="22">
        <f t="shared" si="7"/>
        <v>192</v>
      </c>
      <c r="L83" s="22">
        <f t="shared" si="8"/>
        <v>229</v>
      </c>
      <c r="M83" s="22">
        <f t="shared" si="9"/>
        <v>486</v>
      </c>
      <c r="N83" s="24">
        <f t="shared" si="10"/>
        <v>0.4711934156378601</v>
      </c>
      <c r="O83" s="24"/>
      <c r="P83" s="24" t="str">
        <f t="shared" si="11"/>
        <v/>
      </c>
      <c r="Q83" s="22"/>
    </row>
    <row r="84" spans="1:17" ht="15" customHeight="1" x14ac:dyDescent="0.25">
      <c r="A84" s="22" t="s">
        <v>220</v>
      </c>
      <c r="B84" s="22">
        <v>12</v>
      </c>
      <c r="C84" s="22" t="s">
        <v>239</v>
      </c>
      <c r="D84" s="22">
        <v>-45</v>
      </c>
      <c r="E84" s="22" t="s">
        <v>180</v>
      </c>
      <c r="F84" s="22" t="s">
        <v>205</v>
      </c>
      <c r="G84" s="23">
        <v>40459</v>
      </c>
      <c r="H84" s="22">
        <v>19</v>
      </c>
      <c r="I84" s="22">
        <v>75</v>
      </c>
      <c r="J84" s="22">
        <f t="shared" si="6"/>
        <v>440</v>
      </c>
      <c r="K84" s="22">
        <f t="shared" si="7"/>
        <v>267</v>
      </c>
      <c r="L84" s="22">
        <f t="shared" si="8"/>
        <v>173</v>
      </c>
      <c r="M84" s="22">
        <f t="shared" si="9"/>
        <v>486</v>
      </c>
      <c r="N84" s="24">
        <f t="shared" si="10"/>
        <v>0.3559670781893004</v>
      </c>
      <c r="O84" s="24"/>
      <c r="P84" s="24" t="str">
        <f t="shared" si="11"/>
        <v/>
      </c>
      <c r="Q84" s="22"/>
    </row>
    <row r="85" spans="1:17" ht="15" customHeight="1" x14ac:dyDescent="0.25">
      <c r="A85" s="22" t="s">
        <v>220</v>
      </c>
      <c r="B85" s="22">
        <v>13</v>
      </c>
      <c r="C85" s="22" t="s">
        <v>387</v>
      </c>
      <c r="D85" s="22">
        <v>-30</v>
      </c>
      <c r="E85" s="22" t="s">
        <v>180</v>
      </c>
      <c r="F85" s="22" t="s">
        <v>205</v>
      </c>
      <c r="G85" s="23">
        <v>40459</v>
      </c>
      <c r="H85" s="22">
        <v>11</v>
      </c>
      <c r="I85" s="22">
        <v>66</v>
      </c>
      <c r="J85" s="22">
        <f t="shared" si="6"/>
        <v>451</v>
      </c>
      <c r="K85" s="22">
        <f t="shared" si="7"/>
        <v>333</v>
      </c>
      <c r="L85" s="22">
        <f t="shared" si="8"/>
        <v>118</v>
      </c>
      <c r="M85" s="22">
        <f t="shared" si="9"/>
        <v>486</v>
      </c>
      <c r="N85" s="24">
        <f t="shared" si="10"/>
        <v>0.24279835390946503</v>
      </c>
      <c r="O85" s="24"/>
      <c r="P85" s="24" t="str">
        <f t="shared" si="11"/>
        <v/>
      </c>
      <c r="Q85" s="22"/>
    </row>
    <row r="86" spans="1:17" ht="15" customHeight="1" x14ac:dyDescent="0.25">
      <c r="A86" s="22" t="s">
        <v>220</v>
      </c>
      <c r="B86" s="22">
        <v>14</v>
      </c>
      <c r="C86" s="22" t="s">
        <v>468</v>
      </c>
      <c r="D86" s="22">
        <v>-15</v>
      </c>
      <c r="E86" s="22" t="s">
        <v>180</v>
      </c>
      <c r="F86" s="22" t="s">
        <v>205</v>
      </c>
      <c r="G86" s="23">
        <v>40459</v>
      </c>
      <c r="H86" s="22">
        <v>10</v>
      </c>
      <c r="I86" s="22">
        <v>45</v>
      </c>
      <c r="J86" s="22">
        <f t="shared" si="6"/>
        <v>461</v>
      </c>
      <c r="K86" s="22">
        <f t="shared" si="7"/>
        <v>378</v>
      </c>
      <c r="L86" s="22">
        <f t="shared" si="8"/>
        <v>83</v>
      </c>
      <c r="M86" s="22">
        <f t="shared" si="9"/>
        <v>486</v>
      </c>
      <c r="N86" s="24">
        <f t="shared" si="10"/>
        <v>0.17078189300411523</v>
      </c>
      <c r="O86" s="24"/>
      <c r="P86" s="24" t="str">
        <f t="shared" si="11"/>
        <v/>
      </c>
      <c r="Q86" s="22"/>
    </row>
    <row r="87" spans="1:17" ht="15" customHeight="1" x14ac:dyDescent="0.25">
      <c r="A87" s="22" t="s">
        <v>220</v>
      </c>
      <c r="B87" s="22">
        <v>15</v>
      </c>
      <c r="C87" s="22" t="s">
        <v>469</v>
      </c>
      <c r="D87" s="22">
        <v>0</v>
      </c>
      <c r="E87" s="22" t="s">
        <v>180</v>
      </c>
      <c r="F87" s="22" t="s">
        <v>205</v>
      </c>
      <c r="G87" s="23">
        <v>40459</v>
      </c>
      <c r="H87" s="22">
        <v>8</v>
      </c>
      <c r="I87" s="22">
        <v>20</v>
      </c>
      <c r="J87" s="22">
        <f t="shared" si="6"/>
        <v>469</v>
      </c>
      <c r="K87" s="22">
        <f t="shared" si="7"/>
        <v>398</v>
      </c>
      <c r="L87" s="22">
        <f t="shared" si="8"/>
        <v>71</v>
      </c>
      <c r="M87" s="22">
        <f t="shared" si="9"/>
        <v>486</v>
      </c>
      <c r="N87" s="24">
        <f t="shared" si="10"/>
        <v>0.14609053497942387</v>
      </c>
      <c r="O87" s="24"/>
      <c r="P87" s="24" t="str">
        <f t="shared" si="11"/>
        <v/>
      </c>
      <c r="Q87" s="22"/>
    </row>
    <row r="88" spans="1:17" ht="15" customHeight="1" x14ac:dyDescent="0.25">
      <c r="A88" s="22" t="s">
        <v>220</v>
      </c>
      <c r="B88" s="22">
        <v>16</v>
      </c>
      <c r="C88" s="22" t="s">
        <v>351</v>
      </c>
      <c r="D88" s="22">
        <v>15</v>
      </c>
      <c r="E88" s="22" t="s">
        <v>180</v>
      </c>
      <c r="F88" s="22" t="s">
        <v>205</v>
      </c>
      <c r="G88" s="23">
        <v>40459</v>
      </c>
      <c r="H88" s="22">
        <v>12</v>
      </c>
      <c r="I88" s="22">
        <v>15</v>
      </c>
      <c r="J88" s="22">
        <f t="shared" si="6"/>
        <v>481</v>
      </c>
      <c r="K88" s="22">
        <f t="shared" si="7"/>
        <v>413</v>
      </c>
      <c r="L88" s="22">
        <f t="shared" si="8"/>
        <v>68</v>
      </c>
      <c r="M88" s="22">
        <f t="shared" si="9"/>
        <v>486</v>
      </c>
      <c r="N88" s="24">
        <f t="shared" si="10"/>
        <v>0.13991769547325103</v>
      </c>
      <c r="O88" s="24"/>
      <c r="P88" s="24" t="str">
        <f t="shared" si="11"/>
        <v/>
      </c>
      <c r="Q88" s="22"/>
    </row>
    <row r="89" spans="1:17" ht="15" customHeight="1" x14ac:dyDescent="0.25">
      <c r="A89" s="22" t="s">
        <v>220</v>
      </c>
      <c r="B89" s="22">
        <v>17</v>
      </c>
      <c r="C89" s="22" t="s">
        <v>311</v>
      </c>
      <c r="D89" s="22">
        <v>30</v>
      </c>
      <c r="E89" s="22" t="s">
        <v>180</v>
      </c>
      <c r="F89" s="22" t="s">
        <v>205</v>
      </c>
      <c r="G89" s="23">
        <v>40459</v>
      </c>
      <c r="H89" s="22">
        <v>1</v>
      </c>
      <c r="I89" s="22">
        <v>16</v>
      </c>
      <c r="J89" s="22">
        <f t="shared" si="6"/>
        <v>482</v>
      </c>
      <c r="K89" s="22">
        <f t="shared" si="7"/>
        <v>429</v>
      </c>
      <c r="L89" s="22">
        <f t="shared" si="8"/>
        <v>53</v>
      </c>
      <c r="M89" s="22">
        <f t="shared" si="9"/>
        <v>486</v>
      </c>
      <c r="N89" s="24">
        <f t="shared" si="10"/>
        <v>0.10905349794238683</v>
      </c>
      <c r="O89" s="24"/>
      <c r="P89" s="24" t="str">
        <f t="shared" si="11"/>
        <v/>
      </c>
      <c r="Q89" s="22"/>
    </row>
    <row r="90" spans="1:17" ht="15" customHeight="1" x14ac:dyDescent="0.25">
      <c r="A90" s="22" t="s">
        <v>220</v>
      </c>
      <c r="B90" s="22">
        <v>18</v>
      </c>
      <c r="C90" s="22" t="s">
        <v>211</v>
      </c>
      <c r="D90" s="22">
        <v>45</v>
      </c>
      <c r="E90" s="22" t="s">
        <v>180</v>
      </c>
      <c r="F90" s="22" t="s">
        <v>205</v>
      </c>
      <c r="G90" s="23">
        <v>40459</v>
      </c>
      <c r="H90" s="22">
        <v>4</v>
      </c>
      <c r="I90" s="22">
        <v>18</v>
      </c>
      <c r="J90" s="22">
        <f t="shared" si="6"/>
        <v>486</v>
      </c>
      <c r="K90" s="22">
        <f t="shared" si="7"/>
        <v>447</v>
      </c>
      <c r="L90" s="22">
        <f t="shared" si="8"/>
        <v>39</v>
      </c>
      <c r="M90" s="22">
        <f t="shared" si="9"/>
        <v>486</v>
      </c>
      <c r="N90" s="24">
        <f t="shared" si="10"/>
        <v>8.0246913580246909E-2</v>
      </c>
      <c r="O90" s="24"/>
      <c r="P90" s="24" t="str">
        <f t="shared" si="11"/>
        <v/>
      </c>
      <c r="Q90" s="22"/>
    </row>
    <row r="91" spans="1:17" ht="15" customHeight="1" x14ac:dyDescent="0.25">
      <c r="A91" s="22" t="s">
        <v>228</v>
      </c>
      <c r="B91" s="22">
        <v>0</v>
      </c>
      <c r="C91" s="22" t="s">
        <v>189</v>
      </c>
      <c r="D91" s="22"/>
      <c r="E91" s="22" t="s">
        <v>180</v>
      </c>
      <c r="F91" s="22" t="s">
        <v>183</v>
      </c>
      <c r="G91" s="23">
        <v>40655</v>
      </c>
      <c r="H91" s="22">
        <v>2</v>
      </c>
      <c r="I91" s="22">
        <v>0</v>
      </c>
      <c r="J91" s="22">
        <f t="shared" si="6"/>
        <v>2</v>
      </c>
      <c r="K91" s="22">
        <f t="shared" si="7"/>
        <v>0</v>
      </c>
      <c r="L91" s="22">
        <f t="shared" si="8"/>
        <v>2</v>
      </c>
      <c r="M91" s="22">
        <f t="shared" si="9"/>
        <v>393</v>
      </c>
      <c r="N91" s="24">
        <f t="shared" si="10"/>
        <v>5.0890585241730284E-3</v>
      </c>
      <c r="O91" s="24"/>
      <c r="P91" s="24" t="str">
        <f t="shared" si="11"/>
        <v/>
      </c>
      <c r="Q91" s="22"/>
    </row>
    <row r="92" spans="1:17" ht="15" customHeight="1" x14ac:dyDescent="0.25">
      <c r="A92" s="22" t="s">
        <v>228</v>
      </c>
      <c r="B92" s="22">
        <v>3</v>
      </c>
      <c r="C92" s="22" t="s">
        <v>464</v>
      </c>
      <c r="D92" s="22">
        <v>-180</v>
      </c>
      <c r="E92" s="22" t="s">
        <v>180</v>
      </c>
      <c r="F92" s="22" t="s">
        <v>183</v>
      </c>
      <c r="G92" s="23">
        <v>40655</v>
      </c>
      <c r="H92" s="22">
        <v>3</v>
      </c>
      <c r="I92" s="22">
        <v>0</v>
      </c>
      <c r="J92" s="22">
        <f t="shared" si="6"/>
        <v>5</v>
      </c>
      <c r="K92" s="22">
        <f t="shared" si="7"/>
        <v>0</v>
      </c>
      <c r="L92" s="22">
        <f t="shared" si="8"/>
        <v>5</v>
      </c>
      <c r="M92" s="22">
        <f t="shared" si="9"/>
        <v>393</v>
      </c>
      <c r="N92" s="24">
        <f t="shared" si="10"/>
        <v>1.2722646310432569E-2</v>
      </c>
      <c r="O92" s="24"/>
      <c r="P92" s="24" t="str">
        <f t="shared" si="11"/>
        <v/>
      </c>
      <c r="Q92" s="22"/>
    </row>
    <row r="93" spans="1:17" ht="15" customHeight="1" x14ac:dyDescent="0.25">
      <c r="A93" s="22" t="s">
        <v>228</v>
      </c>
      <c r="B93" s="22">
        <v>4</v>
      </c>
      <c r="C93" s="22" t="s">
        <v>465</v>
      </c>
      <c r="D93" s="22">
        <v>-165</v>
      </c>
      <c r="E93" s="22" t="s">
        <v>180</v>
      </c>
      <c r="F93" s="22" t="s">
        <v>183</v>
      </c>
      <c r="G93" s="23">
        <v>40655</v>
      </c>
      <c r="H93" s="22">
        <v>4</v>
      </c>
      <c r="I93" s="22">
        <v>1</v>
      </c>
      <c r="J93" s="22">
        <f t="shared" si="6"/>
        <v>9</v>
      </c>
      <c r="K93" s="22">
        <f t="shared" si="7"/>
        <v>1</v>
      </c>
      <c r="L93" s="22">
        <f t="shared" si="8"/>
        <v>8</v>
      </c>
      <c r="M93" s="22">
        <f t="shared" si="9"/>
        <v>393</v>
      </c>
      <c r="N93" s="24">
        <f t="shared" si="10"/>
        <v>2.0356234096692113E-2</v>
      </c>
      <c r="O93" s="24"/>
      <c r="P93" s="24" t="str">
        <f t="shared" si="11"/>
        <v/>
      </c>
      <c r="Q93" s="22"/>
    </row>
    <row r="94" spans="1:17" ht="15" customHeight="1" x14ac:dyDescent="0.25">
      <c r="A94" s="22" t="s">
        <v>228</v>
      </c>
      <c r="B94" s="22">
        <v>5</v>
      </c>
      <c r="C94" s="22" t="s">
        <v>466</v>
      </c>
      <c r="D94" s="22">
        <v>-150</v>
      </c>
      <c r="E94" s="22" t="s">
        <v>180</v>
      </c>
      <c r="F94" s="22" t="s">
        <v>183</v>
      </c>
      <c r="G94" s="23">
        <v>40655</v>
      </c>
      <c r="H94" s="22">
        <v>37</v>
      </c>
      <c r="I94" s="22">
        <v>4</v>
      </c>
      <c r="J94" s="22">
        <f t="shared" si="6"/>
        <v>46</v>
      </c>
      <c r="K94" s="22">
        <f t="shared" si="7"/>
        <v>5</v>
      </c>
      <c r="L94" s="22">
        <f t="shared" si="8"/>
        <v>41</v>
      </c>
      <c r="M94" s="22">
        <f t="shared" si="9"/>
        <v>393</v>
      </c>
      <c r="N94" s="24">
        <f t="shared" si="10"/>
        <v>0.10432569974554708</v>
      </c>
      <c r="O94" s="24"/>
      <c r="P94" s="24" t="str">
        <f t="shared" si="11"/>
        <v/>
      </c>
      <c r="Q94" s="22"/>
    </row>
    <row r="95" spans="1:17" ht="15" customHeight="1" x14ac:dyDescent="0.25">
      <c r="A95" s="22" t="s">
        <v>228</v>
      </c>
      <c r="B95" s="22">
        <v>6</v>
      </c>
      <c r="C95" s="22" t="s">
        <v>467</v>
      </c>
      <c r="D95" s="22">
        <v>-135</v>
      </c>
      <c r="E95" s="22" t="s">
        <v>180</v>
      </c>
      <c r="F95" s="22" t="s">
        <v>183</v>
      </c>
      <c r="G95" s="23">
        <v>40655</v>
      </c>
      <c r="H95" s="22">
        <v>46</v>
      </c>
      <c r="I95" s="22">
        <v>4</v>
      </c>
      <c r="J95" s="22">
        <f t="shared" si="6"/>
        <v>92</v>
      </c>
      <c r="K95" s="22">
        <f t="shared" si="7"/>
        <v>9</v>
      </c>
      <c r="L95" s="22">
        <f t="shared" si="8"/>
        <v>83</v>
      </c>
      <c r="M95" s="22">
        <f t="shared" si="9"/>
        <v>393</v>
      </c>
      <c r="N95" s="24">
        <f t="shared" si="10"/>
        <v>0.21119592875318066</v>
      </c>
      <c r="O95" s="24"/>
      <c r="P95" s="24" t="str">
        <f t="shared" si="11"/>
        <v/>
      </c>
      <c r="Q95" s="22"/>
    </row>
    <row r="96" spans="1:17" ht="15" customHeight="1" x14ac:dyDescent="0.25">
      <c r="A96" s="22" t="s">
        <v>228</v>
      </c>
      <c r="B96" s="22">
        <v>7</v>
      </c>
      <c r="C96" s="22" t="s">
        <v>212</v>
      </c>
      <c r="D96" s="22">
        <v>-120</v>
      </c>
      <c r="E96" s="22" t="s">
        <v>180</v>
      </c>
      <c r="F96" s="22" t="s">
        <v>183</v>
      </c>
      <c r="G96" s="23">
        <v>40655</v>
      </c>
      <c r="H96" s="22">
        <v>44</v>
      </c>
      <c r="I96" s="22">
        <v>4</v>
      </c>
      <c r="J96" s="22">
        <f t="shared" si="6"/>
        <v>136</v>
      </c>
      <c r="K96" s="22">
        <f t="shared" si="7"/>
        <v>13</v>
      </c>
      <c r="L96" s="22">
        <f t="shared" si="8"/>
        <v>123</v>
      </c>
      <c r="M96" s="22">
        <f t="shared" si="9"/>
        <v>393</v>
      </c>
      <c r="N96" s="24">
        <f t="shared" si="10"/>
        <v>0.31297709923664124</v>
      </c>
      <c r="O96" s="24"/>
      <c r="P96" s="24" t="str">
        <f t="shared" si="11"/>
        <v/>
      </c>
      <c r="Q96" s="22"/>
    </row>
    <row r="97" spans="1:17" ht="15" customHeight="1" x14ac:dyDescent="0.25">
      <c r="A97" s="22" t="s">
        <v>228</v>
      </c>
      <c r="B97" s="22">
        <v>8</v>
      </c>
      <c r="C97" s="22" t="s">
        <v>226</v>
      </c>
      <c r="D97" s="22">
        <v>-105</v>
      </c>
      <c r="E97" s="22" t="s">
        <v>180</v>
      </c>
      <c r="F97" s="22" t="s">
        <v>183</v>
      </c>
      <c r="G97" s="23">
        <v>40655</v>
      </c>
      <c r="H97" s="22">
        <v>61</v>
      </c>
      <c r="I97" s="22">
        <v>11</v>
      </c>
      <c r="J97" s="22">
        <f t="shared" si="6"/>
        <v>197</v>
      </c>
      <c r="K97" s="22">
        <f t="shared" si="7"/>
        <v>24</v>
      </c>
      <c r="L97" s="22">
        <f t="shared" si="8"/>
        <v>173</v>
      </c>
      <c r="M97" s="22">
        <f t="shared" si="9"/>
        <v>393</v>
      </c>
      <c r="N97" s="24">
        <f t="shared" si="10"/>
        <v>0.44020356234096691</v>
      </c>
      <c r="O97" s="24"/>
      <c r="P97" s="24" t="str">
        <f t="shared" si="11"/>
        <v/>
      </c>
      <c r="Q97" s="22"/>
    </row>
    <row r="98" spans="1:17" ht="15" customHeight="1" x14ac:dyDescent="0.25">
      <c r="A98" s="22" t="s">
        <v>228</v>
      </c>
      <c r="B98" s="22">
        <v>9</v>
      </c>
      <c r="C98" s="22" t="s">
        <v>264</v>
      </c>
      <c r="D98" s="22">
        <v>-90</v>
      </c>
      <c r="E98" s="22" t="s">
        <v>180</v>
      </c>
      <c r="F98" s="22" t="s">
        <v>183</v>
      </c>
      <c r="G98" s="23">
        <v>40655</v>
      </c>
      <c r="H98" s="22">
        <v>48</v>
      </c>
      <c r="I98" s="22">
        <v>9</v>
      </c>
      <c r="J98" s="22">
        <f t="shared" si="6"/>
        <v>245</v>
      </c>
      <c r="K98" s="22">
        <f t="shared" si="7"/>
        <v>33</v>
      </c>
      <c r="L98" s="22">
        <f t="shared" si="8"/>
        <v>212</v>
      </c>
      <c r="M98" s="22">
        <f t="shared" si="9"/>
        <v>393</v>
      </c>
      <c r="N98" s="24">
        <f t="shared" si="10"/>
        <v>0.53944020356234101</v>
      </c>
      <c r="O98" s="24"/>
      <c r="P98" s="24" t="str">
        <f t="shared" si="11"/>
        <v/>
      </c>
      <c r="Q98" s="22"/>
    </row>
    <row r="99" spans="1:17" ht="15" customHeight="1" x14ac:dyDescent="0.25">
      <c r="A99" s="22" t="s">
        <v>228</v>
      </c>
      <c r="B99" s="22">
        <v>10</v>
      </c>
      <c r="C99" s="22" t="s">
        <v>191</v>
      </c>
      <c r="D99" s="22">
        <v>-75</v>
      </c>
      <c r="E99" s="22" t="s">
        <v>180</v>
      </c>
      <c r="F99" s="22" t="s">
        <v>183</v>
      </c>
      <c r="G99" s="23">
        <v>40655</v>
      </c>
      <c r="H99" s="22">
        <v>42</v>
      </c>
      <c r="I99" s="22">
        <v>19</v>
      </c>
      <c r="J99" s="22">
        <f t="shared" si="6"/>
        <v>287</v>
      </c>
      <c r="K99" s="22">
        <f t="shared" si="7"/>
        <v>52</v>
      </c>
      <c r="L99" s="22">
        <f t="shared" si="8"/>
        <v>235</v>
      </c>
      <c r="M99" s="22">
        <f t="shared" si="9"/>
        <v>393</v>
      </c>
      <c r="N99" s="24">
        <f t="shared" si="10"/>
        <v>0.59796437659033075</v>
      </c>
      <c r="O99" s="24"/>
      <c r="P99" s="24" t="str">
        <f t="shared" si="11"/>
        <v/>
      </c>
      <c r="Q99" s="22"/>
    </row>
    <row r="100" spans="1:17" ht="15" customHeight="1" x14ac:dyDescent="0.25">
      <c r="A100" s="22" t="s">
        <v>228</v>
      </c>
      <c r="B100" s="22">
        <v>11</v>
      </c>
      <c r="C100" s="22" t="s">
        <v>231</v>
      </c>
      <c r="D100" s="22">
        <v>-60</v>
      </c>
      <c r="E100" s="22" t="s">
        <v>180</v>
      </c>
      <c r="F100" s="22" t="s">
        <v>183</v>
      </c>
      <c r="G100" s="23">
        <v>40655</v>
      </c>
      <c r="H100" s="22">
        <v>38</v>
      </c>
      <c r="I100" s="22">
        <v>13</v>
      </c>
      <c r="J100" s="22">
        <f t="shared" si="6"/>
        <v>325</v>
      </c>
      <c r="K100" s="22">
        <f t="shared" si="7"/>
        <v>65</v>
      </c>
      <c r="L100" s="22">
        <f t="shared" si="8"/>
        <v>260</v>
      </c>
      <c r="M100" s="22">
        <f t="shared" si="9"/>
        <v>393</v>
      </c>
      <c r="N100" s="24">
        <f t="shared" si="10"/>
        <v>0.66157760814249367</v>
      </c>
      <c r="O100" s="24"/>
      <c r="P100" s="24" t="str">
        <f t="shared" si="11"/>
        <v/>
      </c>
      <c r="Q100" s="22"/>
    </row>
    <row r="101" spans="1:17" ht="15" customHeight="1" x14ac:dyDescent="0.25">
      <c r="A101" s="22" t="s">
        <v>228</v>
      </c>
      <c r="B101" s="22">
        <v>12</v>
      </c>
      <c r="C101" s="22" t="s">
        <v>239</v>
      </c>
      <c r="D101" s="22">
        <v>-45</v>
      </c>
      <c r="E101" s="22" t="s">
        <v>180</v>
      </c>
      <c r="F101" s="22" t="s">
        <v>183</v>
      </c>
      <c r="G101" s="23">
        <v>40655</v>
      </c>
      <c r="H101" s="22">
        <v>18</v>
      </c>
      <c r="I101" s="22">
        <v>50</v>
      </c>
      <c r="J101" s="22">
        <f t="shared" si="6"/>
        <v>343</v>
      </c>
      <c r="K101" s="22">
        <f t="shared" si="7"/>
        <v>115</v>
      </c>
      <c r="L101" s="22">
        <f t="shared" si="8"/>
        <v>228</v>
      </c>
      <c r="M101" s="22">
        <f t="shared" si="9"/>
        <v>393</v>
      </c>
      <c r="N101" s="24">
        <f t="shared" si="10"/>
        <v>0.58015267175572516</v>
      </c>
      <c r="O101" s="24"/>
      <c r="P101" s="24" t="str">
        <f t="shared" si="11"/>
        <v/>
      </c>
      <c r="Q101" s="22"/>
    </row>
    <row r="102" spans="1:17" ht="15" customHeight="1" x14ac:dyDescent="0.25">
      <c r="A102" s="22" t="s">
        <v>228</v>
      </c>
      <c r="B102" s="22">
        <v>13</v>
      </c>
      <c r="C102" s="22" t="s">
        <v>387</v>
      </c>
      <c r="D102" s="22">
        <v>-30</v>
      </c>
      <c r="E102" s="22" t="s">
        <v>180</v>
      </c>
      <c r="F102" s="22" t="s">
        <v>183</v>
      </c>
      <c r="G102" s="23">
        <v>40655</v>
      </c>
      <c r="H102" s="22">
        <v>16</v>
      </c>
      <c r="I102" s="22">
        <v>41</v>
      </c>
      <c r="J102" s="22">
        <f t="shared" si="6"/>
        <v>359</v>
      </c>
      <c r="K102" s="22">
        <f t="shared" si="7"/>
        <v>156</v>
      </c>
      <c r="L102" s="22">
        <f t="shared" si="8"/>
        <v>203</v>
      </c>
      <c r="M102" s="22">
        <f t="shared" si="9"/>
        <v>393</v>
      </c>
      <c r="N102" s="24">
        <f t="shared" si="10"/>
        <v>0.51653944020356235</v>
      </c>
      <c r="O102" s="24"/>
      <c r="P102" s="24" t="str">
        <f t="shared" si="11"/>
        <v/>
      </c>
      <c r="Q102" s="22"/>
    </row>
    <row r="103" spans="1:17" ht="15" customHeight="1" x14ac:dyDescent="0.25">
      <c r="A103" s="22" t="s">
        <v>228</v>
      </c>
      <c r="B103" s="22">
        <v>14</v>
      </c>
      <c r="C103" s="22" t="s">
        <v>468</v>
      </c>
      <c r="D103" s="22">
        <v>-15</v>
      </c>
      <c r="E103" s="22" t="s">
        <v>180</v>
      </c>
      <c r="F103" s="22" t="s">
        <v>183</v>
      </c>
      <c r="G103" s="23">
        <v>40655</v>
      </c>
      <c r="H103" s="22">
        <v>18</v>
      </c>
      <c r="I103" s="22">
        <v>46</v>
      </c>
      <c r="J103" s="22">
        <f t="shared" si="6"/>
        <v>377</v>
      </c>
      <c r="K103" s="22">
        <f t="shared" si="7"/>
        <v>202</v>
      </c>
      <c r="L103" s="22">
        <f t="shared" si="8"/>
        <v>175</v>
      </c>
      <c r="M103" s="22">
        <f t="shared" si="9"/>
        <v>393</v>
      </c>
      <c r="N103" s="24">
        <f t="shared" si="10"/>
        <v>0.44529262086513993</v>
      </c>
      <c r="O103" s="24"/>
      <c r="P103" s="24" t="str">
        <f t="shared" si="11"/>
        <v/>
      </c>
      <c r="Q103" s="22"/>
    </row>
    <row r="104" spans="1:17" ht="15" customHeight="1" x14ac:dyDescent="0.25">
      <c r="A104" s="22" t="s">
        <v>228</v>
      </c>
      <c r="B104" s="22">
        <v>15</v>
      </c>
      <c r="C104" s="22" t="s">
        <v>469</v>
      </c>
      <c r="D104" s="22">
        <v>0</v>
      </c>
      <c r="E104" s="22" t="s">
        <v>180</v>
      </c>
      <c r="F104" s="22" t="s">
        <v>183</v>
      </c>
      <c r="G104" s="23">
        <v>40655</v>
      </c>
      <c r="H104" s="22">
        <v>5</v>
      </c>
      <c r="I104" s="22">
        <v>43</v>
      </c>
      <c r="J104" s="22">
        <f t="shared" si="6"/>
        <v>382</v>
      </c>
      <c r="K104" s="22">
        <f t="shared" si="7"/>
        <v>245</v>
      </c>
      <c r="L104" s="22">
        <f t="shared" si="8"/>
        <v>137</v>
      </c>
      <c r="M104" s="22">
        <f t="shared" si="9"/>
        <v>393</v>
      </c>
      <c r="N104" s="24">
        <f t="shared" si="10"/>
        <v>0.34860050890585242</v>
      </c>
      <c r="O104" s="24"/>
      <c r="P104" s="24" t="str">
        <f t="shared" si="11"/>
        <v/>
      </c>
      <c r="Q104" s="22"/>
    </row>
    <row r="105" spans="1:17" ht="15" customHeight="1" x14ac:dyDescent="0.25">
      <c r="A105" s="22" t="s">
        <v>228</v>
      </c>
      <c r="B105" s="22">
        <v>16</v>
      </c>
      <c r="C105" s="22" t="s">
        <v>351</v>
      </c>
      <c r="D105" s="22">
        <v>15</v>
      </c>
      <c r="E105" s="22" t="s">
        <v>180</v>
      </c>
      <c r="F105" s="22" t="s">
        <v>183</v>
      </c>
      <c r="G105" s="23">
        <v>40655</v>
      </c>
      <c r="H105" s="22">
        <v>2</v>
      </c>
      <c r="I105" s="22">
        <v>43</v>
      </c>
      <c r="J105" s="22">
        <f t="shared" si="6"/>
        <v>384</v>
      </c>
      <c r="K105" s="22">
        <f t="shared" si="7"/>
        <v>288</v>
      </c>
      <c r="L105" s="22">
        <f t="shared" si="8"/>
        <v>96</v>
      </c>
      <c r="M105" s="22">
        <f t="shared" si="9"/>
        <v>393</v>
      </c>
      <c r="N105" s="24">
        <f t="shared" si="10"/>
        <v>0.24427480916030533</v>
      </c>
      <c r="O105" s="24"/>
      <c r="P105" s="24" t="str">
        <f t="shared" si="11"/>
        <v/>
      </c>
      <c r="Q105" s="22"/>
    </row>
    <row r="106" spans="1:17" ht="15" customHeight="1" x14ac:dyDescent="0.25">
      <c r="A106" s="22" t="s">
        <v>228</v>
      </c>
      <c r="B106" s="22">
        <v>17</v>
      </c>
      <c r="C106" s="22" t="s">
        <v>311</v>
      </c>
      <c r="D106" s="22">
        <v>30</v>
      </c>
      <c r="E106" s="22" t="s">
        <v>180</v>
      </c>
      <c r="F106" s="22" t="s">
        <v>183</v>
      </c>
      <c r="G106" s="23">
        <v>40655</v>
      </c>
      <c r="H106" s="22">
        <v>6</v>
      </c>
      <c r="I106" s="22">
        <v>27</v>
      </c>
      <c r="J106" s="22">
        <f t="shared" si="6"/>
        <v>390</v>
      </c>
      <c r="K106" s="22">
        <f t="shared" si="7"/>
        <v>315</v>
      </c>
      <c r="L106" s="22">
        <f t="shared" si="8"/>
        <v>75</v>
      </c>
      <c r="M106" s="22">
        <f t="shared" si="9"/>
        <v>393</v>
      </c>
      <c r="N106" s="24">
        <f t="shared" si="10"/>
        <v>0.19083969465648856</v>
      </c>
      <c r="O106" s="24"/>
      <c r="P106" s="24" t="str">
        <f t="shared" si="11"/>
        <v/>
      </c>
      <c r="Q106" s="22"/>
    </row>
    <row r="107" spans="1:17" ht="15" customHeight="1" x14ac:dyDescent="0.25">
      <c r="A107" s="22" t="s">
        <v>228</v>
      </c>
      <c r="B107" s="22">
        <v>18</v>
      </c>
      <c r="C107" s="22" t="s">
        <v>211</v>
      </c>
      <c r="D107" s="22">
        <v>45</v>
      </c>
      <c r="E107" s="22" t="s">
        <v>180</v>
      </c>
      <c r="F107" s="22" t="s">
        <v>183</v>
      </c>
      <c r="G107" s="23">
        <v>40655</v>
      </c>
      <c r="H107" s="22">
        <v>3</v>
      </c>
      <c r="I107" s="22">
        <v>21</v>
      </c>
      <c r="J107" s="22">
        <f t="shared" si="6"/>
        <v>393</v>
      </c>
      <c r="K107" s="22">
        <f t="shared" si="7"/>
        <v>336</v>
      </c>
      <c r="L107" s="22">
        <f t="shared" si="8"/>
        <v>57</v>
      </c>
      <c r="M107" s="22">
        <f t="shared" si="9"/>
        <v>393</v>
      </c>
      <c r="N107" s="24">
        <f t="shared" si="10"/>
        <v>0.14503816793893129</v>
      </c>
      <c r="O107" s="24"/>
      <c r="P107" s="24" t="str">
        <f t="shared" si="11"/>
        <v/>
      </c>
      <c r="Q107" s="22"/>
    </row>
    <row r="108" spans="1:17" ht="15" customHeight="1" x14ac:dyDescent="0.25">
      <c r="A108" s="22" t="s">
        <v>233</v>
      </c>
      <c r="B108" s="22">
        <v>0</v>
      </c>
      <c r="C108" s="22" t="s">
        <v>189</v>
      </c>
      <c r="D108" s="22"/>
      <c r="E108" s="22" t="s">
        <v>180</v>
      </c>
      <c r="F108" s="22" t="s">
        <v>183</v>
      </c>
      <c r="G108" s="23">
        <v>44653</v>
      </c>
      <c r="H108" s="22">
        <v>0</v>
      </c>
      <c r="I108" s="22">
        <v>0</v>
      </c>
      <c r="J108" s="22">
        <f t="shared" si="6"/>
        <v>0</v>
      </c>
      <c r="K108" s="22">
        <f t="shared" si="7"/>
        <v>0</v>
      </c>
      <c r="L108" s="22">
        <f t="shared" si="8"/>
        <v>0</v>
      </c>
      <c r="M108" s="22">
        <f t="shared" si="9"/>
        <v>426</v>
      </c>
      <c r="N108" s="24">
        <f t="shared" si="10"/>
        <v>0</v>
      </c>
      <c r="O108" s="24">
        <v>0</v>
      </c>
      <c r="P108" s="24">
        <f t="shared" si="11"/>
        <v>0</v>
      </c>
      <c r="Q108" s="22"/>
    </row>
    <row r="109" spans="1:17" ht="15" customHeight="1" x14ac:dyDescent="0.25">
      <c r="A109" s="22" t="s">
        <v>233</v>
      </c>
      <c r="B109" s="22">
        <v>3</v>
      </c>
      <c r="C109" s="22" t="s">
        <v>464</v>
      </c>
      <c r="D109" s="22">
        <v>-180</v>
      </c>
      <c r="E109" s="22" t="s">
        <v>180</v>
      </c>
      <c r="F109" s="22" t="s">
        <v>183</v>
      </c>
      <c r="G109" s="23">
        <v>44653</v>
      </c>
      <c r="H109" s="22">
        <v>3</v>
      </c>
      <c r="I109" s="22">
        <v>0</v>
      </c>
      <c r="J109" s="22">
        <f t="shared" si="6"/>
        <v>3</v>
      </c>
      <c r="K109" s="22">
        <f t="shared" si="7"/>
        <v>0</v>
      </c>
      <c r="L109" s="22">
        <f t="shared" si="8"/>
        <v>3</v>
      </c>
      <c r="M109" s="22">
        <f t="shared" si="9"/>
        <v>426</v>
      </c>
      <c r="N109" s="24">
        <f t="shared" si="10"/>
        <v>7.0422535211267607E-3</v>
      </c>
      <c r="O109" s="24">
        <v>7.0422535211267599E-3</v>
      </c>
      <c r="P109" s="24">
        <f t="shared" si="11"/>
        <v>8.6736173798840355E-19</v>
      </c>
      <c r="Q109" s="22"/>
    </row>
    <row r="110" spans="1:17" ht="15" customHeight="1" x14ac:dyDescent="0.25">
      <c r="A110" s="22" t="s">
        <v>233</v>
      </c>
      <c r="B110" s="22">
        <v>4</v>
      </c>
      <c r="C110" s="22" t="s">
        <v>465</v>
      </c>
      <c r="D110" s="22">
        <v>-165</v>
      </c>
      <c r="E110" s="22" t="s">
        <v>180</v>
      </c>
      <c r="F110" s="22" t="s">
        <v>183</v>
      </c>
      <c r="G110" s="23">
        <v>44653</v>
      </c>
      <c r="H110" s="22">
        <v>4</v>
      </c>
      <c r="I110" s="22">
        <v>0</v>
      </c>
      <c r="J110" s="22">
        <f t="shared" si="6"/>
        <v>7</v>
      </c>
      <c r="K110" s="22">
        <f t="shared" si="7"/>
        <v>0</v>
      </c>
      <c r="L110" s="22">
        <f t="shared" si="8"/>
        <v>7</v>
      </c>
      <c r="M110" s="22">
        <f t="shared" si="9"/>
        <v>426</v>
      </c>
      <c r="N110" s="24">
        <f t="shared" si="10"/>
        <v>1.6431924882629109E-2</v>
      </c>
      <c r="O110" s="24">
        <v>1.6431924882629099E-2</v>
      </c>
      <c r="P110" s="24">
        <f t="shared" si="11"/>
        <v>1.0408340855860843E-17</v>
      </c>
      <c r="Q110" s="22"/>
    </row>
    <row r="111" spans="1:17" ht="15" customHeight="1" x14ac:dyDescent="0.25">
      <c r="A111" s="22" t="s">
        <v>233</v>
      </c>
      <c r="B111" s="22">
        <v>5</v>
      </c>
      <c r="C111" s="22" t="s">
        <v>466</v>
      </c>
      <c r="D111" s="22">
        <v>-150</v>
      </c>
      <c r="E111" s="22" t="s">
        <v>180</v>
      </c>
      <c r="F111" s="22" t="s">
        <v>183</v>
      </c>
      <c r="G111" s="23">
        <v>44653</v>
      </c>
      <c r="H111" s="22">
        <v>15</v>
      </c>
      <c r="I111" s="22">
        <v>0</v>
      </c>
      <c r="J111" s="22">
        <f t="shared" si="6"/>
        <v>22</v>
      </c>
      <c r="K111" s="22">
        <f t="shared" si="7"/>
        <v>0</v>
      </c>
      <c r="L111" s="22">
        <f t="shared" si="8"/>
        <v>22</v>
      </c>
      <c r="M111" s="22">
        <f t="shared" si="9"/>
        <v>426</v>
      </c>
      <c r="N111" s="24">
        <f t="shared" si="10"/>
        <v>5.1643192488262914E-2</v>
      </c>
      <c r="O111" s="24">
        <v>5.16431924882629E-2</v>
      </c>
      <c r="P111" s="24">
        <f t="shared" si="11"/>
        <v>1.3877787807814457E-17</v>
      </c>
      <c r="Q111" s="22"/>
    </row>
    <row r="112" spans="1:17" ht="15" customHeight="1" x14ac:dyDescent="0.25">
      <c r="A112" s="22" t="s">
        <v>233</v>
      </c>
      <c r="B112" s="22">
        <v>6</v>
      </c>
      <c r="C112" s="22" t="s">
        <v>467</v>
      </c>
      <c r="D112" s="22">
        <v>-135</v>
      </c>
      <c r="E112" s="22" t="s">
        <v>180</v>
      </c>
      <c r="F112" s="22" t="s">
        <v>183</v>
      </c>
      <c r="G112" s="23">
        <v>44653</v>
      </c>
      <c r="H112" s="22">
        <v>10</v>
      </c>
      <c r="I112" s="22">
        <v>1</v>
      </c>
      <c r="J112" s="22">
        <f t="shared" si="6"/>
        <v>32</v>
      </c>
      <c r="K112" s="22">
        <f t="shared" si="7"/>
        <v>1</v>
      </c>
      <c r="L112" s="22">
        <f t="shared" si="8"/>
        <v>31</v>
      </c>
      <c r="M112" s="22">
        <f t="shared" si="9"/>
        <v>426</v>
      </c>
      <c r="N112" s="24">
        <f t="shared" si="10"/>
        <v>7.2769953051643188E-2</v>
      </c>
      <c r="O112" s="24">
        <v>7.2769953051643202E-2</v>
      </c>
      <c r="P112" s="24">
        <f t="shared" si="11"/>
        <v>-1.3877787807814457E-17</v>
      </c>
      <c r="Q112" s="22"/>
    </row>
    <row r="113" spans="1:17" ht="15" customHeight="1" x14ac:dyDescent="0.25">
      <c r="A113" s="22" t="s">
        <v>233</v>
      </c>
      <c r="B113" s="22">
        <v>7</v>
      </c>
      <c r="C113" s="22" t="s">
        <v>212</v>
      </c>
      <c r="D113" s="22">
        <v>-120</v>
      </c>
      <c r="E113" s="22" t="s">
        <v>180</v>
      </c>
      <c r="F113" s="22" t="s">
        <v>183</v>
      </c>
      <c r="G113" s="23">
        <v>44653</v>
      </c>
      <c r="H113" s="22">
        <v>26</v>
      </c>
      <c r="I113" s="22">
        <v>1</v>
      </c>
      <c r="J113" s="22">
        <f t="shared" si="6"/>
        <v>58</v>
      </c>
      <c r="K113" s="22">
        <f t="shared" si="7"/>
        <v>2</v>
      </c>
      <c r="L113" s="22">
        <f t="shared" si="8"/>
        <v>56</v>
      </c>
      <c r="M113" s="22">
        <f t="shared" si="9"/>
        <v>426</v>
      </c>
      <c r="N113" s="24">
        <f t="shared" si="10"/>
        <v>0.13145539906103287</v>
      </c>
      <c r="O113" s="24">
        <v>0.13145539906103301</v>
      </c>
      <c r="P113" s="24">
        <f t="shared" si="11"/>
        <v>-1.3877787807814457E-16</v>
      </c>
      <c r="Q113" s="22"/>
    </row>
    <row r="114" spans="1:17" ht="15" customHeight="1" x14ac:dyDescent="0.25">
      <c r="A114" s="22" t="s">
        <v>233</v>
      </c>
      <c r="B114" s="22">
        <v>8</v>
      </c>
      <c r="C114" s="22" t="s">
        <v>226</v>
      </c>
      <c r="D114" s="22">
        <v>-105</v>
      </c>
      <c r="E114" s="22" t="s">
        <v>180</v>
      </c>
      <c r="F114" s="22" t="s">
        <v>183</v>
      </c>
      <c r="G114" s="23">
        <v>44653</v>
      </c>
      <c r="H114" s="22">
        <v>51</v>
      </c>
      <c r="I114" s="22">
        <v>0</v>
      </c>
      <c r="J114" s="22">
        <f t="shared" si="6"/>
        <v>109</v>
      </c>
      <c r="K114" s="22">
        <f t="shared" si="7"/>
        <v>2</v>
      </c>
      <c r="L114" s="22">
        <f t="shared" si="8"/>
        <v>107</v>
      </c>
      <c r="M114" s="22">
        <f t="shared" si="9"/>
        <v>426</v>
      </c>
      <c r="N114" s="24">
        <f t="shared" si="10"/>
        <v>0.25117370892018781</v>
      </c>
      <c r="O114" s="24">
        <v>0.25117370892018798</v>
      </c>
      <c r="P114" s="24">
        <f t="shared" si="11"/>
        <v>-1.6653345369377348E-16</v>
      </c>
      <c r="Q114" s="22"/>
    </row>
    <row r="115" spans="1:17" ht="15" customHeight="1" x14ac:dyDescent="0.25">
      <c r="A115" s="22" t="s">
        <v>233</v>
      </c>
      <c r="B115" s="22">
        <v>9</v>
      </c>
      <c r="C115" s="22" t="s">
        <v>264</v>
      </c>
      <c r="D115" s="22">
        <v>-90</v>
      </c>
      <c r="E115" s="22" t="s">
        <v>180</v>
      </c>
      <c r="F115" s="22" t="s">
        <v>183</v>
      </c>
      <c r="G115" s="23">
        <v>44653</v>
      </c>
      <c r="H115" s="22">
        <v>59</v>
      </c>
      <c r="I115" s="22">
        <v>3</v>
      </c>
      <c r="J115" s="22">
        <f t="shared" si="6"/>
        <v>168</v>
      </c>
      <c r="K115" s="22">
        <f t="shared" si="7"/>
        <v>5</v>
      </c>
      <c r="L115" s="22">
        <f t="shared" si="8"/>
        <v>163</v>
      </c>
      <c r="M115" s="22">
        <f t="shared" si="9"/>
        <v>426</v>
      </c>
      <c r="N115" s="24">
        <f t="shared" si="10"/>
        <v>0.38262910798122068</v>
      </c>
      <c r="O115" s="24">
        <v>0.38262910798122102</v>
      </c>
      <c r="P115" s="24">
        <f t="shared" si="11"/>
        <v>-3.3306690738754696E-16</v>
      </c>
      <c r="Q115" s="22"/>
    </row>
    <row r="116" spans="1:17" ht="15" customHeight="1" x14ac:dyDescent="0.25">
      <c r="A116" s="22" t="s">
        <v>233</v>
      </c>
      <c r="B116" s="22">
        <v>10</v>
      </c>
      <c r="C116" s="22" t="s">
        <v>191</v>
      </c>
      <c r="D116" s="22">
        <v>-75</v>
      </c>
      <c r="E116" s="22" t="s">
        <v>180</v>
      </c>
      <c r="F116" s="22" t="s">
        <v>183</v>
      </c>
      <c r="G116" s="23">
        <v>44653</v>
      </c>
      <c r="H116" s="22">
        <v>74</v>
      </c>
      <c r="I116" s="22">
        <v>4</v>
      </c>
      <c r="J116" s="22">
        <f t="shared" si="6"/>
        <v>242</v>
      </c>
      <c r="K116" s="22">
        <f t="shared" si="7"/>
        <v>9</v>
      </c>
      <c r="L116" s="22">
        <f t="shared" si="8"/>
        <v>233</v>
      </c>
      <c r="M116" s="22">
        <f t="shared" si="9"/>
        <v>426</v>
      </c>
      <c r="N116" s="24">
        <f t="shared" si="10"/>
        <v>0.54694835680751175</v>
      </c>
      <c r="O116" s="24">
        <v>0.54694835680751197</v>
      </c>
      <c r="P116" s="24">
        <f t="shared" si="11"/>
        <v>-2.2204460492503131E-16</v>
      </c>
      <c r="Q116" s="22"/>
    </row>
    <row r="117" spans="1:17" ht="15" customHeight="1" x14ac:dyDescent="0.25">
      <c r="A117" s="22" t="s">
        <v>233</v>
      </c>
      <c r="B117" s="22">
        <v>11</v>
      </c>
      <c r="C117" s="22" t="s">
        <v>231</v>
      </c>
      <c r="D117" s="22">
        <v>-60</v>
      </c>
      <c r="E117" s="22" t="s">
        <v>180</v>
      </c>
      <c r="F117" s="22" t="s">
        <v>183</v>
      </c>
      <c r="G117" s="23">
        <v>44653</v>
      </c>
      <c r="H117" s="22">
        <v>64</v>
      </c>
      <c r="I117" s="22">
        <v>17</v>
      </c>
      <c r="J117" s="22">
        <f t="shared" si="6"/>
        <v>306</v>
      </c>
      <c r="K117" s="22">
        <f t="shared" si="7"/>
        <v>26</v>
      </c>
      <c r="L117" s="22">
        <f t="shared" si="8"/>
        <v>280</v>
      </c>
      <c r="M117" s="22">
        <f t="shared" si="9"/>
        <v>426</v>
      </c>
      <c r="N117" s="24">
        <f t="shared" si="10"/>
        <v>0.65727699530516437</v>
      </c>
      <c r="O117" s="24">
        <v>0.65727699530516404</v>
      </c>
      <c r="P117" s="24">
        <f t="shared" si="11"/>
        <v>3.3306690738754696E-16</v>
      </c>
      <c r="Q117" s="22"/>
    </row>
    <row r="118" spans="1:17" ht="15" customHeight="1" x14ac:dyDescent="0.25">
      <c r="A118" s="22" t="s">
        <v>233</v>
      </c>
      <c r="B118" s="22">
        <v>12</v>
      </c>
      <c r="C118" s="22" t="s">
        <v>239</v>
      </c>
      <c r="D118" s="22">
        <v>-45</v>
      </c>
      <c r="E118" s="22" t="s">
        <v>180</v>
      </c>
      <c r="F118" s="22" t="s">
        <v>183</v>
      </c>
      <c r="G118" s="23">
        <v>44653</v>
      </c>
      <c r="H118" s="22">
        <v>47</v>
      </c>
      <c r="I118" s="22">
        <v>34</v>
      </c>
      <c r="J118" s="22">
        <f t="shared" si="6"/>
        <v>353</v>
      </c>
      <c r="K118" s="22">
        <f t="shared" si="7"/>
        <v>60</v>
      </c>
      <c r="L118" s="22">
        <f t="shared" si="8"/>
        <v>293</v>
      </c>
      <c r="M118" s="22">
        <f t="shared" si="9"/>
        <v>426</v>
      </c>
      <c r="N118" s="24">
        <f t="shared" si="10"/>
        <v>0.68779342723004699</v>
      </c>
      <c r="O118" s="24">
        <v>0.68779342723004699</v>
      </c>
      <c r="P118" s="24">
        <f t="shared" si="11"/>
        <v>0</v>
      </c>
      <c r="Q118" s="22"/>
    </row>
    <row r="119" spans="1:17" ht="15" customHeight="1" x14ac:dyDescent="0.25">
      <c r="A119" s="22" t="s">
        <v>233</v>
      </c>
      <c r="B119" s="22">
        <v>13</v>
      </c>
      <c r="C119" s="22" t="s">
        <v>387</v>
      </c>
      <c r="D119" s="22">
        <v>-30</v>
      </c>
      <c r="E119" s="22" t="s">
        <v>180</v>
      </c>
      <c r="F119" s="22" t="s">
        <v>183</v>
      </c>
      <c r="G119" s="23">
        <v>44653</v>
      </c>
      <c r="H119" s="22">
        <v>18</v>
      </c>
      <c r="I119" s="22">
        <v>37</v>
      </c>
      <c r="J119" s="22">
        <f t="shared" si="6"/>
        <v>371</v>
      </c>
      <c r="K119" s="22">
        <f t="shared" si="7"/>
        <v>97</v>
      </c>
      <c r="L119" s="22">
        <f t="shared" si="8"/>
        <v>274</v>
      </c>
      <c r="M119" s="22">
        <f t="shared" si="9"/>
        <v>426</v>
      </c>
      <c r="N119" s="24">
        <f t="shared" si="10"/>
        <v>0.64319248826291076</v>
      </c>
      <c r="O119" s="24">
        <v>0.64319248826291098</v>
      </c>
      <c r="P119" s="24">
        <f t="shared" si="11"/>
        <v>-2.2204460492503131E-16</v>
      </c>
      <c r="Q119" s="22"/>
    </row>
    <row r="120" spans="1:17" ht="15" customHeight="1" x14ac:dyDescent="0.25">
      <c r="A120" s="22" t="s">
        <v>233</v>
      </c>
      <c r="B120" s="22">
        <v>14</v>
      </c>
      <c r="C120" s="22" t="s">
        <v>468</v>
      </c>
      <c r="D120" s="22">
        <v>-15</v>
      </c>
      <c r="E120" s="22" t="s">
        <v>180</v>
      </c>
      <c r="F120" s="22" t="s">
        <v>183</v>
      </c>
      <c r="G120" s="23">
        <v>44653</v>
      </c>
      <c r="H120" s="22">
        <v>14</v>
      </c>
      <c r="I120" s="22">
        <v>49</v>
      </c>
      <c r="J120" s="22">
        <f t="shared" si="6"/>
        <v>385</v>
      </c>
      <c r="K120" s="22">
        <f t="shared" si="7"/>
        <v>146</v>
      </c>
      <c r="L120" s="22">
        <f t="shared" si="8"/>
        <v>239</v>
      </c>
      <c r="M120" s="22">
        <f t="shared" si="9"/>
        <v>426</v>
      </c>
      <c r="N120" s="24">
        <f t="shared" si="10"/>
        <v>0.56103286384976525</v>
      </c>
      <c r="O120" s="24">
        <v>0.56103286384976503</v>
      </c>
      <c r="P120" s="24">
        <f t="shared" si="11"/>
        <v>2.2204460492503131E-16</v>
      </c>
      <c r="Q120" s="22"/>
    </row>
    <row r="121" spans="1:17" ht="15" customHeight="1" x14ac:dyDescent="0.25">
      <c r="A121" s="22" t="s">
        <v>233</v>
      </c>
      <c r="B121" s="22">
        <v>15</v>
      </c>
      <c r="C121" s="22" t="s">
        <v>469</v>
      </c>
      <c r="D121" s="22">
        <v>0</v>
      </c>
      <c r="E121" s="22" t="s">
        <v>180</v>
      </c>
      <c r="F121" s="22" t="s">
        <v>183</v>
      </c>
      <c r="G121" s="23">
        <v>44653</v>
      </c>
      <c r="H121" s="22">
        <v>14</v>
      </c>
      <c r="I121" s="22">
        <v>47</v>
      </c>
      <c r="J121" s="22">
        <f t="shared" si="6"/>
        <v>399</v>
      </c>
      <c r="K121" s="22">
        <f t="shared" si="7"/>
        <v>193</v>
      </c>
      <c r="L121" s="22">
        <f t="shared" si="8"/>
        <v>206</v>
      </c>
      <c r="M121" s="22">
        <f t="shared" si="9"/>
        <v>426</v>
      </c>
      <c r="N121" s="24">
        <f t="shared" si="10"/>
        <v>0.48356807511737088</v>
      </c>
      <c r="O121" s="24">
        <v>0.48356807511737099</v>
      </c>
      <c r="P121" s="24">
        <f t="shared" si="11"/>
        <v>-1.1102230246251565E-16</v>
      </c>
      <c r="Q121" s="22"/>
    </row>
    <row r="122" spans="1:17" ht="15" customHeight="1" x14ac:dyDescent="0.25">
      <c r="A122" s="22" t="s">
        <v>233</v>
      </c>
      <c r="B122" s="22">
        <v>16</v>
      </c>
      <c r="C122" s="22" t="s">
        <v>351</v>
      </c>
      <c r="D122" s="22">
        <v>15</v>
      </c>
      <c r="E122" s="22" t="s">
        <v>180</v>
      </c>
      <c r="F122" s="22" t="s">
        <v>183</v>
      </c>
      <c r="G122" s="23">
        <v>44653</v>
      </c>
      <c r="H122" s="22">
        <v>13</v>
      </c>
      <c r="I122" s="22">
        <v>33</v>
      </c>
      <c r="J122" s="22">
        <f t="shared" si="6"/>
        <v>412</v>
      </c>
      <c r="K122" s="22">
        <f t="shared" si="7"/>
        <v>226</v>
      </c>
      <c r="L122" s="22">
        <f t="shared" si="8"/>
        <v>186</v>
      </c>
      <c r="M122" s="22">
        <f t="shared" si="9"/>
        <v>426</v>
      </c>
      <c r="N122" s="24">
        <f t="shared" si="10"/>
        <v>0.43661971830985913</v>
      </c>
      <c r="O122" s="24">
        <v>0.43661971830985902</v>
      </c>
      <c r="P122" s="24">
        <f t="shared" si="11"/>
        <v>1.1102230246251565E-16</v>
      </c>
      <c r="Q122" s="22"/>
    </row>
    <row r="123" spans="1:17" ht="15" customHeight="1" x14ac:dyDescent="0.25">
      <c r="A123" s="22" t="s">
        <v>233</v>
      </c>
      <c r="B123" s="22">
        <v>17</v>
      </c>
      <c r="C123" s="22" t="s">
        <v>311</v>
      </c>
      <c r="D123" s="22">
        <v>30</v>
      </c>
      <c r="E123" s="22" t="s">
        <v>180</v>
      </c>
      <c r="F123" s="22" t="s">
        <v>183</v>
      </c>
      <c r="G123" s="23">
        <v>44653</v>
      </c>
      <c r="H123" s="22">
        <v>7</v>
      </c>
      <c r="I123" s="22">
        <v>54</v>
      </c>
      <c r="J123" s="22">
        <f t="shared" si="6"/>
        <v>419</v>
      </c>
      <c r="K123" s="22">
        <f t="shared" si="7"/>
        <v>280</v>
      </c>
      <c r="L123" s="22">
        <f t="shared" si="8"/>
        <v>139</v>
      </c>
      <c r="M123" s="22">
        <f t="shared" si="9"/>
        <v>426</v>
      </c>
      <c r="N123" s="24">
        <f t="shared" si="10"/>
        <v>0.32629107981220656</v>
      </c>
      <c r="O123" s="24">
        <v>0.32629107981220701</v>
      </c>
      <c r="P123" s="24">
        <f t="shared" si="11"/>
        <v>-4.4408920985006262E-16</v>
      </c>
      <c r="Q123" s="22"/>
    </row>
    <row r="124" spans="1:17" ht="15" customHeight="1" x14ac:dyDescent="0.25">
      <c r="A124" s="22" t="s">
        <v>233</v>
      </c>
      <c r="B124" s="22">
        <v>18</v>
      </c>
      <c r="C124" s="22" t="s">
        <v>211</v>
      </c>
      <c r="D124" s="22">
        <v>45</v>
      </c>
      <c r="E124" s="22" t="s">
        <v>180</v>
      </c>
      <c r="F124" s="22" t="s">
        <v>183</v>
      </c>
      <c r="G124" s="23">
        <v>44653</v>
      </c>
      <c r="H124" s="22">
        <v>7</v>
      </c>
      <c r="I124" s="22">
        <v>21</v>
      </c>
      <c r="J124" s="22">
        <f t="shared" si="6"/>
        <v>426</v>
      </c>
      <c r="K124" s="22">
        <f t="shared" si="7"/>
        <v>301</v>
      </c>
      <c r="L124" s="22">
        <f t="shared" si="8"/>
        <v>125</v>
      </c>
      <c r="M124" s="22">
        <f t="shared" si="9"/>
        <v>426</v>
      </c>
      <c r="N124" s="24">
        <f t="shared" si="10"/>
        <v>0.29342723004694837</v>
      </c>
      <c r="O124" s="24">
        <v>0.29342723004694798</v>
      </c>
      <c r="P124" s="24">
        <f t="shared" si="11"/>
        <v>3.8857805861880479E-16</v>
      </c>
      <c r="Q124" s="22"/>
    </row>
    <row r="125" spans="1:17" ht="15" customHeight="1" x14ac:dyDescent="0.25">
      <c r="A125" s="22" t="s">
        <v>241</v>
      </c>
      <c r="B125" s="22">
        <v>0</v>
      </c>
      <c r="C125" s="22" t="s">
        <v>189</v>
      </c>
      <c r="D125" s="22"/>
      <c r="E125" s="22" t="s">
        <v>180</v>
      </c>
      <c r="F125" s="22" t="s">
        <v>183</v>
      </c>
      <c r="G125" s="23">
        <v>45040</v>
      </c>
      <c r="H125" s="22">
        <v>3</v>
      </c>
      <c r="I125" s="22">
        <v>0</v>
      </c>
      <c r="J125" s="22">
        <f t="shared" si="6"/>
        <v>3</v>
      </c>
      <c r="K125" s="22">
        <f t="shared" si="7"/>
        <v>0</v>
      </c>
      <c r="L125" s="22">
        <f t="shared" si="8"/>
        <v>3</v>
      </c>
      <c r="M125" s="22">
        <f t="shared" si="9"/>
        <v>212</v>
      </c>
      <c r="N125" s="24">
        <f t="shared" si="10"/>
        <v>1.4150943396226415E-2</v>
      </c>
      <c r="O125" s="24">
        <v>1.41509433962264E-2</v>
      </c>
      <c r="P125" s="24">
        <f t="shared" si="11"/>
        <v>1.5612511283791264E-17</v>
      </c>
      <c r="Q125" s="22"/>
    </row>
    <row r="126" spans="1:17" ht="15" customHeight="1" x14ac:dyDescent="0.25">
      <c r="A126" s="22" t="s">
        <v>241</v>
      </c>
      <c r="B126" s="22">
        <v>3</v>
      </c>
      <c r="C126" s="22" t="s">
        <v>464</v>
      </c>
      <c r="D126" s="22">
        <v>-180</v>
      </c>
      <c r="E126" s="22" t="s">
        <v>180</v>
      </c>
      <c r="F126" s="22" t="s">
        <v>183</v>
      </c>
      <c r="G126" s="23">
        <v>45040</v>
      </c>
      <c r="H126" s="22">
        <v>5</v>
      </c>
      <c r="I126" s="22">
        <v>0</v>
      </c>
      <c r="J126" s="22">
        <f t="shared" si="6"/>
        <v>8</v>
      </c>
      <c r="K126" s="22">
        <f t="shared" si="7"/>
        <v>0</v>
      </c>
      <c r="L126" s="22">
        <f t="shared" si="8"/>
        <v>8</v>
      </c>
      <c r="M126" s="22">
        <f t="shared" si="9"/>
        <v>212</v>
      </c>
      <c r="N126" s="24">
        <f t="shared" si="10"/>
        <v>3.7735849056603772E-2</v>
      </c>
      <c r="O126" s="24">
        <v>3.77358490566038E-2</v>
      </c>
      <c r="P126" s="24">
        <f t="shared" si="11"/>
        <v>-2.7755575615628914E-17</v>
      </c>
      <c r="Q126" s="22"/>
    </row>
    <row r="127" spans="1:17" ht="15" customHeight="1" x14ac:dyDescent="0.25">
      <c r="A127" s="22" t="s">
        <v>241</v>
      </c>
      <c r="B127" s="22">
        <v>4</v>
      </c>
      <c r="C127" s="22" t="s">
        <v>465</v>
      </c>
      <c r="D127" s="22">
        <v>-165</v>
      </c>
      <c r="E127" s="22" t="s">
        <v>180</v>
      </c>
      <c r="F127" s="22" t="s">
        <v>183</v>
      </c>
      <c r="G127" s="23">
        <v>45040</v>
      </c>
      <c r="H127" s="22">
        <v>4</v>
      </c>
      <c r="I127" s="22">
        <v>0</v>
      </c>
      <c r="J127" s="22">
        <f t="shared" si="6"/>
        <v>12</v>
      </c>
      <c r="K127" s="22">
        <f t="shared" si="7"/>
        <v>0</v>
      </c>
      <c r="L127" s="22">
        <f t="shared" si="8"/>
        <v>12</v>
      </c>
      <c r="M127" s="22">
        <f t="shared" si="9"/>
        <v>212</v>
      </c>
      <c r="N127" s="24">
        <f t="shared" si="10"/>
        <v>5.6603773584905662E-2</v>
      </c>
      <c r="O127" s="24">
        <v>5.6603773584905703E-2</v>
      </c>
      <c r="P127" s="24">
        <f t="shared" si="11"/>
        <v>-4.163336342344337E-17</v>
      </c>
      <c r="Q127" s="22"/>
    </row>
    <row r="128" spans="1:17" ht="15" customHeight="1" x14ac:dyDescent="0.25">
      <c r="A128" s="22" t="s">
        <v>241</v>
      </c>
      <c r="B128" s="22">
        <v>5</v>
      </c>
      <c r="C128" s="22" t="s">
        <v>466</v>
      </c>
      <c r="D128" s="22">
        <v>-150</v>
      </c>
      <c r="E128" s="22" t="s">
        <v>180</v>
      </c>
      <c r="F128" s="22" t="s">
        <v>183</v>
      </c>
      <c r="G128" s="23">
        <v>45040</v>
      </c>
      <c r="H128" s="22">
        <v>6</v>
      </c>
      <c r="I128" s="22">
        <v>0</v>
      </c>
      <c r="J128" s="22">
        <f t="shared" si="6"/>
        <v>18</v>
      </c>
      <c r="K128" s="22">
        <f t="shared" si="7"/>
        <v>0</v>
      </c>
      <c r="L128" s="22">
        <f t="shared" si="8"/>
        <v>18</v>
      </c>
      <c r="M128" s="22">
        <f t="shared" si="9"/>
        <v>212</v>
      </c>
      <c r="N128" s="24">
        <f t="shared" si="10"/>
        <v>8.4905660377358486E-2</v>
      </c>
      <c r="O128" s="24">
        <v>8.4905660377358499E-2</v>
      </c>
      <c r="P128" s="24">
        <f t="shared" si="11"/>
        <v>-1.3877787807814457E-17</v>
      </c>
      <c r="Q128" s="22"/>
    </row>
    <row r="129" spans="1:17" ht="15" customHeight="1" x14ac:dyDescent="0.25">
      <c r="A129" s="22" t="s">
        <v>241</v>
      </c>
      <c r="B129" s="22">
        <v>6</v>
      </c>
      <c r="C129" s="22" t="s">
        <v>467</v>
      </c>
      <c r="D129" s="22">
        <v>-135</v>
      </c>
      <c r="E129" s="22" t="s">
        <v>180</v>
      </c>
      <c r="F129" s="22" t="s">
        <v>183</v>
      </c>
      <c r="G129" s="23">
        <v>45040</v>
      </c>
      <c r="H129" s="22">
        <v>22</v>
      </c>
      <c r="I129" s="22">
        <v>0</v>
      </c>
      <c r="J129" s="22">
        <f t="shared" si="6"/>
        <v>40</v>
      </c>
      <c r="K129" s="22">
        <f t="shared" si="7"/>
        <v>0</v>
      </c>
      <c r="L129" s="22">
        <f t="shared" si="8"/>
        <v>40</v>
      </c>
      <c r="M129" s="22">
        <f t="shared" si="9"/>
        <v>212</v>
      </c>
      <c r="N129" s="24">
        <f t="shared" si="10"/>
        <v>0.18867924528301888</v>
      </c>
      <c r="O129" s="24">
        <v>0.18867924528301899</v>
      </c>
      <c r="P129" s="24">
        <f t="shared" si="11"/>
        <v>-1.1102230246251565E-16</v>
      </c>
      <c r="Q129" s="22"/>
    </row>
    <row r="130" spans="1:17" ht="15" customHeight="1" x14ac:dyDescent="0.25">
      <c r="A130" s="22" t="s">
        <v>241</v>
      </c>
      <c r="B130" s="22">
        <v>7</v>
      </c>
      <c r="C130" s="22" t="s">
        <v>212</v>
      </c>
      <c r="D130" s="22">
        <v>-120</v>
      </c>
      <c r="E130" s="22" t="s">
        <v>180</v>
      </c>
      <c r="F130" s="22" t="s">
        <v>183</v>
      </c>
      <c r="G130" s="23">
        <v>45040</v>
      </c>
      <c r="H130" s="22">
        <v>39</v>
      </c>
      <c r="I130" s="22">
        <v>1</v>
      </c>
      <c r="J130" s="22">
        <f t="shared" ref="J130:J193" si="12">SUMIFS($H$2:$H$1200,$A$2:$A$1200,$A130,$B$2:$B$1200,"&lt;="&amp;$B130)</f>
        <v>79</v>
      </c>
      <c r="K130" s="22">
        <f t="shared" ref="K130:K193" si="13">SUMIFS($I$2:$I$1200,$A$2:$A$1200,$A130,$B$2:$B$1200,"&lt;="&amp;$B130)</f>
        <v>1</v>
      </c>
      <c r="L130" s="22">
        <f t="shared" ref="L130:L193" si="14">J130-K130</f>
        <v>78</v>
      </c>
      <c r="M130" s="22">
        <f t="shared" ref="M130:M193" si="15">SUMIF($A$2:$A$1200,$A130,$H$2:$H$1200)</f>
        <v>212</v>
      </c>
      <c r="N130" s="24">
        <f t="shared" ref="N130:N193" si="16">IF(M130=0,"",L130/M130)</f>
        <v>0.36792452830188677</v>
      </c>
      <c r="O130" s="24">
        <v>0.36792452830188699</v>
      </c>
      <c r="P130" s="24">
        <f t="shared" ref="P130:P193" si="17">IF(OR(N130="",O130=""),"",N130-O130)</f>
        <v>-2.2204460492503131E-16</v>
      </c>
      <c r="Q130" s="22"/>
    </row>
    <row r="131" spans="1:17" ht="15" customHeight="1" x14ac:dyDescent="0.25">
      <c r="A131" s="22" t="s">
        <v>241</v>
      </c>
      <c r="B131" s="22">
        <v>8</v>
      </c>
      <c r="C131" s="22" t="s">
        <v>226</v>
      </c>
      <c r="D131" s="22">
        <v>-105</v>
      </c>
      <c r="E131" s="22" t="s">
        <v>180</v>
      </c>
      <c r="F131" s="22" t="s">
        <v>183</v>
      </c>
      <c r="G131" s="23">
        <v>45040</v>
      </c>
      <c r="H131" s="22">
        <v>35</v>
      </c>
      <c r="I131" s="22">
        <v>0</v>
      </c>
      <c r="J131" s="22">
        <f t="shared" si="12"/>
        <v>114</v>
      </c>
      <c r="K131" s="22">
        <f t="shared" si="13"/>
        <v>1</v>
      </c>
      <c r="L131" s="22">
        <f t="shared" si="14"/>
        <v>113</v>
      </c>
      <c r="M131" s="22">
        <f t="shared" si="15"/>
        <v>212</v>
      </c>
      <c r="N131" s="24">
        <f t="shared" si="16"/>
        <v>0.53301886792452835</v>
      </c>
      <c r="O131" s="24">
        <v>0.53301886792452802</v>
      </c>
      <c r="P131" s="24">
        <f t="shared" si="17"/>
        <v>3.3306690738754696E-16</v>
      </c>
      <c r="Q131" s="22"/>
    </row>
    <row r="132" spans="1:17" ht="15" customHeight="1" x14ac:dyDescent="0.25">
      <c r="A132" s="22" t="s">
        <v>241</v>
      </c>
      <c r="B132" s="22">
        <v>9</v>
      </c>
      <c r="C132" s="22" t="s">
        <v>264</v>
      </c>
      <c r="D132" s="22">
        <v>-90</v>
      </c>
      <c r="E132" s="22" t="s">
        <v>180</v>
      </c>
      <c r="F132" s="22" t="s">
        <v>183</v>
      </c>
      <c r="G132" s="23">
        <v>45040</v>
      </c>
      <c r="H132" s="22">
        <v>25</v>
      </c>
      <c r="I132" s="22">
        <v>2</v>
      </c>
      <c r="J132" s="22">
        <f t="shared" si="12"/>
        <v>139</v>
      </c>
      <c r="K132" s="22">
        <f t="shared" si="13"/>
        <v>3</v>
      </c>
      <c r="L132" s="22">
        <f t="shared" si="14"/>
        <v>136</v>
      </c>
      <c r="M132" s="22">
        <f t="shared" si="15"/>
        <v>212</v>
      </c>
      <c r="N132" s="24">
        <f t="shared" si="16"/>
        <v>0.64150943396226412</v>
      </c>
      <c r="O132" s="24">
        <v>0.64150943396226401</v>
      </c>
      <c r="P132" s="24">
        <f t="shared" si="17"/>
        <v>1.1102230246251565E-16</v>
      </c>
      <c r="Q132" s="22"/>
    </row>
    <row r="133" spans="1:17" ht="15" customHeight="1" x14ac:dyDescent="0.25">
      <c r="A133" s="22" t="s">
        <v>241</v>
      </c>
      <c r="B133" s="22">
        <v>10</v>
      </c>
      <c r="C133" s="22" t="s">
        <v>191</v>
      </c>
      <c r="D133" s="22">
        <v>-75</v>
      </c>
      <c r="E133" s="22" t="s">
        <v>180</v>
      </c>
      <c r="F133" s="22" t="s">
        <v>183</v>
      </c>
      <c r="G133" s="23">
        <v>45040</v>
      </c>
      <c r="H133" s="22">
        <v>23</v>
      </c>
      <c r="I133" s="22">
        <v>2</v>
      </c>
      <c r="J133" s="22">
        <f t="shared" si="12"/>
        <v>162</v>
      </c>
      <c r="K133" s="22">
        <f t="shared" si="13"/>
        <v>5</v>
      </c>
      <c r="L133" s="22">
        <f t="shared" si="14"/>
        <v>157</v>
      </c>
      <c r="M133" s="22">
        <f t="shared" si="15"/>
        <v>212</v>
      </c>
      <c r="N133" s="24">
        <f t="shared" si="16"/>
        <v>0.74056603773584906</v>
      </c>
      <c r="O133" s="24">
        <v>0.74056603773584895</v>
      </c>
      <c r="P133" s="24">
        <f t="shared" si="17"/>
        <v>1.1102230246251565E-16</v>
      </c>
      <c r="Q133" s="22"/>
    </row>
    <row r="134" spans="1:17" ht="15" customHeight="1" x14ac:dyDescent="0.25">
      <c r="A134" s="22" t="s">
        <v>241</v>
      </c>
      <c r="B134" s="22">
        <v>11</v>
      </c>
      <c r="C134" s="22" t="s">
        <v>231</v>
      </c>
      <c r="D134" s="22">
        <v>-60</v>
      </c>
      <c r="E134" s="22" t="s">
        <v>180</v>
      </c>
      <c r="F134" s="22" t="s">
        <v>183</v>
      </c>
      <c r="G134" s="23">
        <v>45040</v>
      </c>
      <c r="H134" s="22">
        <v>17</v>
      </c>
      <c r="I134" s="22">
        <v>6</v>
      </c>
      <c r="J134" s="22">
        <f t="shared" si="12"/>
        <v>179</v>
      </c>
      <c r="K134" s="22">
        <f t="shared" si="13"/>
        <v>11</v>
      </c>
      <c r="L134" s="22">
        <f t="shared" si="14"/>
        <v>168</v>
      </c>
      <c r="M134" s="22">
        <f t="shared" si="15"/>
        <v>212</v>
      </c>
      <c r="N134" s="24">
        <f t="shared" si="16"/>
        <v>0.79245283018867929</v>
      </c>
      <c r="O134" s="24">
        <v>0.79245283018867896</v>
      </c>
      <c r="P134" s="24">
        <f t="shared" si="17"/>
        <v>3.3306690738754696E-16</v>
      </c>
      <c r="Q134" s="22"/>
    </row>
    <row r="135" spans="1:17" ht="15" customHeight="1" x14ac:dyDescent="0.25">
      <c r="A135" s="22" t="s">
        <v>241</v>
      </c>
      <c r="B135" s="22">
        <v>12</v>
      </c>
      <c r="C135" s="22" t="s">
        <v>239</v>
      </c>
      <c r="D135" s="22">
        <v>-45</v>
      </c>
      <c r="E135" s="22" t="s">
        <v>180</v>
      </c>
      <c r="F135" s="22" t="s">
        <v>183</v>
      </c>
      <c r="G135" s="23">
        <v>45040</v>
      </c>
      <c r="H135" s="22">
        <v>15</v>
      </c>
      <c r="I135" s="22">
        <v>11</v>
      </c>
      <c r="J135" s="22">
        <f t="shared" si="12"/>
        <v>194</v>
      </c>
      <c r="K135" s="22">
        <f t="shared" si="13"/>
        <v>22</v>
      </c>
      <c r="L135" s="22">
        <f t="shared" si="14"/>
        <v>172</v>
      </c>
      <c r="M135" s="22">
        <f t="shared" si="15"/>
        <v>212</v>
      </c>
      <c r="N135" s="24">
        <f t="shared" si="16"/>
        <v>0.81132075471698117</v>
      </c>
      <c r="O135" s="24">
        <v>0.81132075471698095</v>
      </c>
      <c r="P135" s="24">
        <f t="shared" si="17"/>
        <v>2.2204460492503131E-16</v>
      </c>
      <c r="Q135" s="22"/>
    </row>
    <row r="136" spans="1:17" ht="15" customHeight="1" x14ac:dyDescent="0.25">
      <c r="A136" s="22" t="s">
        <v>241</v>
      </c>
      <c r="B136" s="22">
        <v>13</v>
      </c>
      <c r="C136" s="22" t="s">
        <v>387</v>
      </c>
      <c r="D136" s="22">
        <v>-30</v>
      </c>
      <c r="E136" s="22" t="s">
        <v>180</v>
      </c>
      <c r="F136" s="22" t="s">
        <v>183</v>
      </c>
      <c r="G136" s="23">
        <v>45040</v>
      </c>
      <c r="H136" s="22">
        <v>7</v>
      </c>
      <c r="I136" s="22">
        <v>24</v>
      </c>
      <c r="J136" s="22">
        <f t="shared" si="12"/>
        <v>201</v>
      </c>
      <c r="K136" s="22">
        <f t="shared" si="13"/>
        <v>46</v>
      </c>
      <c r="L136" s="22">
        <f t="shared" si="14"/>
        <v>155</v>
      </c>
      <c r="M136" s="22">
        <f t="shared" si="15"/>
        <v>212</v>
      </c>
      <c r="N136" s="24">
        <f t="shared" si="16"/>
        <v>0.73113207547169812</v>
      </c>
      <c r="O136" s="24">
        <v>0.73113207547169801</v>
      </c>
      <c r="P136" s="24">
        <f t="shared" si="17"/>
        <v>1.1102230246251565E-16</v>
      </c>
      <c r="Q136" s="22"/>
    </row>
    <row r="137" spans="1:17" ht="15" customHeight="1" x14ac:dyDescent="0.25">
      <c r="A137" s="22" t="s">
        <v>241</v>
      </c>
      <c r="B137" s="22">
        <v>14</v>
      </c>
      <c r="C137" s="22" t="s">
        <v>468</v>
      </c>
      <c r="D137" s="22">
        <v>-15</v>
      </c>
      <c r="E137" s="22" t="s">
        <v>180</v>
      </c>
      <c r="F137" s="22" t="s">
        <v>183</v>
      </c>
      <c r="G137" s="23">
        <v>45040</v>
      </c>
      <c r="H137" s="22">
        <v>4</v>
      </c>
      <c r="I137" s="22">
        <v>27</v>
      </c>
      <c r="J137" s="22">
        <f t="shared" si="12"/>
        <v>205</v>
      </c>
      <c r="K137" s="22">
        <f t="shared" si="13"/>
        <v>73</v>
      </c>
      <c r="L137" s="22">
        <f t="shared" si="14"/>
        <v>132</v>
      </c>
      <c r="M137" s="22">
        <f t="shared" si="15"/>
        <v>212</v>
      </c>
      <c r="N137" s="24">
        <f t="shared" si="16"/>
        <v>0.62264150943396224</v>
      </c>
      <c r="O137" s="24">
        <v>0.62264150943396201</v>
      </c>
      <c r="P137" s="24">
        <f t="shared" si="17"/>
        <v>2.2204460492503131E-16</v>
      </c>
      <c r="Q137" s="22"/>
    </row>
    <row r="138" spans="1:17" ht="15" customHeight="1" x14ac:dyDescent="0.25">
      <c r="A138" s="22" t="s">
        <v>241</v>
      </c>
      <c r="B138" s="22">
        <v>15</v>
      </c>
      <c r="C138" s="22" t="s">
        <v>469</v>
      </c>
      <c r="D138" s="22">
        <v>0</v>
      </c>
      <c r="E138" s="22" t="s">
        <v>180</v>
      </c>
      <c r="F138" s="22" t="s">
        <v>183</v>
      </c>
      <c r="G138" s="23">
        <v>45040</v>
      </c>
      <c r="H138" s="22">
        <v>3</v>
      </c>
      <c r="I138" s="22">
        <v>28</v>
      </c>
      <c r="J138" s="22">
        <f t="shared" si="12"/>
        <v>208</v>
      </c>
      <c r="K138" s="22">
        <f t="shared" si="13"/>
        <v>101</v>
      </c>
      <c r="L138" s="22">
        <f t="shared" si="14"/>
        <v>107</v>
      </c>
      <c r="M138" s="22">
        <f t="shared" si="15"/>
        <v>212</v>
      </c>
      <c r="N138" s="24">
        <f t="shared" si="16"/>
        <v>0.50471698113207553</v>
      </c>
      <c r="O138" s="24">
        <v>0.50471698113207597</v>
      </c>
      <c r="P138" s="24">
        <f t="shared" si="17"/>
        <v>-4.4408920985006262E-16</v>
      </c>
      <c r="Q138" s="22"/>
    </row>
    <row r="139" spans="1:17" ht="15" customHeight="1" x14ac:dyDescent="0.25">
      <c r="A139" s="22" t="s">
        <v>241</v>
      </c>
      <c r="B139" s="22">
        <v>16</v>
      </c>
      <c r="C139" s="22" t="s">
        <v>351</v>
      </c>
      <c r="D139" s="22">
        <v>15</v>
      </c>
      <c r="E139" s="22" t="s">
        <v>180</v>
      </c>
      <c r="F139" s="22" t="s">
        <v>183</v>
      </c>
      <c r="G139" s="23">
        <v>45040</v>
      </c>
      <c r="H139" s="22">
        <v>0</v>
      </c>
      <c r="I139" s="22">
        <v>26</v>
      </c>
      <c r="J139" s="22">
        <f t="shared" si="12"/>
        <v>208</v>
      </c>
      <c r="K139" s="22">
        <f t="shared" si="13"/>
        <v>127</v>
      </c>
      <c r="L139" s="22">
        <f t="shared" si="14"/>
        <v>81</v>
      </c>
      <c r="M139" s="22">
        <f t="shared" si="15"/>
        <v>212</v>
      </c>
      <c r="N139" s="24">
        <f t="shared" si="16"/>
        <v>0.38207547169811323</v>
      </c>
      <c r="O139" s="24">
        <v>0.38207547169811301</v>
      </c>
      <c r="P139" s="24">
        <f t="shared" si="17"/>
        <v>2.2204460492503131E-16</v>
      </c>
      <c r="Q139" s="22"/>
    </row>
    <row r="140" spans="1:17" ht="15" customHeight="1" x14ac:dyDescent="0.25">
      <c r="A140" s="22" t="s">
        <v>241</v>
      </c>
      <c r="B140" s="22">
        <v>17</v>
      </c>
      <c r="C140" s="22" t="s">
        <v>311</v>
      </c>
      <c r="D140" s="22">
        <v>30</v>
      </c>
      <c r="E140" s="22" t="s">
        <v>180</v>
      </c>
      <c r="F140" s="22" t="s">
        <v>183</v>
      </c>
      <c r="G140" s="23">
        <v>45040</v>
      </c>
      <c r="H140" s="22">
        <v>1</v>
      </c>
      <c r="I140" s="22">
        <v>22</v>
      </c>
      <c r="J140" s="22">
        <f t="shared" si="12"/>
        <v>209</v>
      </c>
      <c r="K140" s="22">
        <f t="shared" si="13"/>
        <v>149</v>
      </c>
      <c r="L140" s="22">
        <f t="shared" si="14"/>
        <v>60</v>
      </c>
      <c r="M140" s="22">
        <f t="shared" si="15"/>
        <v>212</v>
      </c>
      <c r="N140" s="24">
        <f t="shared" si="16"/>
        <v>0.28301886792452829</v>
      </c>
      <c r="O140" s="24">
        <v>0.28301886792452802</v>
      </c>
      <c r="P140" s="24">
        <f t="shared" si="17"/>
        <v>2.7755575615628914E-16</v>
      </c>
      <c r="Q140" s="22"/>
    </row>
    <row r="141" spans="1:17" ht="15" customHeight="1" x14ac:dyDescent="0.25">
      <c r="A141" s="22" t="s">
        <v>241</v>
      </c>
      <c r="B141" s="22">
        <v>18</v>
      </c>
      <c r="C141" s="22" t="s">
        <v>211</v>
      </c>
      <c r="D141" s="22">
        <v>45</v>
      </c>
      <c r="E141" s="22" t="s">
        <v>180</v>
      </c>
      <c r="F141" s="22" t="s">
        <v>183</v>
      </c>
      <c r="G141" s="23">
        <v>45040</v>
      </c>
      <c r="H141" s="22">
        <v>3</v>
      </c>
      <c r="I141" s="22">
        <v>22</v>
      </c>
      <c r="J141" s="22">
        <f t="shared" si="12"/>
        <v>212</v>
      </c>
      <c r="K141" s="22">
        <f t="shared" si="13"/>
        <v>171</v>
      </c>
      <c r="L141" s="22">
        <f t="shared" si="14"/>
        <v>41</v>
      </c>
      <c r="M141" s="22">
        <f t="shared" si="15"/>
        <v>212</v>
      </c>
      <c r="N141" s="24">
        <f t="shared" si="16"/>
        <v>0.19339622641509435</v>
      </c>
      <c r="O141" s="24">
        <v>0.19339622641509399</v>
      </c>
      <c r="P141" s="24">
        <f t="shared" si="17"/>
        <v>3.6082248300317588E-16</v>
      </c>
      <c r="Q141" s="22"/>
    </row>
    <row r="142" spans="1:17" ht="15" customHeight="1" x14ac:dyDescent="0.25">
      <c r="A142" s="22" t="s">
        <v>246</v>
      </c>
      <c r="B142" s="22">
        <v>0</v>
      </c>
      <c r="C142" s="22" t="s">
        <v>189</v>
      </c>
      <c r="D142" s="22"/>
      <c r="E142" s="22" t="s">
        <v>247</v>
      </c>
      <c r="F142" s="22" t="s">
        <v>205</v>
      </c>
      <c r="G142" s="23">
        <v>33004</v>
      </c>
      <c r="H142" s="22">
        <v>332</v>
      </c>
      <c r="I142" s="22">
        <v>0</v>
      </c>
      <c r="J142" s="22">
        <f t="shared" si="12"/>
        <v>332</v>
      </c>
      <c r="K142" s="22">
        <f t="shared" si="13"/>
        <v>0</v>
      </c>
      <c r="L142" s="22">
        <f t="shared" si="14"/>
        <v>332</v>
      </c>
      <c r="M142" s="22">
        <f t="shared" si="15"/>
        <v>2344</v>
      </c>
      <c r="N142" s="24">
        <f t="shared" si="16"/>
        <v>0.14163822525597269</v>
      </c>
      <c r="O142" s="24">
        <v>0.14230604372053199</v>
      </c>
      <c r="P142" s="24">
        <f t="shared" si="17"/>
        <v>-6.6781846455929439E-4</v>
      </c>
      <c r="Q142" s="22"/>
    </row>
    <row r="143" spans="1:17" ht="15" customHeight="1" x14ac:dyDescent="0.25">
      <c r="A143" s="22" t="s">
        <v>246</v>
      </c>
      <c r="B143" s="22">
        <v>4</v>
      </c>
      <c r="C143" s="22" t="s">
        <v>465</v>
      </c>
      <c r="D143" s="22">
        <v>-165</v>
      </c>
      <c r="E143" s="22" t="s">
        <v>247</v>
      </c>
      <c r="F143" s="22" t="s">
        <v>205</v>
      </c>
      <c r="G143" s="23">
        <v>33004</v>
      </c>
      <c r="H143" s="22">
        <v>137</v>
      </c>
      <c r="I143" s="22">
        <v>6</v>
      </c>
      <c r="J143" s="22">
        <f t="shared" si="12"/>
        <v>469</v>
      </c>
      <c r="K143" s="22">
        <f t="shared" si="13"/>
        <v>6</v>
      </c>
      <c r="L143" s="22">
        <f t="shared" si="14"/>
        <v>463</v>
      </c>
      <c r="M143" s="22">
        <f t="shared" si="15"/>
        <v>2344</v>
      </c>
      <c r="N143" s="24">
        <f t="shared" si="16"/>
        <v>0.19752559726962457</v>
      </c>
      <c r="O143" s="24">
        <v>0.198456922417488</v>
      </c>
      <c r="P143" s="24">
        <f t="shared" si="17"/>
        <v>-9.3132514786342657E-4</v>
      </c>
      <c r="Q143" s="22"/>
    </row>
    <row r="144" spans="1:17" ht="15" customHeight="1" x14ac:dyDescent="0.25">
      <c r="A144" s="22" t="s">
        <v>246</v>
      </c>
      <c r="B144" s="22">
        <v>5</v>
      </c>
      <c r="C144" s="22" t="s">
        <v>466</v>
      </c>
      <c r="D144" s="22">
        <v>-150</v>
      </c>
      <c r="E144" s="22" t="s">
        <v>247</v>
      </c>
      <c r="F144" s="22" t="s">
        <v>205</v>
      </c>
      <c r="G144" s="23">
        <v>33004</v>
      </c>
      <c r="H144" s="22">
        <v>257</v>
      </c>
      <c r="I144" s="22">
        <v>9</v>
      </c>
      <c r="J144" s="22">
        <f t="shared" si="12"/>
        <v>726</v>
      </c>
      <c r="K144" s="22">
        <f t="shared" si="13"/>
        <v>15</v>
      </c>
      <c r="L144" s="22">
        <f t="shared" si="14"/>
        <v>711</v>
      </c>
      <c r="M144" s="22">
        <f t="shared" si="15"/>
        <v>2344</v>
      </c>
      <c r="N144" s="24">
        <f t="shared" si="16"/>
        <v>0.30332764505119453</v>
      </c>
      <c r="O144" s="24">
        <v>0.30475782254607803</v>
      </c>
      <c r="P144" s="24">
        <f t="shared" si="17"/>
        <v>-1.4301774948835E-3</v>
      </c>
      <c r="Q144" s="22"/>
    </row>
    <row r="145" spans="1:17" ht="15" customHeight="1" x14ac:dyDescent="0.25">
      <c r="A145" s="22" t="s">
        <v>246</v>
      </c>
      <c r="B145" s="22">
        <v>6</v>
      </c>
      <c r="C145" s="22" t="s">
        <v>467</v>
      </c>
      <c r="D145" s="22">
        <v>-135</v>
      </c>
      <c r="E145" s="22" t="s">
        <v>247</v>
      </c>
      <c r="F145" s="22" t="s">
        <v>205</v>
      </c>
      <c r="G145" s="23">
        <v>33004</v>
      </c>
      <c r="H145" s="22">
        <v>260</v>
      </c>
      <c r="I145" s="22">
        <v>2</v>
      </c>
      <c r="J145" s="22">
        <f t="shared" si="12"/>
        <v>986</v>
      </c>
      <c r="K145" s="22">
        <f t="shared" si="13"/>
        <v>17</v>
      </c>
      <c r="L145" s="22">
        <f t="shared" si="14"/>
        <v>969</v>
      </c>
      <c r="M145" s="22">
        <f t="shared" si="15"/>
        <v>2344</v>
      </c>
      <c r="N145" s="24">
        <f t="shared" si="16"/>
        <v>0.41339590443686008</v>
      </c>
      <c r="O145" s="24">
        <v>0.41534504929275601</v>
      </c>
      <c r="P145" s="24">
        <f t="shared" si="17"/>
        <v>-1.9491448558959235E-3</v>
      </c>
      <c r="Q145" s="22"/>
    </row>
    <row r="146" spans="1:17" ht="15" customHeight="1" x14ac:dyDescent="0.25">
      <c r="A146" s="22" t="s">
        <v>246</v>
      </c>
      <c r="B146" s="22">
        <v>7</v>
      </c>
      <c r="C146" s="22" t="s">
        <v>212</v>
      </c>
      <c r="D146" s="22">
        <v>-120</v>
      </c>
      <c r="E146" s="22" t="s">
        <v>247</v>
      </c>
      <c r="F146" s="22" t="s">
        <v>205</v>
      </c>
      <c r="G146" s="23">
        <v>33004</v>
      </c>
      <c r="H146" s="22">
        <v>285</v>
      </c>
      <c r="I146" s="22">
        <v>10</v>
      </c>
      <c r="J146" s="22">
        <f t="shared" si="12"/>
        <v>1271</v>
      </c>
      <c r="K146" s="22">
        <f t="shared" si="13"/>
        <v>27</v>
      </c>
      <c r="L146" s="22">
        <f t="shared" si="14"/>
        <v>1244</v>
      </c>
      <c r="M146" s="22">
        <f t="shared" si="15"/>
        <v>2344</v>
      </c>
      <c r="N146" s="24">
        <f t="shared" si="16"/>
        <v>0.53071672354948807</v>
      </c>
      <c r="O146" s="24">
        <v>0.533219031290184</v>
      </c>
      <c r="P146" s="24">
        <f t="shared" si="17"/>
        <v>-2.5023077406959304E-3</v>
      </c>
      <c r="Q146" s="22"/>
    </row>
    <row r="147" spans="1:17" ht="15" customHeight="1" x14ac:dyDescent="0.25">
      <c r="A147" s="22" t="s">
        <v>246</v>
      </c>
      <c r="B147" s="22">
        <v>8</v>
      </c>
      <c r="C147" s="22" t="s">
        <v>226</v>
      </c>
      <c r="D147" s="22">
        <v>-105</v>
      </c>
      <c r="E147" s="22" t="s">
        <v>247</v>
      </c>
      <c r="F147" s="22" t="s">
        <v>205</v>
      </c>
      <c r="G147" s="23">
        <v>33004</v>
      </c>
      <c r="H147" s="22">
        <v>186</v>
      </c>
      <c r="I147" s="22">
        <v>31</v>
      </c>
      <c r="J147" s="22">
        <f t="shared" si="12"/>
        <v>1457</v>
      </c>
      <c r="K147" s="22">
        <f t="shared" si="13"/>
        <v>58</v>
      </c>
      <c r="L147" s="22">
        <f t="shared" si="14"/>
        <v>1399</v>
      </c>
      <c r="M147" s="22">
        <f t="shared" si="15"/>
        <v>2344</v>
      </c>
      <c r="N147" s="24">
        <f t="shared" si="16"/>
        <v>0.59684300341296925</v>
      </c>
      <c r="O147" s="24">
        <v>0.59965709387055299</v>
      </c>
      <c r="P147" s="24">
        <f t="shared" si="17"/>
        <v>-2.81409045758374E-3</v>
      </c>
      <c r="Q147" s="22"/>
    </row>
    <row r="148" spans="1:17" ht="15" customHeight="1" x14ac:dyDescent="0.25">
      <c r="A148" s="22" t="s">
        <v>246</v>
      </c>
      <c r="B148" s="22">
        <v>9</v>
      </c>
      <c r="C148" s="22" t="s">
        <v>264</v>
      </c>
      <c r="D148" s="22">
        <v>-90</v>
      </c>
      <c r="E148" s="22" t="s">
        <v>247</v>
      </c>
      <c r="F148" s="22" t="s">
        <v>205</v>
      </c>
      <c r="G148" s="23">
        <v>33004</v>
      </c>
      <c r="H148" s="22">
        <v>278</v>
      </c>
      <c r="I148" s="22">
        <v>69</v>
      </c>
      <c r="J148" s="22">
        <f t="shared" si="12"/>
        <v>1735</v>
      </c>
      <c r="K148" s="22">
        <f t="shared" si="13"/>
        <v>127</v>
      </c>
      <c r="L148" s="22">
        <f t="shared" si="14"/>
        <v>1608</v>
      </c>
      <c r="M148" s="22">
        <f t="shared" si="15"/>
        <v>2344</v>
      </c>
      <c r="N148" s="24">
        <f t="shared" si="16"/>
        <v>0.68600682593856654</v>
      </c>
      <c r="O148" s="24">
        <v>0.68924132018859796</v>
      </c>
      <c r="P148" s="24">
        <f t="shared" si="17"/>
        <v>-3.2344942500314167E-3</v>
      </c>
      <c r="Q148" s="22"/>
    </row>
    <row r="149" spans="1:17" ht="15" customHeight="1" x14ac:dyDescent="0.25">
      <c r="A149" s="22" t="s">
        <v>246</v>
      </c>
      <c r="B149" s="22">
        <v>10</v>
      </c>
      <c r="C149" s="22" t="s">
        <v>191</v>
      </c>
      <c r="D149" s="22">
        <v>-75</v>
      </c>
      <c r="E149" s="22" t="s">
        <v>247</v>
      </c>
      <c r="F149" s="22" t="s">
        <v>205</v>
      </c>
      <c r="G149" s="23">
        <v>33004</v>
      </c>
      <c r="H149" s="22">
        <v>163</v>
      </c>
      <c r="I149" s="22">
        <v>60</v>
      </c>
      <c r="J149" s="22">
        <f t="shared" si="12"/>
        <v>1898</v>
      </c>
      <c r="K149" s="22">
        <f t="shared" si="13"/>
        <v>187</v>
      </c>
      <c r="L149" s="22">
        <f t="shared" si="14"/>
        <v>1711</v>
      </c>
      <c r="M149" s="22">
        <f t="shared" si="15"/>
        <v>2344</v>
      </c>
      <c r="N149" s="24">
        <f t="shared" si="16"/>
        <v>0.7299488054607508</v>
      </c>
      <c r="O149" s="24">
        <v>0.73339048435490795</v>
      </c>
      <c r="P149" s="24">
        <f t="shared" si="17"/>
        <v>-3.4416788941571408E-3</v>
      </c>
      <c r="Q149" s="22"/>
    </row>
    <row r="150" spans="1:17" ht="15" customHeight="1" x14ac:dyDescent="0.25">
      <c r="A150" s="22" t="s">
        <v>246</v>
      </c>
      <c r="B150" s="22">
        <v>11</v>
      </c>
      <c r="C150" s="22" t="s">
        <v>231</v>
      </c>
      <c r="D150" s="22">
        <v>-60</v>
      </c>
      <c r="E150" s="22" t="s">
        <v>247</v>
      </c>
      <c r="F150" s="22" t="s">
        <v>205</v>
      </c>
      <c r="G150" s="23">
        <v>33004</v>
      </c>
      <c r="H150" s="22">
        <v>147</v>
      </c>
      <c r="I150" s="22">
        <v>65</v>
      </c>
      <c r="J150" s="22">
        <f t="shared" si="12"/>
        <v>2045</v>
      </c>
      <c r="K150" s="22">
        <f t="shared" si="13"/>
        <v>252</v>
      </c>
      <c r="L150" s="22">
        <f t="shared" si="14"/>
        <v>1793</v>
      </c>
      <c r="M150" s="22">
        <f t="shared" si="15"/>
        <v>2344</v>
      </c>
      <c r="N150" s="24">
        <f t="shared" si="16"/>
        <v>0.76493174061433444</v>
      </c>
      <c r="O150" s="24">
        <v>0.76853836262323205</v>
      </c>
      <c r="P150" s="24">
        <f t="shared" si="17"/>
        <v>-3.6066220088976086E-3</v>
      </c>
      <c r="Q150" s="22"/>
    </row>
    <row r="151" spans="1:17" ht="15" customHeight="1" x14ac:dyDescent="0.25">
      <c r="A151" s="22" t="s">
        <v>246</v>
      </c>
      <c r="B151" s="22">
        <v>12</v>
      </c>
      <c r="C151" s="22" t="s">
        <v>239</v>
      </c>
      <c r="D151" s="22">
        <v>-45</v>
      </c>
      <c r="E151" s="22" t="s">
        <v>247</v>
      </c>
      <c r="F151" s="22" t="s">
        <v>205</v>
      </c>
      <c r="G151" s="23">
        <v>33004</v>
      </c>
      <c r="H151" s="22">
        <v>74</v>
      </c>
      <c r="I151" s="22">
        <v>70</v>
      </c>
      <c r="J151" s="22">
        <f t="shared" si="12"/>
        <v>2119</v>
      </c>
      <c r="K151" s="22">
        <f t="shared" si="13"/>
        <v>322</v>
      </c>
      <c r="L151" s="22">
        <f t="shared" si="14"/>
        <v>1797</v>
      </c>
      <c r="M151" s="22">
        <f t="shared" si="15"/>
        <v>2344</v>
      </c>
      <c r="N151" s="24">
        <f t="shared" si="16"/>
        <v>0.76663822525597269</v>
      </c>
      <c r="O151" s="24">
        <v>0.77025289327046698</v>
      </c>
      <c r="P151" s="24">
        <f t="shared" si="17"/>
        <v>-3.6146680144942822E-3</v>
      </c>
      <c r="Q151" s="22"/>
    </row>
    <row r="152" spans="1:17" ht="15" customHeight="1" x14ac:dyDescent="0.25">
      <c r="A152" s="22" t="s">
        <v>246</v>
      </c>
      <c r="B152" s="22">
        <v>13</v>
      </c>
      <c r="C152" s="22" t="s">
        <v>387</v>
      </c>
      <c r="D152" s="22">
        <v>-30</v>
      </c>
      <c r="E152" s="22" t="s">
        <v>247</v>
      </c>
      <c r="F152" s="22" t="s">
        <v>205</v>
      </c>
      <c r="G152" s="23">
        <v>33004</v>
      </c>
      <c r="H152" s="22">
        <v>76</v>
      </c>
      <c r="I152" s="22">
        <v>103</v>
      </c>
      <c r="J152" s="22">
        <f t="shared" si="12"/>
        <v>2195</v>
      </c>
      <c r="K152" s="22">
        <f t="shared" si="13"/>
        <v>425</v>
      </c>
      <c r="L152" s="22">
        <f t="shared" si="14"/>
        <v>1770</v>
      </c>
      <c r="M152" s="22">
        <f t="shared" si="15"/>
        <v>2344</v>
      </c>
      <c r="N152" s="24">
        <f t="shared" si="16"/>
        <v>0.75511945392491464</v>
      </c>
      <c r="O152" s="24">
        <v>0.75867981140162899</v>
      </c>
      <c r="P152" s="24">
        <f t="shared" si="17"/>
        <v>-3.5603574767143487E-3</v>
      </c>
      <c r="Q152" s="22"/>
    </row>
    <row r="153" spans="1:17" ht="15" customHeight="1" x14ac:dyDescent="0.25">
      <c r="A153" s="22" t="s">
        <v>246</v>
      </c>
      <c r="B153" s="22">
        <v>14</v>
      </c>
      <c r="C153" s="22" t="s">
        <v>468</v>
      </c>
      <c r="D153" s="22">
        <v>-15</v>
      </c>
      <c r="E153" s="22" t="s">
        <v>247</v>
      </c>
      <c r="F153" s="22" t="s">
        <v>205</v>
      </c>
      <c r="G153" s="23">
        <v>33004</v>
      </c>
      <c r="H153" s="22">
        <v>44</v>
      </c>
      <c r="I153" s="22">
        <v>149</v>
      </c>
      <c r="J153" s="22">
        <f t="shared" si="12"/>
        <v>2239</v>
      </c>
      <c r="K153" s="22">
        <f t="shared" si="13"/>
        <v>574</v>
      </c>
      <c r="L153" s="22">
        <f t="shared" si="14"/>
        <v>1665</v>
      </c>
      <c r="M153" s="22">
        <f t="shared" si="15"/>
        <v>2344</v>
      </c>
      <c r="N153" s="24">
        <f t="shared" si="16"/>
        <v>0.71032423208191131</v>
      </c>
      <c r="O153" s="24">
        <v>0.71367338191170204</v>
      </c>
      <c r="P153" s="24">
        <f t="shared" si="17"/>
        <v>-3.3491498297907318E-3</v>
      </c>
      <c r="Q153" s="22"/>
    </row>
    <row r="154" spans="1:17" ht="15" customHeight="1" x14ac:dyDescent="0.25">
      <c r="A154" s="22" t="s">
        <v>246</v>
      </c>
      <c r="B154" s="22">
        <v>15</v>
      </c>
      <c r="C154" s="22" t="s">
        <v>469</v>
      </c>
      <c r="D154" s="22">
        <v>0</v>
      </c>
      <c r="E154" s="22" t="s">
        <v>247</v>
      </c>
      <c r="F154" s="22" t="s">
        <v>205</v>
      </c>
      <c r="G154" s="23">
        <v>33004</v>
      </c>
      <c r="H154" s="22">
        <v>47</v>
      </c>
      <c r="I154" s="22">
        <v>199</v>
      </c>
      <c r="J154" s="22">
        <f t="shared" si="12"/>
        <v>2286</v>
      </c>
      <c r="K154" s="22">
        <f t="shared" si="13"/>
        <v>773</v>
      </c>
      <c r="L154" s="22">
        <f t="shared" si="14"/>
        <v>1513</v>
      </c>
      <c r="M154" s="22">
        <f t="shared" si="15"/>
        <v>2344</v>
      </c>
      <c r="N154" s="24">
        <f t="shared" si="16"/>
        <v>0.64547781569965867</v>
      </c>
      <c r="O154" s="24">
        <v>0.64852121731676005</v>
      </c>
      <c r="P154" s="24">
        <f t="shared" si="17"/>
        <v>-3.0434016171013711E-3</v>
      </c>
      <c r="Q154" s="22"/>
    </row>
    <row r="155" spans="1:17" ht="15" customHeight="1" x14ac:dyDescent="0.25">
      <c r="A155" s="22" t="s">
        <v>246</v>
      </c>
      <c r="B155" s="22">
        <v>16</v>
      </c>
      <c r="C155" s="22" t="s">
        <v>351</v>
      </c>
      <c r="D155" s="22">
        <v>15</v>
      </c>
      <c r="E155" s="22" t="s">
        <v>247</v>
      </c>
      <c r="F155" s="22" t="s">
        <v>205</v>
      </c>
      <c r="G155" s="23">
        <v>33004</v>
      </c>
      <c r="H155" s="22">
        <v>28</v>
      </c>
      <c r="I155" s="22">
        <v>274</v>
      </c>
      <c r="J155" s="22">
        <f t="shared" si="12"/>
        <v>2314</v>
      </c>
      <c r="K155" s="22">
        <f t="shared" si="13"/>
        <v>1047</v>
      </c>
      <c r="L155" s="22">
        <f t="shared" si="14"/>
        <v>1267</v>
      </c>
      <c r="M155" s="22">
        <f t="shared" si="15"/>
        <v>2344</v>
      </c>
      <c r="N155" s="24">
        <f t="shared" si="16"/>
        <v>0.54052901023890787</v>
      </c>
      <c r="O155" s="24">
        <v>0.54307758251178695</v>
      </c>
      <c r="P155" s="24">
        <f t="shared" si="17"/>
        <v>-2.5485722728790794E-3</v>
      </c>
      <c r="Q155" s="22"/>
    </row>
    <row r="156" spans="1:17" ht="15" customHeight="1" x14ac:dyDescent="0.25">
      <c r="A156" s="22" t="s">
        <v>246</v>
      </c>
      <c r="B156" s="22">
        <v>17</v>
      </c>
      <c r="C156" s="22" t="s">
        <v>311</v>
      </c>
      <c r="D156" s="22">
        <v>30</v>
      </c>
      <c r="E156" s="22" t="s">
        <v>247</v>
      </c>
      <c r="F156" s="22" t="s">
        <v>205</v>
      </c>
      <c r="G156" s="23">
        <v>33004</v>
      </c>
      <c r="H156" s="22">
        <v>12</v>
      </c>
      <c r="I156" s="22">
        <v>309</v>
      </c>
      <c r="J156" s="22">
        <f t="shared" si="12"/>
        <v>2326</v>
      </c>
      <c r="K156" s="22">
        <f t="shared" si="13"/>
        <v>1356</v>
      </c>
      <c r="L156" s="22">
        <f t="shared" si="14"/>
        <v>970</v>
      </c>
      <c r="M156" s="22">
        <f t="shared" si="15"/>
        <v>2344</v>
      </c>
      <c r="N156" s="24">
        <f t="shared" si="16"/>
        <v>0.41382252559726962</v>
      </c>
      <c r="O156" s="24">
        <v>0.41577368195456499</v>
      </c>
      <c r="P156" s="24">
        <f t="shared" si="17"/>
        <v>-1.9511563572953694E-3</v>
      </c>
      <c r="Q156" s="22"/>
    </row>
    <row r="157" spans="1:17" ht="15" customHeight="1" x14ac:dyDescent="0.25">
      <c r="A157" s="22" t="s">
        <v>246</v>
      </c>
      <c r="B157" s="22">
        <v>18</v>
      </c>
      <c r="C157" s="22" t="s">
        <v>211</v>
      </c>
      <c r="D157" s="22">
        <v>45</v>
      </c>
      <c r="E157" s="22" t="s">
        <v>247</v>
      </c>
      <c r="F157" s="22" t="s">
        <v>205</v>
      </c>
      <c r="G157" s="23">
        <v>33004</v>
      </c>
      <c r="H157" s="22">
        <v>7</v>
      </c>
      <c r="I157" s="22">
        <v>331</v>
      </c>
      <c r="J157" s="22">
        <f t="shared" si="12"/>
        <v>2333</v>
      </c>
      <c r="K157" s="22">
        <f t="shared" si="13"/>
        <v>1687</v>
      </c>
      <c r="L157" s="22">
        <f t="shared" si="14"/>
        <v>646</v>
      </c>
      <c r="M157" s="22">
        <f t="shared" si="15"/>
        <v>2344</v>
      </c>
      <c r="N157" s="24">
        <f t="shared" si="16"/>
        <v>0.27559726962457337</v>
      </c>
      <c r="O157" s="24">
        <v>0.27689669952850399</v>
      </c>
      <c r="P157" s="24">
        <f t="shared" si="17"/>
        <v>-1.2994299039306156E-3</v>
      </c>
      <c r="Q157" s="22"/>
    </row>
    <row r="158" spans="1:17" ht="15" customHeight="1" x14ac:dyDescent="0.25">
      <c r="A158" s="22" t="s">
        <v>246</v>
      </c>
      <c r="B158" s="22">
        <v>19</v>
      </c>
      <c r="C158" s="22" t="s">
        <v>190</v>
      </c>
      <c r="D158" s="22">
        <v>60</v>
      </c>
      <c r="E158" s="22" t="s">
        <v>247</v>
      </c>
      <c r="F158" s="22" t="s">
        <v>205</v>
      </c>
      <c r="G158" s="23">
        <v>33004</v>
      </c>
      <c r="H158" s="22">
        <v>10</v>
      </c>
      <c r="I158" s="22">
        <v>316</v>
      </c>
      <c r="J158" s="22">
        <f t="shared" si="12"/>
        <v>2343</v>
      </c>
      <c r="K158" s="22">
        <f t="shared" si="13"/>
        <v>2003</v>
      </c>
      <c r="L158" s="22">
        <f t="shared" si="14"/>
        <v>340</v>
      </c>
      <c r="M158" s="22">
        <f t="shared" si="15"/>
        <v>2344</v>
      </c>
      <c r="N158" s="24">
        <f t="shared" si="16"/>
        <v>0.14505119453924914</v>
      </c>
      <c r="O158" s="24"/>
      <c r="P158" s="24" t="str">
        <f t="shared" si="17"/>
        <v/>
      </c>
      <c r="Q158" s="22"/>
    </row>
    <row r="159" spans="1:17" ht="15" customHeight="1" x14ac:dyDescent="0.25">
      <c r="A159" s="22" t="s">
        <v>246</v>
      </c>
      <c r="B159" s="22">
        <v>20</v>
      </c>
      <c r="C159" s="22" t="s">
        <v>472</v>
      </c>
      <c r="D159" s="22">
        <v>75</v>
      </c>
      <c r="E159" s="22" t="s">
        <v>247</v>
      </c>
      <c r="F159" s="22" t="s">
        <v>205</v>
      </c>
      <c r="G159" s="23">
        <v>33004</v>
      </c>
      <c r="H159" s="22">
        <v>1</v>
      </c>
      <c r="I159" s="22">
        <v>252</v>
      </c>
      <c r="J159" s="22">
        <f t="shared" si="12"/>
        <v>2344</v>
      </c>
      <c r="K159" s="22">
        <f t="shared" si="13"/>
        <v>2255</v>
      </c>
      <c r="L159" s="22">
        <f t="shared" si="14"/>
        <v>89</v>
      </c>
      <c r="M159" s="22">
        <f t="shared" si="15"/>
        <v>2344</v>
      </c>
      <c r="N159" s="24">
        <f t="shared" si="16"/>
        <v>3.7969283276450515E-2</v>
      </c>
      <c r="O159" s="24"/>
      <c r="P159" s="24" t="str">
        <f t="shared" si="17"/>
        <v/>
      </c>
      <c r="Q159" s="22"/>
    </row>
    <row r="160" spans="1:17" ht="15" customHeight="1" x14ac:dyDescent="0.25">
      <c r="A160" s="22" t="s">
        <v>246</v>
      </c>
      <c r="B160" s="22">
        <v>21</v>
      </c>
      <c r="C160" s="22" t="s">
        <v>250</v>
      </c>
      <c r="D160" s="22">
        <v>90</v>
      </c>
      <c r="E160" s="22" t="s">
        <v>247</v>
      </c>
      <c r="F160" s="22" t="s">
        <v>205</v>
      </c>
      <c r="G160" s="23">
        <v>33004</v>
      </c>
      <c r="H160" s="22">
        <v>0</v>
      </c>
      <c r="I160" s="22">
        <v>3</v>
      </c>
      <c r="J160" s="22">
        <f t="shared" si="12"/>
        <v>2344</v>
      </c>
      <c r="K160" s="22">
        <f t="shared" si="13"/>
        <v>2258</v>
      </c>
      <c r="L160" s="22">
        <f t="shared" si="14"/>
        <v>86</v>
      </c>
      <c r="M160" s="22">
        <f t="shared" si="15"/>
        <v>2344</v>
      </c>
      <c r="N160" s="24">
        <f t="shared" si="16"/>
        <v>3.6689419795221841E-2</v>
      </c>
      <c r="O160" s="24"/>
      <c r="P160" s="24" t="str">
        <f t="shared" si="17"/>
        <v/>
      </c>
      <c r="Q160" s="22"/>
    </row>
    <row r="161" spans="1:17" ht="15" customHeight="1" x14ac:dyDescent="0.25">
      <c r="A161" s="22" t="s">
        <v>256</v>
      </c>
      <c r="B161" s="22">
        <v>0</v>
      </c>
      <c r="C161" s="22" t="s">
        <v>189</v>
      </c>
      <c r="D161" s="22"/>
      <c r="E161" s="22" t="s">
        <v>247</v>
      </c>
      <c r="F161" s="22" t="s">
        <v>205</v>
      </c>
      <c r="G161" s="23">
        <v>35881</v>
      </c>
      <c r="H161" s="22">
        <v>332</v>
      </c>
      <c r="I161" s="22">
        <v>0</v>
      </c>
      <c r="J161" s="22">
        <f t="shared" si="12"/>
        <v>332</v>
      </c>
      <c r="K161" s="22">
        <f t="shared" si="13"/>
        <v>0</v>
      </c>
      <c r="L161" s="22">
        <f t="shared" si="14"/>
        <v>332</v>
      </c>
      <c r="M161" s="22">
        <f t="shared" si="15"/>
        <v>2344</v>
      </c>
      <c r="N161" s="24">
        <f t="shared" si="16"/>
        <v>0.14163822525597269</v>
      </c>
      <c r="O161" s="24">
        <v>0.14230604372053199</v>
      </c>
      <c r="P161" s="24">
        <f t="shared" si="17"/>
        <v>-6.6781846455929439E-4</v>
      </c>
      <c r="Q161" s="22"/>
    </row>
    <row r="162" spans="1:17" ht="15" customHeight="1" x14ac:dyDescent="0.25">
      <c r="A162" s="22" t="s">
        <v>256</v>
      </c>
      <c r="B162" s="22">
        <v>4</v>
      </c>
      <c r="C162" s="22" t="s">
        <v>465</v>
      </c>
      <c r="D162" s="22">
        <v>-165</v>
      </c>
      <c r="E162" s="22" t="s">
        <v>247</v>
      </c>
      <c r="F162" s="22" t="s">
        <v>205</v>
      </c>
      <c r="G162" s="23">
        <v>35881</v>
      </c>
      <c r="H162" s="22">
        <v>137</v>
      </c>
      <c r="I162" s="22">
        <v>6</v>
      </c>
      <c r="J162" s="22">
        <f t="shared" si="12"/>
        <v>469</v>
      </c>
      <c r="K162" s="22">
        <f t="shared" si="13"/>
        <v>6</v>
      </c>
      <c r="L162" s="22">
        <f t="shared" si="14"/>
        <v>463</v>
      </c>
      <c r="M162" s="22">
        <f t="shared" si="15"/>
        <v>2344</v>
      </c>
      <c r="N162" s="24">
        <f t="shared" si="16"/>
        <v>0.19752559726962457</v>
      </c>
      <c r="O162" s="24">
        <v>0.198456922417488</v>
      </c>
      <c r="P162" s="24">
        <f t="shared" si="17"/>
        <v>-9.3132514786342657E-4</v>
      </c>
      <c r="Q162" s="22"/>
    </row>
    <row r="163" spans="1:17" ht="15" customHeight="1" x14ac:dyDescent="0.25">
      <c r="A163" s="22" t="s">
        <v>256</v>
      </c>
      <c r="B163" s="22">
        <v>5</v>
      </c>
      <c r="C163" s="22" t="s">
        <v>466</v>
      </c>
      <c r="D163" s="22">
        <v>-150</v>
      </c>
      <c r="E163" s="22" t="s">
        <v>247</v>
      </c>
      <c r="F163" s="22" t="s">
        <v>205</v>
      </c>
      <c r="G163" s="23">
        <v>35881</v>
      </c>
      <c r="H163" s="22">
        <v>257</v>
      </c>
      <c r="I163" s="22">
        <v>9</v>
      </c>
      <c r="J163" s="22">
        <f t="shared" si="12"/>
        <v>726</v>
      </c>
      <c r="K163" s="22">
        <f t="shared" si="13"/>
        <v>15</v>
      </c>
      <c r="L163" s="22">
        <f t="shared" si="14"/>
        <v>711</v>
      </c>
      <c r="M163" s="22">
        <f t="shared" si="15"/>
        <v>2344</v>
      </c>
      <c r="N163" s="24">
        <f t="shared" si="16"/>
        <v>0.30332764505119453</v>
      </c>
      <c r="O163" s="24">
        <v>0.30475782254607803</v>
      </c>
      <c r="P163" s="24">
        <f t="shared" si="17"/>
        <v>-1.4301774948835E-3</v>
      </c>
      <c r="Q163" s="22"/>
    </row>
    <row r="164" spans="1:17" ht="15" customHeight="1" x14ac:dyDescent="0.25">
      <c r="A164" s="22" t="s">
        <v>256</v>
      </c>
      <c r="B164" s="22">
        <v>6</v>
      </c>
      <c r="C164" s="22" t="s">
        <v>467</v>
      </c>
      <c r="D164" s="22">
        <v>-135</v>
      </c>
      <c r="E164" s="22" t="s">
        <v>247</v>
      </c>
      <c r="F164" s="22" t="s">
        <v>205</v>
      </c>
      <c r="G164" s="23">
        <v>35881</v>
      </c>
      <c r="H164" s="22">
        <v>260</v>
      </c>
      <c r="I164" s="22">
        <v>2</v>
      </c>
      <c r="J164" s="22">
        <f t="shared" si="12"/>
        <v>986</v>
      </c>
      <c r="K164" s="22">
        <f t="shared" si="13"/>
        <v>17</v>
      </c>
      <c r="L164" s="22">
        <f t="shared" si="14"/>
        <v>969</v>
      </c>
      <c r="M164" s="22">
        <f t="shared" si="15"/>
        <v>2344</v>
      </c>
      <c r="N164" s="24">
        <f t="shared" si="16"/>
        <v>0.41339590443686008</v>
      </c>
      <c r="O164" s="24">
        <v>0.41534504929275601</v>
      </c>
      <c r="P164" s="24">
        <f t="shared" si="17"/>
        <v>-1.9491448558959235E-3</v>
      </c>
      <c r="Q164" s="22"/>
    </row>
    <row r="165" spans="1:17" ht="15" customHeight="1" x14ac:dyDescent="0.25">
      <c r="A165" s="22" t="s">
        <v>256</v>
      </c>
      <c r="B165" s="22">
        <v>7</v>
      </c>
      <c r="C165" s="22" t="s">
        <v>212</v>
      </c>
      <c r="D165" s="22">
        <v>-120</v>
      </c>
      <c r="E165" s="22" t="s">
        <v>247</v>
      </c>
      <c r="F165" s="22" t="s">
        <v>205</v>
      </c>
      <c r="G165" s="23">
        <v>35881</v>
      </c>
      <c r="H165" s="22">
        <v>285</v>
      </c>
      <c r="I165" s="22">
        <v>10</v>
      </c>
      <c r="J165" s="22">
        <f t="shared" si="12"/>
        <v>1271</v>
      </c>
      <c r="K165" s="22">
        <f t="shared" si="13"/>
        <v>27</v>
      </c>
      <c r="L165" s="22">
        <f t="shared" si="14"/>
        <v>1244</v>
      </c>
      <c r="M165" s="22">
        <f t="shared" si="15"/>
        <v>2344</v>
      </c>
      <c r="N165" s="24">
        <f t="shared" si="16"/>
        <v>0.53071672354948807</v>
      </c>
      <c r="O165" s="24">
        <v>0.533219031290184</v>
      </c>
      <c r="P165" s="24">
        <f t="shared" si="17"/>
        <v>-2.5023077406959304E-3</v>
      </c>
      <c r="Q165" s="22"/>
    </row>
    <row r="166" spans="1:17" ht="15" customHeight="1" x14ac:dyDescent="0.25">
      <c r="A166" s="22" t="s">
        <v>256</v>
      </c>
      <c r="B166" s="22">
        <v>8</v>
      </c>
      <c r="C166" s="22" t="s">
        <v>226</v>
      </c>
      <c r="D166" s="22">
        <v>-105</v>
      </c>
      <c r="E166" s="22" t="s">
        <v>247</v>
      </c>
      <c r="F166" s="22" t="s">
        <v>205</v>
      </c>
      <c r="G166" s="23">
        <v>35881</v>
      </c>
      <c r="H166" s="22">
        <v>186</v>
      </c>
      <c r="I166" s="22">
        <v>31</v>
      </c>
      <c r="J166" s="22">
        <f t="shared" si="12"/>
        <v>1457</v>
      </c>
      <c r="K166" s="22">
        <f t="shared" si="13"/>
        <v>58</v>
      </c>
      <c r="L166" s="22">
        <f t="shared" si="14"/>
        <v>1399</v>
      </c>
      <c r="M166" s="22">
        <f t="shared" si="15"/>
        <v>2344</v>
      </c>
      <c r="N166" s="24">
        <f t="shared" si="16"/>
        <v>0.59684300341296925</v>
      </c>
      <c r="O166" s="24">
        <v>0.59965709387055299</v>
      </c>
      <c r="P166" s="24">
        <f t="shared" si="17"/>
        <v>-2.81409045758374E-3</v>
      </c>
      <c r="Q166" s="22"/>
    </row>
    <row r="167" spans="1:17" ht="15" customHeight="1" x14ac:dyDescent="0.25">
      <c r="A167" s="22" t="s">
        <v>256</v>
      </c>
      <c r="B167" s="22">
        <v>9</v>
      </c>
      <c r="C167" s="22" t="s">
        <v>264</v>
      </c>
      <c r="D167" s="22">
        <v>-90</v>
      </c>
      <c r="E167" s="22" t="s">
        <v>247</v>
      </c>
      <c r="F167" s="22" t="s">
        <v>205</v>
      </c>
      <c r="G167" s="23">
        <v>35881</v>
      </c>
      <c r="H167" s="22">
        <v>278</v>
      </c>
      <c r="I167" s="22">
        <v>69</v>
      </c>
      <c r="J167" s="22">
        <f t="shared" si="12"/>
        <v>1735</v>
      </c>
      <c r="K167" s="22">
        <f t="shared" si="13"/>
        <v>127</v>
      </c>
      <c r="L167" s="22">
        <f t="shared" si="14"/>
        <v>1608</v>
      </c>
      <c r="M167" s="22">
        <f t="shared" si="15"/>
        <v>2344</v>
      </c>
      <c r="N167" s="24">
        <f t="shared" si="16"/>
        <v>0.68600682593856654</v>
      </c>
      <c r="O167" s="24">
        <v>0.68924132018859796</v>
      </c>
      <c r="P167" s="24">
        <f t="shared" si="17"/>
        <v>-3.2344942500314167E-3</v>
      </c>
      <c r="Q167" s="22"/>
    </row>
    <row r="168" spans="1:17" ht="15" customHeight="1" x14ac:dyDescent="0.25">
      <c r="A168" s="22" t="s">
        <v>256</v>
      </c>
      <c r="B168" s="22">
        <v>10</v>
      </c>
      <c r="C168" s="22" t="s">
        <v>191</v>
      </c>
      <c r="D168" s="22">
        <v>-75</v>
      </c>
      <c r="E168" s="22" t="s">
        <v>247</v>
      </c>
      <c r="F168" s="22" t="s">
        <v>205</v>
      </c>
      <c r="G168" s="23">
        <v>35881</v>
      </c>
      <c r="H168" s="22">
        <v>163</v>
      </c>
      <c r="I168" s="22">
        <v>60</v>
      </c>
      <c r="J168" s="22">
        <f t="shared" si="12"/>
        <v>1898</v>
      </c>
      <c r="K168" s="22">
        <f t="shared" si="13"/>
        <v>187</v>
      </c>
      <c r="L168" s="22">
        <f t="shared" si="14"/>
        <v>1711</v>
      </c>
      <c r="M168" s="22">
        <f t="shared" si="15"/>
        <v>2344</v>
      </c>
      <c r="N168" s="24">
        <f t="shared" si="16"/>
        <v>0.7299488054607508</v>
      </c>
      <c r="O168" s="24">
        <v>0.73339048435490795</v>
      </c>
      <c r="P168" s="24">
        <f t="shared" si="17"/>
        <v>-3.4416788941571408E-3</v>
      </c>
      <c r="Q168" s="22"/>
    </row>
    <row r="169" spans="1:17" ht="15" customHeight="1" x14ac:dyDescent="0.25">
      <c r="A169" s="22" t="s">
        <v>256</v>
      </c>
      <c r="B169" s="22">
        <v>11</v>
      </c>
      <c r="C169" s="22" t="s">
        <v>231</v>
      </c>
      <c r="D169" s="22">
        <v>-60</v>
      </c>
      <c r="E169" s="22" t="s">
        <v>247</v>
      </c>
      <c r="F169" s="22" t="s">
        <v>205</v>
      </c>
      <c r="G169" s="23">
        <v>35881</v>
      </c>
      <c r="H169" s="22">
        <v>147</v>
      </c>
      <c r="I169" s="22">
        <v>65</v>
      </c>
      <c r="J169" s="22">
        <f t="shared" si="12"/>
        <v>2045</v>
      </c>
      <c r="K169" s="22">
        <f t="shared" si="13"/>
        <v>252</v>
      </c>
      <c r="L169" s="22">
        <f t="shared" si="14"/>
        <v>1793</v>
      </c>
      <c r="M169" s="22">
        <f t="shared" si="15"/>
        <v>2344</v>
      </c>
      <c r="N169" s="24">
        <f t="shared" si="16"/>
        <v>0.76493174061433444</v>
      </c>
      <c r="O169" s="24">
        <v>0.76853836262323205</v>
      </c>
      <c r="P169" s="24">
        <f t="shared" si="17"/>
        <v>-3.6066220088976086E-3</v>
      </c>
      <c r="Q169" s="22"/>
    </row>
    <row r="170" spans="1:17" ht="15" customHeight="1" x14ac:dyDescent="0.25">
      <c r="A170" s="22" t="s">
        <v>256</v>
      </c>
      <c r="B170" s="22">
        <v>12</v>
      </c>
      <c r="C170" s="22" t="s">
        <v>239</v>
      </c>
      <c r="D170" s="22">
        <v>-45</v>
      </c>
      <c r="E170" s="22" t="s">
        <v>247</v>
      </c>
      <c r="F170" s="22" t="s">
        <v>205</v>
      </c>
      <c r="G170" s="23">
        <v>35881</v>
      </c>
      <c r="H170" s="22">
        <v>74</v>
      </c>
      <c r="I170" s="22">
        <v>70</v>
      </c>
      <c r="J170" s="22">
        <f t="shared" si="12"/>
        <v>2119</v>
      </c>
      <c r="K170" s="22">
        <f t="shared" si="13"/>
        <v>322</v>
      </c>
      <c r="L170" s="22">
        <f t="shared" si="14"/>
        <v>1797</v>
      </c>
      <c r="M170" s="22">
        <f t="shared" si="15"/>
        <v>2344</v>
      </c>
      <c r="N170" s="24">
        <f t="shared" si="16"/>
        <v>0.76663822525597269</v>
      </c>
      <c r="O170" s="24">
        <v>0.77025289327046698</v>
      </c>
      <c r="P170" s="24">
        <f t="shared" si="17"/>
        <v>-3.6146680144942822E-3</v>
      </c>
      <c r="Q170" s="22"/>
    </row>
    <row r="171" spans="1:17" ht="15" customHeight="1" x14ac:dyDescent="0.25">
      <c r="A171" s="22" t="s">
        <v>256</v>
      </c>
      <c r="B171" s="22">
        <v>13</v>
      </c>
      <c r="C171" s="22" t="s">
        <v>387</v>
      </c>
      <c r="D171" s="22">
        <v>-30</v>
      </c>
      <c r="E171" s="22" t="s">
        <v>247</v>
      </c>
      <c r="F171" s="22" t="s">
        <v>205</v>
      </c>
      <c r="G171" s="23">
        <v>35881</v>
      </c>
      <c r="H171" s="22">
        <v>76</v>
      </c>
      <c r="I171" s="22">
        <v>103</v>
      </c>
      <c r="J171" s="22">
        <f t="shared" si="12"/>
        <v>2195</v>
      </c>
      <c r="K171" s="22">
        <f t="shared" si="13"/>
        <v>425</v>
      </c>
      <c r="L171" s="22">
        <f t="shared" si="14"/>
        <v>1770</v>
      </c>
      <c r="M171" s="22">
        <f t="shared" si="15"/>
        <v>2344</v>
      </c>
      <c r="N171" s="24">
        <f t="shared" si="16"/>
        <v>0.75511945392491464</v>
      </c>
      <c r="O171" s="24">
        <v>0.75867981140162899</v>
      </c>
      <c r="P171" s="24">
        <f t="shared" si="17"/>
        <v>-3.5603574767143487E-3</v>
      </c>
      <c r="Q171" s="22"/>
    </row>
    <row r="172" spans="1:17" ht="15" customHeight="1" x14ac:dyDescent="0.25">
      <c r="A172" s="22" t="s">
        <v>256</v>
      </c>
      <c r="B172" s="22">
        <v>14</v>
      </c>
      <c r="C172" s="22" t="s">
        <v>468</v>
      </c>
      <c r="D172" s="22">
        <v>-15</v>
      </c>
      <c r="E172" s="22" t="s">
        <v>247</v>
      </c>
      <c r="F172" s="22" t="s">
        <v>205</v>
      </c>
      <c r="G172" s="23">
        <v>35881</v>
      </c>
      <c r="H172" s="22">
        <v>44</v>
      </c>
      <c r="I172" s="22">
        <v>149</v>
      </c>
      <c r="J172" s="22">
        <f t="shared" si="12"/>
        <v>2239</v>
      </c>
      <c r="K172" s="22">
        <f t="shared" si="13"/>
        <v>574</v>
      </c>
      <c r="L172" s="22">
        <f t="shared" si="14"/>
        <v>1665</v>
      </c>
      <c r="M172" s="22">
        <f t="shared" si="15"/>
        <v>2344</v>
      </c>
      <c r="N172" s="24">
        <f t="shared" si="16"/>
        <v>0.71032423208191131</v>
      </c>
      <c r="O172" s="24">
        <v>0.71367338191170204</v>
      </c>
      <c r="P172" s="24">
        <f t="shared" si="17"/>
        <v>-3.3491498297907318E-3</v>
      </c>
      <c r="Q172" s="22"/>
    </row>
    <row r="173" spans="1:17" ht="15" customHeight="1" x14ac:dyDescent="0.25">
      <c r="A173" s="22" t="s">
        <v>256</v>
      </c>
      <c r="B173" s="22">
        <v>15</v>
      </c>
      <c r="C173" s="22" t="s">
        <v>469</v>
      </c>
      <c r="D173" s="22">
        <v>0</v>
      </c>
      <c r="E173" s="22" t="s">
        <v>247</v>
      </c>
      <c r="F173" s="22" t="s">
        <v>205</v>
      </c>
      <c r="G173" s="23">
        <v>35881</v>
      </c>
      <c r="H173" s="22">
        <v>47</v>
      </c>
      <c r="I173" s="22">
        <v>199</v>
      </c>
      <c r="J173" s="22">
        <f t="shared" si="12"/>
        <v>2286</v>
      </c>
      <c r="K173" s="22">
        <f t="shared" si="13"/>
        <v>773</v>
      </c>
      <c r="L173" s="22">
        <f t="shared" si="14"/>
        <v>1513</v>
      </c>
      <c r="M173" s="22">
        <f t="shared" si="15"/>
        <v>2344</v>
      </c>
      <c r="N173" s="24">
        <f t="shared" si="16"/>
        <v>0.64547781569965867</v>
      </c>
      <c r="O173" s="24">
        <v>0.64852121731676005</v>
      </c>
      <c r="P173" s="24">
        <f t="shared" si="17"/>
        <v>-3.0434016171013711E-3</v>
      </c>
      <c r="Q173" s="22"/>
    </row>
    <row r="174" spans="1:17" ht="15" customHeight="1" x14ac:dyDescent="0.25">
      <c r="A174" s="22" t="s">
        <v>256</v>
      </c>
      <c r="B174" s="22">
        <v>16</v>
      </c>
      <c r="C174" s="22" t="s">
        <v>351</v>
      </c>
      <c r="D174" s="22">
        <v>15</v>
      </c>
      <c r="E174" s="22" t="s">
        <v>247</v>
      </c>
      <c r="F174" s="22" t="s">
        <v>205</v>
      </c>
      <c r="G174" s="23">
        <v>35881</v>
      </c>
      <c r="H174" s="22">
        <v>28</v>
      </c>
      <c r="I174" s="22">
        <v>274</v>
      </c>
      <c r="J174" s="22">
        <f t="shared" si="12"/>
        <v>2314</v>
      </c>
      <c r="K174" s="22">
        <f t="shared" si="13"/>
        <v>1047</v>
      </c>
      <c r="L174" s="22">
        <f t="shared" si="14"/>
        <v>1267</v>
      </c>
      <c r="M174" s="22">
        <f t="shared" si="15"/>
        <v>2344</v>
      </c>
      <c r="N174" s="24">
        <f t="shared" si="16"/>
        <v>0.54052901023890787</v>
      </c>
      <c r="O174" s="24">
        <v>0.54307758251178695</v>
      </c>
      <c r="P174" s="24">
        <f t="shared" si="17"/>
        <v>-2.5485722728790794E-3</v>
      </c>
      <c r="Q174" s="22"/>
    </row>
    <row r="175" spans="1:17" ht="15" customHeight="1" x14ac:dyDescent="0.25">
      <c r="A175" s="22" t="s">
        <v>256</v>
      </c>
      <c r="B175" s="22">
        <v>17</v>
      </c>
      <c r="C175" s="22" t="s">
        <v>311</v>
      </c>
      <c r="D175" s="22">
        <v>30</v>
      </c>
      <c r="E175" s="22" t="s">
        <v>247</v>
      </c>
      <c r="F175" s="22" t="s">
        <v>205</v>
      </c>
      <c r="G175" s="23">
        <v>35881</v>
      </c>
      <c r="H175" s="22">
        <v>12</v>
      </c>
      <c r="I175" s="22">
        <v>309</v>
      </c>
      <c r="J175" s="22">
        <f t="shared" si="12"/>
        <v>2326</v>
      </c>
      <c r="K175" s="22">
        <f t="shared" si="13"/>
        <v>1356</v>
      </c>
      <c r="L175" s="22">
        <f t="shared" si="14"/>
        <v>970</v>
      </c>
      <c r="M175" s="22">
        <f t="shared" si="15"/>
        <v>2344</v>
      </c>
      <c r="N175" s="24">
        <f t="shared" si="16"/>
        <v>0.41382252559726962</v>
      </c>
      <c r="O175" s="24">
        <v>0.41577368195456499</v>
      </c>
      <c r="P175" s="24">
        <f t="shared" si="17"/>
        <v>-1.9511563572953694E-3</v>
      </c>
      <c r="Q175" s="22"/>
    </row>
    <row r="176" spans="1:17" ht="15" customHeight="1" x14ac:dyDescent="0.25">
      <c r="A176" s="22" t="s">
        <v>256</v>
      </c>
      <c r="B176" s="22">
        <v>18</v>
      </c>
      <c r="C176" s="22" t="s">
        <v>211</v>
      </c>
      <c r="D176" s="22">
        <v>45</v>
      </c>
      <c r="E176" s="22" t="s">
        <v>247</v>
      </c>
      <c r="F176" s="22" t="s">
        <v>205</v>
      </c>
      <c r="G176" s="23">
        <v>35881</v>
      </c>
      <c r="H176" s="22">
        <v>7</v>
      </c>
      <c r="I176" s="22">
        <v>331</v>
      </c>
      <c r="J176" s="22">
        <f t="shared" si="12"/>
        <v>2333</v>
      </c>
      <c r="K176" s="22">
        <f t="shared" si="13"/>
        <v>1687</v>
      </c>
      <c r="L176" s="22">
        <f t="shared" si="14"/>
        <v>646</v>
      </c>
      <c r="M176" s="22">
        <f t="shared" si="15"/>
        <v>2344</v>
      </c>
      <c r="N176" s="24">
        <f t="shared" si="16"/>
        <v>0.27559726962457337</v>
      </c>
      <c r="O176" s="24">
        <v>0.27689669952850399</v>
      </c>
      <c r="P176" s="24">
        <f t="shared" si="17"/>
        <v>-1.2994299039306156E-3</v>
      </c>
      <c r="Q176" s="22"/>
    </row>
    <row r="177" spans="1:17" ht="15" customHeight="1" x14ac:dyDescent="0.25">
      <c r="A177" s="22" t="s">
        <v>256</v>
      </c>
      <c r="B177" s="22">
        <v>19</v>
      </c>
      <c r="C177" s="22" t="s">
        <v>190</v>
      </c>
      <c r="D177" s="22">
        <v>60</v>
      </c>
      <c r="E177" s="22" t="s">
        <v>247</v>
      </c>
      <c r="F177" s="22" t="s">
        <v>205</v>
      </c>
      <c r="G177" s="23">
        <v>35881</v>
      </c>
      <c r="H177" s="22">
        <v>10</v>
      </c>
      <c r="I177" s="22">
        <v>316</v>
      </c>
      <c r="J177" s="22">
        <f t="shared" si="12"/>
        <v>2343</v>
      </c>
      <c r="K177" s="22">
        <f t="shared" si="13"/>
        <v>2003</v>
      </c>
      <c r="L177" s="22">
        <f t="shared" si="14"/>
        <v>340</v>
      </c>
      <c r="M177" s="22">
        <f t="shared" si="15"/>
        <v>2344</v>
      </c>
      <c r="N177" s="24">
        <f t="shared" si="16"/>
        <v>0.14505119453924914</v>
      </c>
      <c r="O177" s="24">
        <v>0.145735105015002</v>
      </c>
      <c r="P177" s="24">
        <f t="shared" si="17"/>
        <v>-6.8391047575286357E-4</v>
      </c>
      <c r="Q177" s="22"/>
    </row>
    <row r="178" spans="1:17" ht="15" customHeight="1" x14ac:dyDescent="0.25">
      <c r="A178" s="22" t="s">
        <v>256</v>
      </c>
      <c r="B178" s="22">
        <v>20</v>
      </c>
      <c r="C178" s="22" t="s">
        <v>472</v>
      </c>
      <c r="D178" s="22">
        <v>75</v>
      </c>
      <c r="E178" s="22" t="s">
        <v>247</v>
      </c>
      <c r="F178" s="22" t="s">
        <v>205</v>
      </c>
      <c r="G178" s="23">
        <v>35881</v>
      </c>
      <c r="H178" s="22">
        <v>1</v>
      </c>
      <c r="I178" s="22">
        <v>252</v>
      </c>
      <c r="J178" s="22">
        <f t="shared" si="12"/>
        <v>2344</v>
      </c>
      <c r="K178" s="22">
        <f t="shared" si="13"/>
        <v>2255</v>
      </c>
      <c r="L178" s="22">
        <f t="shared" si="14"/>
        <v>89</v>
      </c>
      <c r="M178" s="22">
        <f t="shared" si="15"/>
        <v>2344</v>
      </c>
      <c r="N178" s="24">
        <f t="shared" si="16"/>
        <v>3.7969283276450515E-2</v>
      </c>
      <c r="O178" s="24">
        <v>3.8148306900985897E-2</v>
      </c>
      <c r="P178" s="24">
        <f t="shared" si="17"/>
        <v>-1.7902362453538212E-4</v>
      </c>
      <c r="Q178" s="22"/>
    </row>
    <row r="179" spans="1:17" ht="15" customHeight="1" x14ac:dyDescent="0.25">
      <c r="A179" s="22" t="s">
        <v>256</v>
      </c>
      <c r="B179" s="22">
        <v>21</v>
      </c>
      <c r="C179" s="22" t="s">
        <v>250</v>
      </c>
      <c r="D179" s="22">
        <v>90</v>
      </c>
      <c r="E179" s="22" t="s">
        <v>247</v>
      </c>
      <c r="F179" s="22" t="s">
        <v>205</v>
      </c>
      <c r="G179" s="23">
        <v>35881</v>
      </c>
      <c r="H179" s="22">
        <v>0</v>
      </c>
      <c r="I179" s="22">
        <v>3</v>
      </c>
      <c r="J179" s="22">
        <f t="shared" si="12"/>
        <v>2344</v>
      </c>
      <c r="K179" s="22">
        <f t="shared" si="13"/>
        <v>2258</v>
      </c>
      <c r="L179" s="22">
        <f t="shared" si="14"/>
        <v>86</v>
      </c>
      <c r="M179" s="22">
        <f t="shared" si="15"/>
        <v>2344</v>
      </c>
      <c r="N179" s="24">
        <f t="shared" si="16"/>
        <v>3.6689419795221841E-2</v>
      </c>
      <c r="O179" s="24">
        <v>3.6862408915559398E-2</v>
      </c>
      <c r="P179" s="24">
        <f t="shared" si="17"/>
        <v>-1.7298912033755776E-4</v>
      </c>
      <c r="Q179" s="22"/>
    </row>
    <row r="180" spans="1:17" ht="15" customHeight="1" x14ac:dyDescent="0.25">
      <c r="A180" s="22" t="s">
        <v>261</v>
      </c>
      <c r="B180" s="22">
        <v>0</v>
      </c>
      <c r="C180" s="22" t="s">
        <v>189</v>
      </c>
      <c r="D180" s="22"/>
      <c r="E180" s="22" t="s">
        <v>247</v>
      </c>
      <c r="F180" s="22" t="s">
        <v>183</v>
      </c>
      <c r="G180" s="23">
        <v>38099</v>
      </c>
      <c r="H180" s="22">
        <v>7</v>
      </c>
      <c r="I180" s="22">
        <v>0</v>
      </c>
      <c r="J180" s="22">
        <f t="shared" si="12"/>
        <v>7</v>
      </c>
      <c r="K180" s="22">
        <f t="shared" si="13"/>
        <v>0</v>
      </c>
      <c r="L180" s="22">
        <f t="shared" si="14"/>
        <v>7</v>
      </c>
      <c r="M180" s="22">
        <f t="shared" si="15"/>
        <v>929</v>
      </c>
      <c r="N180" s="24">
        <f t="shared" si="16"/>
        <v>7.5349838536060282E-3</v>
      </c>
      <c r="O180" s="24"/>
      <c r="P180" s="24" t="str">
        <f t="shared" si="17"/>
        <v/>
      </c>
      <c r="Q180" s="22"/>
    </row>
    <row r="181" spans="1:17" ht="15" customHeight="1" x14ac:dyDescent="0.25">
      <c r="A181" s="22" t="s">
        <v>261</v>
      </c>
      <c r="B181" s="22">
        <v>3</v>
      </c>
      <c r="C181" s="22" t="s">
        <v>464</v>
      </c>
      <c r="D181" s="22">
        <v>-180</v>
      </c>
      <c r="E181" s="22" t="s">
        <v>247</v>
      </c>
      <c r="F181" s="22" t="s">
        <v>183</v>
      </c>
      <c r="G181" s="23">
        <v>38099</v>
      </c>
      <c r="H181" s="22">
        <v>17</v>
      </c>
      <c r="I181" s="22">
        <v>0</v>
      </c>
      <c r="J181" s="22">
        <f t="shared" si="12"/>
        <v>24</v>
      </c>
      <c r="K181" s="22">
        <f t="shared" si="13"/>
        <v>0</v>
      </c>
      <c r="L181" s="22">
        <f t="shared" si="14"/>
        <v>24</v>
      </c>
      <c r="M181" s="22">
        <f t="shared" si="15"/>
        <v>929</v>
      </c>
      <c r="N181" s="24">
        <f t="shared" si="16"/>
        <v>2.5834230355220669E-2</v>
      </c>
      <c r="O181" s="24"/>
      <c r="P181" s="24" t="str">
        <f t="shared" si="17"/>
        <v/>
      </c>
      <c r="Q181" s="22"/>
    </row>
    <row r="182" spans="1:17" ht="15" customHeight="1" x14ac:dyDescent="0.25">
      <c r="A182" s="22" t="s">
        <v>261</v>
      </c>
      <c r="B182" s="22">
        <v>4</v>
      </c>
      <c r="C182" s="22" t="s">
        <v>465</v>
      </c>
      <c r="D182" s="22">
        <v>-165</v>
      </c>
      <c r="E182" s="22" t="s">
        <v>247</v>
      </c>
      <c r="F182" s="22" t="s">
        <v>183</v>
      </c>
      <c r="G182" s="23">
        <v>38099</v>
      </c>
      <c r="H182" s="22">
        <v>66</v>
      </c>
      <c r="I182" s="22">
        <v>1</v>
      </c>
      <c r="J182" s="22">
        <f t="shared" si="12"/>
        <v>90</v>
      </c>
      <c r="K182" s="22">
        <f t="shared" si="13"/>
        <v>1</v>
      </c>
      <c r="L182" s="22">
        <f t="shared" si="14"/>
        <v>89</v>
      </c>
      <c r="M182" s="22">
        <f t="shared" si="15"/>
        <v>929</v>
      </c>
      <c r="N182" s="24">
        <f t="shared" si="16"/>
        <v>9.5801937567276646E-2</v>
      </c>
      <c r="O182" s="24"/>
      <c r="P182" s="24" t="str">
        <f t="shared" si="17"/>
        <v/>
      </c>
      <c r="Q182" s="22"/>
    </row>
    <row r="183" spans="1:17" ht="15" customHeight="1" x14ac:dyDescent="0.25">
      <c r="A183" s="22" t="s">
        <v>261</v>
      </c>
      <c r="B183" s="22">
        <v>5</v>
      </c>
      <c r="C183" s="22" t="s">
        <v>466</v>
      </c>
      <c r="D183" s="22">
        <v>-150</v>
      </c>
      <c r="E183" s="22" t="s">
        <v>247</v>
      </c>
      <c r="F183" s="22" t="s">
        <v>183</v>
      </c>
      <c r="G183" s="23">
        <v>38099</v>
      </c>
      <c r="H183" s="22">
        <v>94</v>
      </c>
      <c r="I183" s="22">
        <v>0</v>
      </c>
      <c r="J183" s="22">
        <f t="shared" si="12"/>
        <v>184</v>
      </c>
      <c r="K183" s="22">
        <f t="shared" si="13"/>
        <v>1</v>
      </c>
      <c r="L183" s="22">
        <f t="shared" si="14"/>
        <v>183</v>
      </c>
      <c r="M183" s="22">
        <f t="shared" si="15"/>
        <v>929</v>
      </c>
      <c r="N183" s="24">
        <f t="shared" si="16"/>
        <v>0.1969860064585576</v>
      </c>
      <c r="O183" s="24"/>
      <c r="P183" s="24" t="str">
        <f t="shared" si="17"/>
        <v/>
      </c>
      <c r="Q183" s="22"/>
    </row>
    <row r="184" spans="1:17" ht="15" customHeight="1" x14ac:dyDescent="0.25">
      <c r="A184" s="22" t="s">
        <v>261</v>
      </c>
      <c r="B184" s="22">
        <v>6</v>
      </c>
      <c r="C184" s="22" t="s">
        <v>467</v>
      </c>
      <c r="D184" s="22">
        <v>-135</v>
      </c>
      <c r="E184" s="22" t="s">
        <v>247</v>
      </c>
      <c r="F184" s="22" t="s">
        <v>183</v>
      </c>
      <c r="G184" s="23">
        <v>38099</v>
      </c>
      <c r="H184" s="22">
        <v>132</v>
      </c>
      <c r="I184" s="22">
        <v>8</v>
      </c>
      <c r="J184" s="22">
        <f t="shared" si="12"/>
        <v>316</v>
      </c>
      <c r="K184" s="22">
        <f t="shared" si="13"/>
        <v>9</v>
      </c>
      <c r="L184" s="22">
        <f t="shared" si="14"/>
        <v>307</v>
      </c>
      <c r="M184" s="22">
        <f t="shared" si="15"/>
        <v>929</v>
      </c>
      <c r="N184" s="24">
        <f t="shared" si="16"/>
        <v>0.33046286329386437</v>
      </c>
      <c r="O184" s="24"/>
      <c r="P184" s="24" t="str">
        <f t="shared" si="17"/>
        <v/>
      </c>
      <c r="Q184" s="22"/>
    </row>
    <row r="185" spans="1:17" ht="15" customHeight="1" x14ac:dyDescent="0.25">
      <c r="A185" s="22" t="s">
        <v>261</v>
      </c>
      <c r="B185" s="22">
        <v>7</v>
      </c>
      <c r="C185" s="22" t="s">
        <v>212</v>
      </c>
      <c r="D185" s="22">
        <v>-120</v>
      </c>
      <c r="E185" s="22" t="s">
        <v>247</v>
      </c>
      <c r="F185" s="22" t="s">
        <v>183</v>
      </c>
      <c r="G185" s="23">
        <v>38099</v>
      </c>
      <c r="H185" s="22">
        <v>151</v>
      </c>
      <c r="I185" s="22">
        <v>28</v>
      </c>
      <c r="J185" s="22">
        <f t="shared" si="12"/>
        <v>467</v>
      </c>
      <c r="K185" s="22">
        <f t="shared" si="13"/>
        <v>37</v>
      </c>
      <c r="L185" s="22">
        <f t="shared" si="14"/>
        <v>430</v>
      </c>
      <c r="M185" s="22">
        <f t="shared" si="15"/>
        <v>929</v>
      </c>
      <c r="N185" s="24">
        <f t="shared" si="16"/>
        <v>0.46286329386437031</v>
      </c>
      <c r="O185" s="24"/>
      <c r="P185" s="24" t="str">
        <f t="shared" si="17"/>
        <v/>
      </c>
      <c r="Q185" s="22"/>
    </row>
    <row r="186" spans="1:17" ht="15" customHeight="1" x14ac:dyDescent="0.25">
      <c r="A186" s="22" t="s">
        <v>261</v>
      </c>
      <c r="B186" s="22">
        <v>8</v>
      </c>
      <c r="C186" s="22" t="s">
        <v>226</v>
      </c>
      <c r="D186" s="22">
        <v>-105</v>
      </c>
      <c r="E186" s="22" t="s">
        <v>247</v>
      </c>
      <c r="F186" s="22" t="s">
        <v>183</v>
      </c>
      <c r="G186" s="23">
        <v>38099</v>
      </c>
      <c r="H186" s="22">
        <v>121</v>
      </c>
      <c r="I186" s="22">
        <v>32</v>
      </c>
      <c r="J186" s="22">
        <f t="shared" si="12"/>
        <v>588</v>
      </c>
      <c r="K186" s="22">
        <f t="shared" si="13"/>
        <v>69</v>
      </c>
      <c r="L186" s="22">
        <f t="shared" si="14"/>
        <v>519</v>
      </c>
      <c r="M186" s="22">
        <f t="shared" si="15"/>
        <v>929</v>
      </c>
      <c r="N186" s="24">
        <f t="shared" si="16"/>
        <v>0.55866523143164692</v>
      </c>
      <c r="O186" s="24"/>
      <c r="P186" s="24" t="str">
        <f t="shared" si="17"/>
        <v/>
      </c>
      <c r="Q186" s="22"/>
    </row>
    <row r="187" spans="1:17" ht="15" customHeight="1" x14ac:dyDescent="0.25">
      <c r="A187" s="22" t="s">
        <v>261</v>
      </c>
      <c r="B187" s="22">
        <v>9</v>
      </c>
      <c r="C187" s="22" t="s">
        <v>264</v>
      </c>
      <c r="D187" s="22">
        <v>-90</v>
      </c>
      <c r="E187" s="22" t="s">
        <v>247</v>
      </c>
      <c r="F187" s="22" t="s">
        <v>183</v>
      </c>
      <c r="G187" s="23">
        <v>38099</v>
      </c>
      <c r="H187" s="22">
        <v>93</v>
      </c>
      <c r="I187" s="22">
        <v>75</v>
      </c>
      <c r="J187" s="22">
        <f t="shared" si="12"/>
        <v>681</v>
      </c>
      <c r="K187" s="22">
        <f t="shared" si="13"/>
        <v>144</v>
      </c>
      <c r="L187" s="22">
        <f t="shared" si="14"/>
        <v>537</v>
      </c>
      <c r="M187" s="22">
        <f t="shared" si="15"/>
        <v>929</v>
      </c>
      <c r="N187" s="24">
        <f t="shared" si="16"/>
        <v>0.57804090419806242</v>
      </c>
      <c r="O187" s="24"/>
      <c r="P187" s="24" t="str">
        <f t="shared" si="17"/>
        <v/>
      </c>
      <c r="Q187" s="22"/>
    </row>
    <row r="188" spans="1:17" ht="15" customHeight="1" x14ac:dyDescent="0.25">
      <c r="A188" s="22" t="s">
        <v>261</v>
      </c>
      <c r="B188" s="22">
        <v>10</v>
      </c>
      <c r="C188" s="22" t="s">
        <v>191</v>
      </c>
      <c r="D188" s="22">
        <v>-75</v>
      </c>
      <c r="E188" s="22" t="s">
        <v>247</v>
      </c>
      <c r="F188" s="22" t="s">
        <v>183</v>
      </c>
      <c r="G188" s="23">
        <v>38099</v>
      </c>
      <c r="H188" s="22">
        <v>92</v>
      </c>
      <c r="I188" s="22">
        <v>93</v>
      </c>
      <c r="J188" s="22">
        <f t="shared" si="12"/>
        <v>773</v>
      </c>
      <c r="K188" s="22">
        <f t="shared" si="13"/>
        <v>237</v>
      </c>
      <c r="L188" s="22">
        <f t="shared" si="14"/>
        <v>536</v>
      </c>
      <c r="M188" s="22">
        <f t="shared" si="15"/>
        <v>929</v>
      </c>
      <c r="N188" s="24">
        <f t="shared" si="16"/>
        <v>0.57696447793326155</v>
      </c>
      <c r="O188" s="24"/>
      <c r="P188" s="24" t="str">
        <f t="shared" si="17"/>
        <v/>
      </c>
      <c r="Q188" s="22"/>
    </row>
    <row r="189" spans="1:17" ht="15" customHeight="1" x14ac:dyDescent="0.25">
      <c r="A189" s="22" t="s">
        <v>261</v>
      </c>
      <c r="B189" s="22">
        <v>11</v>
      </c>
      <c r="C189" s="22" t="s">
        <v>231</v>
      </c>
      <c r="D189" s="22">
        <v>-60</v>
      </c>
      <c r="E189" s="22" t="s">
        <v>247</v>
      </c>
      <c r="F189" s="22" t="s">
        <v>183</v>
      </c>
      <c r="G189" s="23">
        <v>38099</v>
      </c>
      <c r="H189" s="22">
        <v>61</v>
      </c>
      <c r="I189" s="22">
        <v>121</v>
      </c>
      <c r="J189" s="22">
        <f t="shared" si="12"/>
        <v>834</v>
      </c>
      <c r="K189" s="22">
        <f t="shared" si="13"/>
        <v>358</v>
      </c>
      <c r="L189" s="22">
        <f t="shared" si="14"/>
        <v>476</v>
      </c>
      <c r="M189" s="22">
        <f t="shared" si="15"/>
        <v>929</v>
      </c>
      <c r="N189" s="24">
        <f t="shared" si="16"/>
        <v>0.51237890204520986</v>
      </c>
      <c r="O189" s="24"/>
      <c r="P189" s="24" t="str">
        <f t="shared" si="17"/>
        <v/>
      </c>
      <c r="Q189" s="22"/>
    </row>
    <row r="190" spans="1:17" ht="15" customHeight="1" x14ac:dyDescent="0.25">
      <c r="A190" s="22" t="s">
        <v>261</v>
      </c>
      <c r="B190" s="22">
        <v>12</v>
      </c>
      <c r="C190" s="22" t="s">
        <v>239</v>
      </c>
      <c r="D190" s="22">
        <v>-45</v>
      </c>
      <c r="E190" s="22" t="s">
        <v>247</v>
      </c>
      <c r="F190" s="22" t="s">
        <v>183</v>
      </c>
      <c r="G190" s="23">
        <v>38099</v>
      </c>
      <c r="H190" s="22">
        <v>32</v>
      </c>
      <c r="I190" s="22">
        <v>119</v>
      </c>
      <c r="J190" s="22">
        <f t="shared" si="12"/>
        <v>866</v>
      </c>
      <c r="K190" s="22">
        <f t="shared" si="13"/>
        <v>477</v>
      </c>
      <c r="L190" s="22">
        <f t="shared" si="14"/>
        <v>389</v>
      </c>
      <c r="M190" s="22">
        <f t="shared" si="15"/>
        <v>929</v>
      </c>
      <c r="N190" s="24">
        <f t="shared" si="16"/>
        <v>0.41872981700753498</v>
      </c>
      <c r="O190" s="24"/>
      <c r="P190" s="24" t="str">
        <f t="shared" si="17"/>
        <v/>
      </c>
      <c r="Q190" s="22"/>
    </row>
    <row r="191" spans="1:17" ht="15" customHeight="1" x14ac:dyDescent="0.25">
      <c r="A191" s="22" t="s">
        <v>261</v>
      </c>
      <c r="B191" s="22">
        <v>13</v>
      </c>
      <c r="C191" s="22" t="s">
        <v>387</v>
      </c>
      <c r="D191" s="22">
        <v>-30</v>
      </c>
      <c r="E191" s="22" t="s">
        <v>247</v>
      </c>
      <c r="F191" s="22" t="s">
        <v>183</v>
      </c>
      <c r="G191" s="23">
        <v>38099</v>
      </c>
      <c r="H191" s="22">
        <v>18</v>
      </c>
      <c r="I191" s="22">
        <v>120</v>
      </c>
      <c r="J191" s="22">
        <f t="shared" si="12"/>
        <v>884</v>
      </c>
      <c r="K191" s="22">
        <f t="shared" si="13"/>
        <v>597</v>
      </c>
      <c r="L191" s="22">
        <f t="shared" si="14"/>
        <v>287</v>
      </c>
      <c r="M191" s="22">
        <f t="shared" si="15"/>
        <v>929</v>
      </c>
      <c r="N191" s="24">
        <f t="shared" si="16"/>
        <v>0.30893433799784714</v>
      </c>
      <c r="O191" s="24"/>
      <c r="P191" s="24" t="str">
        <f t="shared" si="17"/>
        <v/>
      </c>
      <c r="Q191" s="22"/>
    </row>
    <row r="192" spans="1:17" ht="15" customHeight="1" x14ac:dyDescent="0.25">
      <c r="A192" s="22" t="s">
        <v>261</v>
      </c>
      <c r="B192" s="22">
        <v>14</v>
      </c>
      <c r="C192" s="22" t="s">
        <v>468</v>
      </c>
      <c r="D192" s="22">
        <v>-15</v>
      </c>
      <c r="E192" s="22" t="s">
        <v>247</v>
      </c>
      <c r="F192" s="22" t="s">
        <v>183</v>
      </c>
      <c r="G192" s="23">
        <v>38099</v>
      </c>
      <c r="H192" s="22">
        <v>12</v>
      </c>
      <c r="I192" s="22">
        <v>77</v>
      </c>
      <c r="J192" s="22">
        <f t="shared" si="12"/>
        <v>896</v>
      </c>
      <c r="K192" s="22">
        <f t="shared" si="13"/>
        <v>674</v>
      </c>
      <c r="L192" s="22">
        <f t="shared" si="14"/>
        <v>222</v>
      </c>
      <c r="M192" s="22">
        <f t="shared" si="15"/>
        <v>929</v>
      </c>
      <c r="N192" s="24">
        <f t="shared" si="16"/>
        <v>0.23896663078579117</v>
      </c>
      <c r="O192" s="24"/>
      <c r="P192" s="24" t="str">
        <f t="shared" si="17"/>
        <v/>
      </c>
      <c r="Q192" s="22"/>
    </row>
    <row r="193" spans="1:17" ht="15" customHeight="1" x14ac:dyDescent="0.25">
      <c r="A193" s="22" t="s">
        <v>261</v>
      </c>
      <c r="B193" s="22">
        <v>15</v>
      </c>
      <c r="C193" s="22" t="s">
        <v>469</v>
      </c>
      <c r="D193" s="22">
        <v>0</v>
      </c>
      <c r="E193" s="22" t="s">
        <v>247</v>
      </c>
      <c r="F193" s="22" t="s">
        <v>183</v>
      </c>
      <c r="G193" s="23">
        <v>38099</v>
      </c>
      <c r="H193" s="22">
        <v>17</v>
      </c>
      <c r="I193" s="22">
        <v>69</v>
      </c>
      <c r="J193" s="22">
        <f t="shared" si="12"/>
        <v>913</v>
      </c>
      <c r="K193" s="22">
        <f t="shared" si="13"/>
        <v>743</v>
      </c>
      <c r="L193" s="22">
        <f t="shared" si="14"/>
        <v>170</v>
      </c>
      <c r="M193" s="22">
        <f t="shared" si="15"/>
        <v>929</v>
      </c>
      <c r="N193" s="24">
        <f t="shared" si="16"/>
        <v>0.18299246501614638</v>
      </c>
      <c r="O193" s="24"/>
      <c r="P193" s="24" t="str">
        <f t="shared" si="17"/>
        <v/>
      </c>
      <c r="Q193" s="22"/>
    </row>
    <row r="194" spans="1:17" ht="15" customHeight="1" x14ac:dyDescent="0.25">
      <c r="A194" s="22" t="s">
        <v>261</v>
      </c>
      <c r="B194" s="22">
        <v>16</v>
      </c>
      <c r="C194" s="22" t="s">
        <v>351</v>
      </c>
      <c r="D194" s="22">
        <v>15</v>
      </c>
      <c r="E194" s="22" t="s">
        <v>247</v>
      </c>
      <c r="F194" s="22" t="s">
        <v>183</v>
      </c>
      <c r="G194" s="23">
        <v>38099</v>
      </c>
      <c r="H194" s="22">
        <v>5</v>
      </c>
      <c r="I194" s="22">
        <v>63</v>
      </c>
      <c r="J194" s="22">
        <f t="shared" ref="J194:J257" si="18">SUMIFS($H$2:$H$1200,$A$2:$A$1200,$A194,$B$2:$B$1200,"&lt;="&amp;$B194)</f>
        <v>918</v>
      </c>
      <c r="K194" s="22">
        <f t="shared" ref="K194:K257" si="19">SUMIFS($I$2:$I$1200,$A$2:$A$1200,$A194,$B$2:$B$1200,"&lt;="&amp;$B194)</f>
        <v>806</v>
      </c>
      <c r="L194" s="22">
        <f t="shared" ref="L194:L257" si="20">J194-K194</f>
        <v>112</v>
      </c>
      <c r="M194" s="22">
        <f t="shared" ref="M194:M257" si="21">SUMIF($A$2:$A$1200,$A194,$H$2:$H$1200)</f>
        <v>929</v>
      </c>
      <c r="N194" s="24">
        <f t="shared" ref="N194:N257" si="22">IF(M194=0,"",L194/M194)</f>
        <v>0.12055974165769645</v>
      </c>
      <c r="O194" s="24"/>
      <c r="P194" s="24" t="str">
        <f t="shared" ref="P194:P257" si="23">IF(OR(N194="",O194=""),"",N194-O194)</f>
        <v/>
      </c>
      <c r="Q194" s="22"/>
    </row>
    <row r="195" spans="1:17" ht="15" customHeight="1" x14ac:dyDescent="0.25">
      <c r="A195" s="22" t="s">
        <v>261</v>
      </c>
      <c r="B195" s="22">
        <v>17</v>
      </c>
      <c r="C195" s="22" t="s">
        <v>311</v>
      </c>
      <c r="D195" s="22">
        <v>30</v>
      </c>
      <c r="E195" s="22" t="s">
        <v>247</v>
      </c>
      <c r="F195" s="22" t="s">
        <v>183</v>
      </c>
      <c r="G195" s="23">
        <v>38099</v>
      </c>
      <c r="H195" s="22">
        <v>5</v>
      </c>
      <c r="I195" s="22">
        <v>36</v>
      </c>
      <c r="J195" s="22">
        <f t="shared" si="18"/>
        <v>923</v>
      </c>
      <c r="K195" s="22">
        <f t="shared" si="19"/>
        <v>842</v>
      </c>
      <c r="L195" s="22">
        <f t="shared" si="20"/>
        <v>81</v>
      </c>
      <c r="M195" s="22">
        <f t="shared" si="21"/>
        <v>929</v>
      </c>
      <c r="N195" s="24">
        <f t="shared" si="22"/>
        <v>8.7190527448869751E-2</v>
      </c>
      <c r="O195" s="24"/>
      <c r="P195" s="24" t="str">
        <f t="shared" si="23"/>
        <v/>
      </c>
      <c r="Q195" s="22"/>
    </row>
    <row r="196" spans="1:17" ht="15" customHeight="1" x14ac:dyDescent="0.25">
      <c r="A196" s="22" t="s">
        <v>261</v>
      </c>
      <c r="B196" s="22">
        <v>18</v>
      </c>
      <c r="C196" s="22" t="s">
        <v>211</v>
      </c>
      <c r="D196" s="22">
        <v>45</v>
      </c>
      <c r="E196" s="22" t="s">
        <v>247</v>
      </c>
      <c r="F196" s="22" t="s">
        <v>183</v>
      </c>
      <c r="G196" s="23">
        <v>38099</v>
      </c>
      <c r="H196" s="22">
        <v>6</v>
      </c>
      <c r="I196" s="22">
        <v>23</v>
      </c>
      <c r="J196" s="22">
        <f t="shared" si="18"/>
        <v>929</v>
      </c>
      <c r="K196" s="22">
        <f t="shared" si="19"/>
        <v>865</v>
      </c>
      <c r="L196" s="22">
        <f t="shared" si="20"/>
        <v>64</v>
      </c>
      <c r="M196" s="22">
        <f t="shared" si="21"/>
        <v>929</v>
      </c>
      <c r="N196" s="24">
        <f t="shared" si="22"/>
        <v>6.8891280947255107E-2</v>
      </c>
      <c r="O196" s="24"/>
      <c r="P196" s="24" t="str">
        <f t="shared" si="23"/>
        <v/>
      </c>
      <c r="Q196" s="22"/>
    </row>
    <row r="197" spans="1:17" ht="15" customHeight="1" x14ac:dyDescent="0.25">
      <c r="A197" s="22" t="s">
        <v>267</v>
      </c>
      <c r="B197" s="22">
        <v>0</v>
      </c>
      <c r="C197" s="22" t="s">
        <v>189</v>
      </c>
      <c r="D197" s="22"/>
      <c r="E197" s="22" t="s">
        <v>247</v>
      </c>
      <c r="F197" s="22" t="s">
        <v>183</v>
      </c>
      <c r="G197" s="23">
        <v>38099</v>
      </c>
      <c r="H197" s="22">
        <v>7</v>
      </c>
      <c r="I197" s="22">
        <v>0</v>
      </c>
      <c r="J197" s="22">
        <f t="shared" si="18"/>
        <v>7</v>
      </c>
      <c r="K197" s="22">
        <f t="shared" si="19"/>
        <v>0</v>
      </c>
      <c r="L197" s="22">
        <f t="shared" si="20"/>
        <v>7</v>
      </c>
      <c r="M197" s="22">
        <f t="shared" si="21"/>
        <v>929</v>
      </c>
      <c r="N197" s="24">
        <f t="shared" si="22"/>
        <v>7.5349838536060282E-3</v>
      </c>
      <c r="O197" s="24">
        <v>7.5349838536060299E-3</v>
      </c>
      <c r="P197" s="24">
        <f t="shared" si="23"/>
        <v>-1.7347234759768071E-18</v>
      </c>
      <c r="Q197" s="22"/>
    </row>
    <row r="198" spans="1:17" ht="15" customHeight="1" x14ac:dyDescent="0.25">
      <c r="A198" s="22" t="s">
        <v>267</v>
      </c>
      <c r="B198" s="22">
        <v>3</v>
      </c>
      <c r="C198" s="22" t="s">
        <v>464</v>
      </c>
      <c r="D198" s="22">
        <v>-180</v>
      </c>
      <c r="E198" s="22" t="s">
        <v>247</v>
      </c>
      <c r="F198" s="22" t="s">
        <v>183</v>
      </c>
      <c r="G198" s="23">
        <v>38099</v>
      </c>
      <c r="H198" s="22">
        <v>17</v>
      </c>
      <c r="I198" s="22">
        <v>0</v>
      </c>
      <c r="J198" s="22">
        <f t="shared" si="18"/>
        <v>24</v>
      </c>
      <c r="K198" s="22">
        <f t="shared" si="19"/>
        <v>0</v>
      </c>
      <c r="L198" s="22">
        <f t="shared" si="20"/>
        <v>24</v>
      </c>
      <c r="M198" s="22">
        <f t="shared" si="21"/>
        <v>929</v>
      </c>
      <c r="N198" s="24">
        <f t="shared" si="22"/>
        <v>2.5834230355220669E-2</v>
      </c>
      <c r="O198" s="24">
        <v>2.58342303552207E-2</v>
      </c>
      <c r="P198" s="24">
        <f t="shared" si="23"/>
        <v>-3.1225022567582528E-17</v>
      </c>
      <c r="Q198" s="22"/>
    </row>
    <row r="199" spans="1:17" ht="15" customHeight="1" x14ac:dyDescent="0.25">
      <c r="A199" s="22" t="s">
        <v>267</v>
      </c>
      <c r="B199" s="22">
        <v>4</v>
      </c>
      <c r="C199" s="22" t="s">
        <v>465</v>
      </c>
      <c r="D199" s="22">
        <v>-165</v>
      </c>
      <c r="E199" s="22" t="s">
        <v>247</v>
      </c>
      <c r="F199" s="22" t="s">
        <v>183</v>
      </c>
      <c r="G199" s="23">
        <v>38099</v>
      </c>
      <c r="H199" s="22">
        <v>66</v>
      </c>
      <c r="I199" s="22">
        <v>1</v>
      </c>
      <c r="J199" s="22">
        <f t="shared" si="18"/>
        <v>90</v>
      </c>
      <c r="K199" s="22">
        <f t="shared" si="19"/>
        <v>1</v>
      </c>
      <c r="L199" s="22">
        <f t="shared" si="20"/>
        <v>89</v>
      </c>
      <c r="M199" s="22">
        <f t="shared" si="21"/>
        <v>929</v>
      </c>
      <c r="N199" s="24">
        <f t="shared" si="22"/>
        <v>9.5801937567276646E-2</v>
      </c>
      <c r="O199" s="24">
        <v>9.5801937567276702E-2</v>
      </c>
      <c r="P199" s="24">
        <f t="shared" si="23"/>
        <v>-5.5511151231257827E-17</v>
      </c>
      <c r="Q199" s="22"/>
    </row>
    <row r="200" spans="1:17" ht="15" customHeight="1" x14ac:dyDescent="0.25">
      <c r="A200" s="22" t="s">
        <v>267</v>
      </c>
      <c r="B200" s="22">
        <v>5</v>
      </c>
      <c r="C200" s="22" t="s">
        <v>466</v>
      </c>
      <c r="D200" s="22">
        <v>-150</v>
      </c>
      <c r="E200" s="22" t="s">
        <v>247</v>
      </c>
      <c r="F200" s="22" t="s">
        <v>183</v>
      </c>
      <c r="G200" s="23">
        <v>38099</v>
      </c>
      <c r="H200" s="22">
        <v>94</v>
      </c>
      <c r="I200" s="22">
        <v>0</v>
      </c>
      <c r="J200" s="22">
        <f t="shared" si="18"/>
        <v>184</v>
      </c>
      <c r="K200" s="22">
        <f t="shared" si="19"/>
        <v>1</v>
      </c>
      <c r="L200" s="22">
        <f t="shared" si="20"/>
        <v>183</v>
      </c>
      <c r="M200" s="22">
        <f t="shared" si="21"/>
        <v>929</v>
      </c>
      <c r="N200" s="24">
        <f t="shared" si="22"/>
        <v>0.1969860064585576</v>
      </c>
      <c r="O200" s="24">
        <v>0.19698600645855799</v>
      </c>
      <c r="P200" s="24">
        <f t="shared" si="23"/>
        <v>-3.8857805861880479E-16</v>
      </c>
      <c r="Q200" s="22"/>
    </row>
    <row r="201" spans="1:17" ht="15" customHeight="1" x14ac:dyDescent="0.25">
      <c r="A201" s="22" t="s">
        <v>267</v>
      </c>
      <c r="B201" s="22">
        <v>6</v>
      </c>
      <c r="C201" s="22" t="s">
        <v>467</v>
      </c>
      <c r="D201" s="22">
        <v>-135</v>
      </c>
      <c r="E201" s="22" t="s">
        <v>247</v>
      </c>
      <c r="F201" s="22" t="s">
        <v>183</v>
      </c>
      <c r="G201" s="23">
        <v>38099</v>
      </c>
      <c r="H201" s="22">
        <v>132</v>
      </c>
      <c r="I201" s="22">
        <v>8</v>
      </c>
      <c r="J201" s="22">
        <f t="shared" si="18"/>
        <v>316</v>
      </c>
      <c r="K201" s="22">
        <f t="shared" si="19"/>
        <v>9</v>
      </c>
      <c r="L201" s="22">
        <f t="shared" si="20"/>
        <v>307</v>
      </c>
      <c r="M201" s="22">
        <f t="shared" si="21"/>
        <v>929</v>
      </c>
      <c r="N201" s="24">
        <f t="shared" si="22"/>
        <v>0.33046286329386437</v>
      </c>
      <c r="O201" s="24">
        <v>0.33046286329386398</v>
      </c>
      <c r="P201" s="24">
        <f t="shared" si="23"/>
        <v>3.8857805861880479E-16</v>
      </c>
      <c r="Q201" s="22"/>
    </row>
    <row r="202" spans="1:17" ht="15" customHeight="1" x14ac:dyDescent="0.25">
      <c r="A202" s="22" t="s">
        <v>267</v>
      </c>
      <c r="B202" s="22">
        <v>7</v>
      </c>
      <c r="C202" s="22" t="s">
        <v>212</v>
      </c>
      <c r="D202" s="22">
        <v>-120</v>
      </c>
      <c r="E202" s="22" t="s">
        <v>247</v>
      </c>
      <c r="F202" s="22" t="s">
        <v>183</v>
      </c>
      <c r="G202" s="23">
        <v>38099</v>
      </c>
      <c r="H202" s="22">
        <v>151</v>
      </c>
      <c r="I202" s="22">
        <v>28</v>
      </c>
      <c r="J202" s="22">
        <f t="shared" si="18"/>
        <v>467</v>
      </c>
      <c r="K202" s="22">
        <f t="shared" si="19"/>
        <v>37</v>
      </c>
      <c r="L202" s="22">
        <f t="shared" si="20"/>
        <v>430</v>
      </c>
      <c r="M202" s="22">
        <f t="shared" si="21"/>
        <v>929</v>
      </c>
      <c r="N202" s="24">
        <f t="shared" si="22"/>
        <v>0.46286329386437031</v>
      </c>
      <c r="O202" s="24">
        <v>0.46286329386436997</v>
      </c>
      <c r="P202" s="24">
        <f t="shared" si="23"/>
        <v>3.3306690738754696E-16</v>
      </c>
      <c r="Q202" s="22"/>
    </row>
    <row r="203" spans="1:17" ht="15" customHeight="1" x14ac:dyDescent="0.25">
      <c r="A203" s="22" t="s">
        <v>267</v>
      </c>
      <c r="B203" s="22">
        <v>8</v>
      </c>
      <c r="C203" s="22" t="s">
        <v>226</v>
      </c>
      <c r="D203" s="22">
        <v>-105</v>
      </c>
      <c r="E203" s="22" t="s">
        <v>247</v>
      </c>
      <c r="F203" s="22" t="s">
        <v>183</v>
      </c>
      <c r="G203" s="23">
        <v>38099</v>
      </c>
      <c r="H203" s="22">
        <v>121</v>
      </c>
      <c r="I203" s="22">
        <v>32</v>
      </c>
      <c r="J203" s="22">
        <f t="shared" si="18"/>
        <v>588</v>
      </c>
      <c r="K203" s="22">
        <f t="shared" si="19"/>
        <v>69</v>
      </c>
      <c r="L203" s="22">
        <f t="shared" si="20"/>
        <v>519</v>
      </c>
      <c r="M203" s="22">
        <f t="shared" si="21"/>
        <v>929</v>
      </c>
      <c r="N203" s="24">
        <f t="shared" si="22"/>
        <v>0.55866523143164692</v>
      </c>
      <c r="O203" s="24">
        <v>0.55866523143164704</v>
      </c>
      <c r="P203" s="24">
        <f t="shared" si="23"/>
        <v>-1.1102230246251565E-16</v>
      </c>
      <c r="Q203" s="22"/>
    </row>
    <row r="204" spans="1:17" ht="15" customHeight="1" x14ac:dyDescent="0.25">
      <c r="A204" s="22" t="s">
        <v>267</v>
      </c>
      <c r="B204" s="22">
        <v>9</v>
      </c>
      <c r="C204" s="22" t="s">
        <v>264</v>
      </c>
      <c r="D204" s="22">
        <v>-90</v>
      </c>
      <c r="E204" s="22" t="s">
        <v>247</v>
      </c>
      <c r="F204" s="22" t="s">
        <v>183</v>
      </c>
      <c r="G204" s="23">
        <v>38099</v>
      </c>
      <c r="H204" s="22">
        <v>93</v>
      </c>
      <c r="I204" s="22">
        <v>75</v>
      </c>
      <c r="J204" s="22">
        <f t="shared" si="18"/>
        <v>681</v>
      </c>
      <c r="K204" s="22">
        <f t="shared" si="19"/>
        <v>144</v>
      </c>
      <c r="L204" s="22">
        <f t="shared" si="20"/>
        <v>537</v>
      </c>
      <c r="M204" s="22">
        <f t="shared" si="21"/>
        <v>929</v>
      </c>
      <c r="N204" s="24">
        <f t="shared" si="22"/>
        <v>0.57804090419806242</v>
      </c>
      <c r="O204" s="24">
        <v>0.57804090419806198</v>
      </c>
      <c r="P204" s="24">
        <f t="shared" si="23"/>
        <v>4.4408920985006262E-16</v>
      </c>
      <c r="Q204" s="22"/>
    </row>
    <row r="205" spans="1:17" ht="15" customHeight="1" x14ac:dyDescent="0.25">
      <c r="A205" s="22" t="s">
        <v>267</v>
      </c>
      <c r="B205" s="22">
        <v>10</v>
      </c>
      <c r="C205" s="22" t="s">
        <v>191</v>
      </c>
      <c r="D205" s="22">
        <v>-75</v>
      </c>
      <c r="E205" s="22" t="s">
        <v>247</v>
      </c>
      <c r="F205" s="22" t="s">
        <v>183</v>
      </c>
      <c r="G205" s="23">
        <v>38099</v>
      </c>
      <c r="H205" s="22">
        <v>92</v>
      </c>
      <c r="I205" s="22">
        <v>93</v>
      </c>
      <c r="J205" s="22">
        <f t="shared" si="18"/>
        <v>773</v>
      </c>
      <c r="K205" s="22">
        <f t="shared" si="19"/>
        <v>237</v>
      </c>
      <c r="L205" s="22">
        <f t="shared" si="20"/>
        <v>536</v>
      </c>
      <c r="M205" s="22">
        <f t="shared" si="21"/>
        <v>929</v>
      </c>
      <c r="N205" s="24">
        <f t="shared" si="22"/>
        <v>0.57696447793326155</v>
      </c>
      <c r="O205" s="24">
        <v>0.576964477933262</v>
      </c>
      <c r="P205" s="24">
        <f t="shared" si="23"/>
        <v>-4.4408920985006262E-16</v>
      </c>
      <c r="Q205" s="22"/>
    </row>
    <row r="206" spans="1:17" ht="15" customHeight="1" x14ac:dyDescent="0.25">
      <c r="A206" s="22" t="s">
        <v>267</v>
      </c>
      <c r="B206" s="22">
        <v>11</v>
      </c>
      <c r="C206" s="22" t="s">
        <v>231</v>
      </c>
      <c r="D206" s="22">
        <v>-60</v>
      </c>
      <c r="E206" s="22" t="s">
        <v>247</v>
      </c>
      <c r="F206" s="22" t="s">
        <v>183</v>
      </c>
      <c r="G206" s="23">
        <v>38099</v>
      </c>
      <c r="H206" s="22">
        <v>61</v>
      </c>
      <c r="I206" s="22">
        <v>121</v>
      </c>
      <c r="J206" s="22">
        <f t="shared" si="18"/>
        <v>834</v>
      </c>
      <c r="K206" s="22">
        <f t="shared" si="19"/>
        <v>358</v>
      </c>
      <c r="L206" s="22">
        <f t="shared" si="20"/>
        <v>476</v>
      </c>
      <c r="M206" s="22">
        <f t="shared" si="21"/>
        <v>929</v>
      </c>
      <c r="N206" s="24">
        <f t="shared" si="22"/>
        <v>0.51237890204520986</v>
      </c>
      <c r="O206" s="24">
        <v>0.51237890204520997</v>
      </c>
      <c r="P206" s="24">
        <f t="shared" si="23"/>
        <v>-1.1102230246251565E-16</v>
      </c>
      <c r="Q206" s="22"/>
    </row>
    <row r="207" spans="1:17" ht="15" customHeight="1" x14ac:dyDescent="0.25">
      <c r="A207" s="22" t="s">
        <v>267</v>
      </c>
      <c r="B207" s="22">
        <v>12</v>
      </c>
      <c r="C207" s="22" t="s">
        <v>239</v>
      </c>
      <c r="D207" s="22">
        <v>-45</v>
      </c>
      <c r="E207" s="22" t="s">
        <v>247</v>
      </c>
      <c r="F207" s="22" t="s">
        <v>183</v>
      </c>
      <c r="G207" s="23">
        <v>38099</v>
      </c>
      <c r="H207" s="22">
        <v>32</v>
      </c>
      <c r="I207" s="22">
        <v>119</v>
      </c>
      <c r="J207" s="22">
        <f t="shared" si="18"/>
        <v>866</v>
      </c>
      <c r="K207" s="22">
        <f t="shared" si="19"/>
        <v>477</v>
      </c>
      <c r="L207" s="22">
        <f t="shared" si="20"/>
        <v>389</v>
      </c>
      <c r="M207" s="22">
        <f t="shared" si="21"/>
        <v>929</v>
      </c>
      <c r="N207" s="24">
        <f t="shared" si="22"/>
        <v>0.41872981700753498</v>
      </c>
      <c r="O207" s="24">
        <v>0.41872981700753498</v>
      </c>
      <c r="P207" s="24">
        <f t="shared" si="23"/>
        <v>0</v>
      </c>
      <c r="Q207" s="22"/>
    </row>
    <row r="208" spans="1:17" ht="15" customHeight="1" x14ac:dyDescent="0.25">
      <c r="A208" s="22" t="s">
        <v>267</v>
      </c>
      <c r="B208" s="22">
        <v>13</v>
      </c>
      <c r="C208" s="22" t="s">
        <v>387</v>
      </c>
      <c r="D208" s="22">
        <v>-30</v>
      </c>
      <c r="E208" s="22" t="s">
        <v>247</v>
      </c>
      <c r="F208" s="22" t="s">
        <v>183</v>
      </c>
      <c r="G208" s="23">
        <v>38099</v>
      </c>
      <c r="H208" s="22">
        <v>18</v>
      </c>
      <c r="I208" s="22">
        <v>120</v>
      </c>
      <c r="J208" s="22">
        <f t="shared" si="18"/>
        <v>884</v>
      </c>
      <c r="K208" s="22">
        <f t="shared" si="19"/>
        <v>597</v>
      </c>
      <c r="L208" s="22">
        <f t="shared" si="20"/>
        <v>287</v>
      </c>
      <c r="M208" s="22">
        <f t="shared" si="21"/>
        <v>929</v>
      </c>
      <c r="N208" s="24">
        <f t="shared" si="22"/>
        <v>0.30893433799784714</v>
      </c>
      <c r="O208" s="24">
        <v>0.30893433799784698</v>
      </c>
      <c r="P208" s="24">
        <f t="shared" si="23"/>
        <v>1.6653345369377348E-16</v>
      </c>
      <c r="Q208" s="22"/>
    </row>
    <row r="209" spans="1:17" ht="15" customHeight="1" x14ac:dyDescent="0.25">
      <c r="A209" s="22" t="s">
        <v>267</v>
      </c>
      <c r="B209" s="22">
        <v>14</v>
      </c>
      <c r="C209" s="22" t="s">
        <v>468</v>
      </c>
      <c r="D209" s="22">
        <v>-15</v>
      </c>
      <c r="E209" s="22" t="s">
        <v>247</v>
      </c>
      <c r="F209" s="22" t="s">
        <v>183</v>
      </c>
      <c r="G209" s="23">
        <v>38099</v>
      </c>
      <c r="H209" s="22">
        <v>12</v>
      </c>
      <c r="I209" s="22">
        <v>77</v>
      </c>
      <c r="J209" s="22">
        <f t="shared" si="18"/>
        <v>896</v>
      </c>
      <c r="K209" s="22">
        <f t="shared" si="19"/>
        <v>674</v>
      </c>
      <c r="L209" s="22">
        <f t="shared" si="20"/>
        <v>222</v>
      </c>
      <c r="M209" s="22">
        <f t="shared" si="21"/>
        <v>929</v>
      </c>
      <c r="N209" s="24">
        <f t="shared" si="22"/>
        <v>0.23896663078579117</v>
      </c>
      <c r="O209" s="24">
        <v>0.238966630785791</v>
      </c>
      <c r="P209" s="24">
        <f t="shared" si="23"/>
        <v>1.6653345369377348E-16</v>
      </c>
      <c r="Q209" s="22"/>
    </row>
    <row r="210" spans="1:17" ht="15" customHeight="1" x14ac:dyDescent="0.25">
      <c r="A210" s="22" t="s">
        <v>267</v>
      </c>
      <c r="B210" s="22">
        <v>15</v>
      </c>
      <c r="C210" s="22" t="s">
        <v>469</v>
      </c>
      <c r="D210" s="22">
        <v>0</v>
      </c>
      <c r="E210" s="22" t="s">
        <v>247</v>
      </c>
      <c r="F210" s="22" t="s">
        <v>183</v>
      </c>
      <c r="G210" s="23">
        <v>38099</v>
      </c>
      <c r="H210" s="22">
        <v>17</v>
      </c>
      <c r="I210" s="22">
        <v>69</v>
      </c>
      <c r="J210" s="22">
        <f t="shared" si="18"/>
        <v>913</v>
      </c>
      <c r="K210" s="22">
        <f t="shared" si="19"/>
        <v>743</v>
      </c>
      <c r="L210" s="22">
        <f t="shared" si="20"/>
        <v>170</v>
      </c>
      <c r="M210" s="22">
        <f t="shared" si="21"/>
        <v>929</v>
      </c>
      <c r="N210" s="24">
        <f t="shared" si="22"/>
        <v>0.18299246501614638</v>
      </c>
      <c r="O210" s="24">
        <v>0.18299246501614599</v>
      </c>
      <c r="P210" s="24">
        <f t="shared" si="23"/>
        <v>3.8857805861880479E-16</v>
      </c>
      <c r="Q210" s="22"/>
    </row>
    <row r="211" spans="1:17" ht="15" customHeight="1" x14ac:dyDescent="0.25">
      <c r="A211" s="22" t="s">
        <v>267</v>
      </c>
      <c r="B211" s="22">
        <v>16</v>
      </c>
      <c r="C211" s="22" t="s">
        <v>351</v>
      </c>
      <c r="D211" s="22">
        <v>15</v>
      </c>
      <c r="E211" s="22" t="s">
        <v>247</v>
      </c>
      <c r="F211" s="22" t="s">
        <v>183</v>
      </c>
      <c r="G211" s="23">
        <v>38099</v>
      </c>
      <c r="H211" s="22">
        <v>5</v>
      </c>
      <c r="I211" s="22">
        <v>63</v>
      </c>
      <c r="J211" s="22">
        <f t="shared" si="18"/>
        <v>918</v>
      </c>
      <c r="K211" s="22">
        <f t="shared" si="19"/>
        <v>806</v>
      </c>
      <c r="L211" s="22">
        <f t="shared" si="20"/>
        <v>112</v>
      </c>
      <c r="M211" s="22">
        <f t="shared" si="21"/>
        <v>929</v>
      </c>
      <c r="N211" s="24">
        <f t="shared" si="22"/>
        <v>0.12055974165769645</v>
      </c>
      <c r="O211" s="24">
        <v>0.12055974165769701</v>
      </c>
      <c r="P211" s="24">
        <f t="shared" si="23"/>
        <v>-5.5511151231257827E-16</v>
      </c>
      <c r="Q211" s="22"/>
    </row>
    <row r="212" spans="1:17" ht="15" customHeight="1" x14ac:dyDescent="0.25">
      <c r="A212" s="22" t="s">
        <v>267</v>
      </c>
      <c r="B212" s="22">
        <v>17</v>
      </c>
      <c r="C212" s="22" t="s">
        <v>311</v>
      </c>
      <c r="D212" s="22">
        <v>30</v>
      </c>
      <c r="E212" s="22" t="s">
        <v>247</v>
      </c>
      <c r="F212" s="22" t="s">
        <v>183</v>
      </c>
      <c r="G212" s="23">
        <v>38099</v>
      </c>
      <c r="H212" s="22">
        <v>5</v>
      </c>
      <c r="I212" s="22">
        <v>36</v>
      </c>
      <c r="J212" s="22">
        <f t="shared" si="18"/>
        <v>923</v>
      </c>
      <c r="K212" s="22">
        <f t="shared" si="19"/>
        <v>842</v>
      </c>
      <c r="L212" s="22">
        <f t="shared" si="20"/>
        <v>81</v>
      </c>
      <c r="M212" s="22">
        <f t="shared" si="21"/>
        <v>929</v>
      </c>
      <c r="N212" s="24">
        <f t="shared" si="22"/>
        <v>8.7190527448869751E-2</v>
      </c>
      <c r="O212" s="24">
        <v>8.7190527448869806E-2</v>
      </c>
      <c r="P212" s="24">
        <f t="shared" si="23"/>
        <v>-5.5511151231257827E-17</v>
      </c>
      <c r="Q212" s="22"/>
    </row>
    <row r="213" spans="1:17" ht="15" customHeight="1" x14ac:dyDescent="0.25">
      <c r="A213" s="22" t="s">
        <v>267</v>
      </c>
      <c r="B213" s="22">
        <v>18</v>
      </c>
      <c r="C213" s="22" t="s">
        <v>211</v>
      </c>
      <c r="D213" s="22">
        <v>45</v>
      </c>
      <c r="E213" s="22" t="s">
        <v>247</v>
      </c>
      <c r="F213" s="22" t="s">
        <v>183</v>
      </c>
      <c r="G213" s="23">
        <v>38099</v>
      </c>
      <c r="H213" s="22">
        <v>6</v>
      </c>
      <c r="I213" s="22">
        <v>23</v>
      </c>
      <c r="J213" s="22">
        <f t="shared" si="18"/>
        <v>929</v>
      </c>
      <c r="K213" s="22">
        <f t="shared" si="19"/>
        <v>865</v>
      </c>
      <c r="L213" s="22">
        <f t="shared" si="20"/>
        <v>64</v>
      </c>
      <c r="M213" s="22">
        <f t="shared" si="21"/>
        <v>929</v>
      </c>
      <c r="N213" s="24">
        <f t="shared" si="22"/>
        <v>6.8891280947255107E-2</v>
      </c>
      <c r="O213" s="24">
        <v>6.8891280947255107E-2</v>
      </c>
      <c r="P213" s="24">
        <f t="shared" si="23"/>
        <v>0</v>
      </c>
      <c r="Q213" s="22"/>
    </row>
    <row r="214" spans="1:17" ht="15" customHeight="1" x14ac:dyDescent="0.25">
      <c r="A214" s="22" t="s">
        <v>271</v>
      </c>
      <c r="B214" s="22">
        <v>0</v>
      </c>
      <c r="C214" s="22" t="s">
        <v>189</v>
      </c>
      <c r="D214" s="22"/>
      <c r="E214" s="22" t="s">
        <v>247</v>
      </c>
      <c r="F214" s="22" t="s">
        <v>183</v>
      </c>
      <c r="G214" s="23">
        <v>38100</v>
      </c>
      <c r="H214" s="22">
        <v>3</v>
      </c>
      <c r="I214" s="22">
        <v>0</v>
      </c>
      <c r="J214" s="22">
        <f t="shared" si="18"/>
        <v>3</v>
      </c>
      <c r="K214" s="22">
        <f t="shared" si="19"/>
        <v>0</v>
      </c>
      <c r="L214" s="22">
        <f t="shared" si="20"/>
        <v>3</v>
      </c>
      <c r="M214" s="22">
        <f t="shared" si="21"/>
        <v>85</v>
      </c>
      <c r="N214" s="24">
        <f t="shared" si="22"/>
        <v>3.5294117647058823E-2</v>
      </c>
      <c r="O214" s="24"/>
      <c r="P214" s="24" t="str">
        <f t="shared" si="23"/>
        <v/>
      </c>
      <c r="Q214" s="22"/>
    </row>
    <row r="215" spans="1:17" ht="15" customHeight="1" x14ac:dyDescent="0.25">
      <c r="A215" s="22" t="s">
        <v>271</v>
      </c>
      <c r="B215" s="22">
        <v>2</v>
      </c>
      <c r="C215" s="22" t="s">
        <v>325</v>
      </c>
      <c r="D215" s="22">
        <v>-195</v>
      </c>
      <c r="E215" s="22" t="s">
        <v>247</v>
      </c>
      <c r="F215" s="22" t="s">
        <v>183</v>
      </c>
      <c r="G215" s="23">
        <v>38100</v>
      </c>
      <c r="H215" s="22">
        <v>3</v>
      </c>
      <c r="I215" s="22">
        <v>0</v>
      </c>
      <c r="J215" s="22">
        <f t="shared" si="18"/>
        <v>6</v>
      </c>
      <c r="K215" s="22">
        <f t="shared" si="19"/>
        <v>0</v>
      </c>
      <c r="L215" s="22">
        <f t="shared" si="20"/>
        <v>6</v>
      </c>
      <c r="M215" s="22">
        <f t="shared" si="21"/>
        <v>85</v>
      </c>
      <c r="N215" s="24">
        <f t="shared" si="22"/>
        <v>7.0588235294117646E-2</v>
      </c>
      <c r="O215" s="24"/>
      <c r="P215" s="24" t="str">
        <f t="shared" si="23"/>
        <v/>
      </c>
      <c r="Q215" s="22"/>
    </row>
    <row r="216" spans="1:17" ht="15" customHeight="1" x14ac:dyDescent="0.25">
      <c r="A216" s="22" t="s">
        <v>271</v>
      </c>
      <c r="B216" s="22">
        <v>3</v>
      </c>
      <c r="C216" s="22" t="s">
        <v>464</v>
      </c>
      <c r="D216" s="22">
        <v>-180</v>
      </c>
      <c r="E216" s="22" t="s">
        <v>247</v>
      </c>
      <c r="F216" s="22" t="s">
        <v>183</v>
      </c>
      <c r="G216" s="23">
        <v>38100</v>
      </c>
      <c r="H216" s="22">
        <v>3</v>
      </c>
      <c r="I216" s="22">
        <v>0</v>
      </c>
      <c r="J216" s="22">
        <f t="shared" si="18"/>
        <v>9</v>
      </c>
      <c r="K216" s="22">
        <f t="shared" si="19"/>
        <v>0</v>
      </c>
      <c r="L216" s="22">
        <f t="shared" si="20"/>
        <v>9</v>
      </c>
      <c r="M216" s="22">
        <f t="shared" si="21"/>
        <v>85</v>
      </c>
      <c r="N216" s="24">
        <f t="shared" si="22"/>
        <v>0.10588235294117647</v>
      </c>
      <c r="O216" s="24"/>
      <c r="P216" s="24" t="str">
        <f t="shared" si="23"/>
        <v/>
      </c>
      <c r="Q216" s="22"/>
    </row>
    <row r="217" spans="1:17" ht="15" customHeight="1" x14ac:dyDescent="0.25">
      <c r="A217" s="22" t="s">
        <v>271</v>
      </c>
      <c r="B217" s="22">
        <v>4</v>
      </c>
      <c r="C217" s="22" t="s">
        <v>465</v>
      </c>
      <c r="D217" s="22">
        <v>-165</v>
      </c>
      <c r="E217" s="22" t="s">
        <v>247</v>
      </c>
      <c r="F217" s="22" t="s">
        <v>183</v>
      </c>
      <c r="G217" s="23">
        <v>38100</v>
      </c>
      <c r="H217" s="22">
        <v>6</v>
      </c>
      <c r="I217" s="22">
        <v>0</v>
      </c>
      <c r="J217" s="22">
        <f t="shared" si="18"/>
        <v>15</v>
      </c>
      <c r="K217" s="22">
        <f t="shared" si="19"/>
        <v>0</v>
      </c>
      <c r="L217" s="22">
        <f t="shared" si="20"/>
        <v>15</v>
      </c>
      <c r="M217" s="22">
        <f t="shared" si="21"/>
        <v>85</v>
      </c>
      <c r="N217" s="24">
        <f t="shared" si="22"/>
        <v>0.17647058823529413</v>
      </c>
      <c r="O217" s="24"/>
      <c r="P217" s="24" t="str">
        <f t="shared" si="23"/>
        <v/>
      </c>
      <c r="Q217" s="22"/>
    </row>
    <row r="218" spans="1:17" ht="15" customHeight="1" x14ac:dyDescent="0.25">
      <c r="A218" s="22" t="s">
        <v>271</v>
      </c>
      <c r="B218" s="22">
        <v>5</v>
      </c>
      <c r="C218" s="22" t="s">
        <v>466</v>
      </c>
      <c r="D218" s="22">
        <v>-150</v>
      </c>
      <c r="E218" s="22" t="s">
        <v>247</v>
      </c>
      <c r="F218" s="22" t="s">
        <v>183</v>
      </c>
      <c r="G218" s="23">
        <v>38100</v>
      </c>
      <c r="H218" s="22">
        <v>3</v>
      </c>
      <c r="I218" s="22">
        <v>0</v>
      </c>
      <c r="J218" s="22">
        <f t="shared" si="18"/>
        <v>18</v>
      </c>
      <c r="K218" s="22">
        <f t="shared" si="19"/>
        <v>0</v>
      </c>
      <c r="L218" s="22">
        <f t="shared" si="20"/>
        <v>18</v>
      </c>
      <c r="M218" s="22">
        <f t="shared" si="21"/>
        <v>85</v>
      </c>
      <c r="N218" s="24">
        <f t="shared" si="22"/>
        <v>0.21176470588235294</v>
      </c>
      <c r="O218" s="24"/>
      <c r="P218" s="24" t="str">
        <f t="shared" si="23"/>
        <v/>
      </c>
      <c r="Q218" s="22"/>
    </row>
    <row r="219" spans="1:17" ht="15" customHeight="1" x14ac:dyDescent="0.25">
      <c r="A219" s="22" t="s">
        <v>271</v>
      </c>
      <c r="B219" s="22">
        <v>6</v>
      </c>
      <c r="C219" s="22" t="s">
        <v>467</v>
      </c>
      <c r="D219" s="22">
        <v>-135</v>
      </c>
      <c r="E219" s="22" t="s">
        <v>247</v>
      </c>
      <c r="F219" s="22" t="s">
        <v>183</v>
      </c>
      <c r="G219" s="23">
        <v>38100</v>
      </c>
      <c r="H219" s="22">
        <v>8</v>
      </c>
      <c r="I219" s="22">
        <v>9</v>
      </c>
      <c r="J219" s="22">
        <f t="shared" si="18"/>
        <v>26</v>
      </c>
      <c r="K219" s="22">
        <f t="shared" si="19"/>
        <v>9</v>
      </c>
      <c r="L219" s="22">
        <f t="shared" si="20"/>
        <v>17</v>
      </c>
      <c r="M219" s="22">
        <f t="shared" si="21"/>
        <v>85</v>
      </c>
      <c r="N219" s="24">
        <f t="shared" si="22"/>
        <v>0.2</v>
      </c>
      <c r="O219" s="24"/>
      <c r="P219" s="24" t="str">
        <f t="shared" si="23"/>
        <v/>
      </c>
      <c r="Q219" s="22"/>
    </row>
    <row r="220" spans="1:17" ht="15" customHeight="1" x14ac:dyDescent="0.25">
      <c r="A220" s="22" t="s">
        <v>271</v>
      </c>
      <c r="B220" s="22">
        <v>7</v>
      </c>
      <c r="C220" s="22" t="s">
        <v>212</v>
      </c>
      <c r="D220" s="22">
        <v>-120</v>
      </c>
      <c r="E220" s="22" t="s">
        <v>247</v>
      </c>
      <c r="F220" s="22" t="s">
        <v>183</v>
      </c>
      <c r="G220" s="23">
        <v>38100</v>
      </c>
      <c r="H220" s="22">
        <v>1</v>
      </c>
      <c r="I220" s="22">
        <v>3</v>
      </c>
      <c r="J220" s="22">
        <f t="shared" si="18"/>
        <v>27</v>
      </c>
      <c r="K220" s="22">
        <f t="shared" si="19"/>
        <v>12</v>
      </c>
      <c r="L220" s="22">
        <f t="shared" si="20"/>
        <v>15</v>
      </c>
      <c r="M220" s="22">
        <f t="shared" si="21"/>
        <v>85</v>
      </c>
      <c r="N220" s="24">
        <f t="shared" si="22"/>
        <v>0.17647058823529413</v>
      </c>
      <c r="O220" s="24"/>
      <c r="P220" s="24" t="str">
        <f t="shared" si="23"/>
        <v/>
      </c>
      <c r="Q220" s="22"/>
    </row>
    <row r="221" spans="1:17" ht="15" customHeight="1" x14ac:dyDescent="0.25">
      <c r="A221" s="22" t="s">
        <v>271</v>
      </c>
      <c r="B221" s="22">
        <v>8</v>
      </c>
      <c r="C221" s="22" t="s">
        <v>226</v>
      </c>
      <c r="D221" s="22">
        <v>-105</v>
      </c>
      <c r="E221" s="22" t="s">
        <v>247</v>
      </c>
      <c r="F221" s="22" t="s">
        <v>183</v>
      </c>
      <c r="G221" s="23">
        <v>38100</v>
      </c>
      <c r="H221" s="22">
        <v>3</v>
      </c>
      <c r="I221" s="22">
        <v>0</v>
      </c>
      <c r="J221" s="22">
        <f t="shared" si="18"/>
        <v>30</v>
      </c>
      <c r="K221" s="22">
        <f t="shared" si="19"/>
        <v>12</v>
      </c>
      <c r="L221" s="22">
        <f t="shared" si="20"/>
        <v>18</v>
      </c>
      <c r="M221" s="22">
        <f t="shared" si="21"/>
        <v>85</v>
      </c>
      <c r="N221" s="24">
        <f t="shared" si="22"/>
        <v>0.21176470588235294</v>
      </c>
      <c r="O221" s="24"/>
      <c r="P221" s="24" t="str">
        <f t="shared" si="23"/>
        <v/>
      </c>
      <c r="Q221" s="22"/>
    </row>
    <row r="222" spans="1:17" ht="15" customHeight="1" x14ac:dyDescent="0.25">
      <c r="A222" s="22" t="s">
        <v>271</v>
      </c>
      <c r="B222" s="22">
        <v>9</v>
      </c>
      <c r="C222" s="22" t="s">
        <v>264</v>
      </c>
      <c r="D222" s="22">
        <v>-90</v>
      </c>
      <c r="E222" s="22" t="s">
        <v>247</v>
      </c>
      <c r="F222" s="22" t="s">
        <v>183</v>
      </c>
      <c r="G222" s="23">
        <v>38100</v>
      </c>
      <c r="H222" s="22">
        <v>11</v>
      </c>
      <c r="I222" s="22">
        <v>4</v>
      </c>
      <c r="J222" s="22">
        <f t="shared" si="18"/>
        <v>41</v>
      </c>
      <c r="K222" s="22">
        <f t="shared" si="19"/>
        <v>16</v>
      </c>
      <c r="L222" s="22">
        <f t="shared" si="20"/>
        <v>25</v>
      </c>
      <c r="M222" s="22">
        <f t="shared" si="21"/>
        <v>85</v>
      </c>
      <c r="N222" s="24">
        <f t="shared" si="22"/>
        <v>0.29411764705882354</v>
      </c>
      <c r="O222" s="24"/>
      <c r="P222" s="24" t="str">
        <f t="shared" si="23"/>
        <v/>
      </c>
      <c r="Q222" s="22"/>
    </row>
    <row r="223" spans="1:17" ht="15" customHeight="1" x14ac:dyDescent="0.25">
      <c r="A223" s="22" t="s">
        <v>271</v>
      </c>
      <c r="B223" s="22">
        <v>10</v>
      </c>
      <c r="C223" s="22" t="s">
        <v>191</v>
      </c>
      <c r="D223" s="22">
        <v>-75</v>
      </c>
      <c r="E223" s="22" t="s">
        <v>247</v>
      </c>
      <c r="F223" s="22" t="s">
        <v>183</v>
      </c>
      <c r="G223" s="23">
        <v>38100</v>
      </c>
      <c r="H223" s="22">
        <v>6</v>
      </c>
      <c r="I223" s="22">
        <v>2</v>
      </c>
      <c r="J223" s="22">
        <f t="shared" si="18"/>
        <v>47</v>
      </c>
      <c r="K223" s="22">
        <f t="shared" si="19"/>
        <v>18</v>
      </c>
      <c r="L223" s="22">
        <f t="shared" si="20"/>
        <v>29</v>
      </c>
      <c r="M223" s="22">
        <f t="shared" si="21"/>
        <v>85</v>
      </c>
      <c r="N223" s="24">
        <f t="shared" si="22"/>
        <v>0.3411764705882353</v>
      </c>
      <c r="O223" s="24"/>
      <c r="P223" s="24" t="str">
        <f t="shared" si="23"/>
        <v/>
      </c>
      <c r="Q223" s="22"/>
    </row>
    <row r="224" spans="1:17" ht="15" customHeight="1" x14ac:dyDescent="0.25">
      <c r="A224" s="22" t="s">
        <v>271</v>
      </c>
      <c r="B224" s="22">
        <v>11</v>
      </c>
      <c r="C224" s="22" t="s">
        <v>231</v>
      </c>
      <c r="D224" s="22">
        <v>-60</v>
      </c>
      <c r="E224" s="22" t="s">
        <v>247</v>
      </c>
      <c r="F224" s="22" t="s">
        <v>183</v>
      </c>
      <c r="G224" s="23">
        <v>38100</v>
      </c>
      <c r="H224" s="22">
        <v>5</v>
      </c>
      <c r="I224" s="22">
        <v>3</v>
      </c>
      <c r="J224" s="22">
        <f t="shared" si="18"/>
        <v>52</v>
      </c>
      <c r="K224" s="22">
        <f t="shared" si="19"/>
        <v>21</v>
      </c>
      <c r="L224" s="22">
        <f t="shared" si="20"/>
        <v>31</v>
      </c>
      <c r="M224" s="22">
        <f t="shared" si="21"/>
        <v>85</v>
      </c>
      <c r="N224" s="24">
        <f t="shared" si="22"/>
        <v>0.36470588235294116</v>
      </c>
      <c r="O224" s="24"/>
      <c r="P224" s="24" t="str">
        <f t="shared" si="23"/>
        <v/>
      </c>
      <c r="Q224" s="22"/>
    </row>
    <row r="225" spans="1:17" ht="15" customHeight="1" x14ac:dyDescent="0.25">
      <c r="A225" s="22" t="s">
        <v>271</v>
      </c>
      <c r="B225" s="22">
        <v>12</v>
      </c>
      <c r="C225" s="22" t="s">
        <v>239</v>
      </c>
      <c r="D225" s="22">
        <v>-45</v>
      </c>
      <c r="E225" s="22" t="s">
        <v>247</v>
      </c>
      <c r="F225" s="22" t="s">
        <v>183</v>
      </c>
      <c r="G225" s="23">
        <v>38100</v>
      </c>
      <c r="H225" s="22">
        <v>6</v>
      </c>
      <c r="I225" s="22">
        <v>5</v>
      </c>
      <c r="J225" s="22">
        <f t="shared" si="18"/>
        <v>58</v>
      </c>
      <c r="K225" s="22">
        <f t="shared" si="19"/>
        <v>26</v>
      </c>
      <c r="L225" s="22">
        <f t="shared" si="20"/>
        <v>32</v>
      </c>
      <c r="M225" s="22">
        <f t="shared" si="21"/>
        <v>85</v>
      </c>
      <c r="N225" s="24">
        <f t="shared" si="22"/>
        <v>0.37647058823529411</v>
      </c>
      <c r="O225" s="24"/>
      <c r="P225" s="24" t="str">
        <f t="shared" si="23"/>
        <v/>
      </c>
      <c r="Q225" s="22"/>
    </row>
    <row r="226" spans="1:17" ht="15" customHeight="1" x14ac:dyDescent="0.25">
      <c r="A226" s="22" t="s">
        <v>271</v>
      </c>
      <c r="B226" s="22">
        <v>13</v>
      </c>
      <c r="C226" s="22" t="s">
        <v>387</v>
      </c>
      <c r="D226" s="22">
        <v>-30</v>
      </c>
      <c r="E226" s="22" t="s">
        <v>247</v>
      </c>
      <c r="F226" s="22" t="s">
        <v>183</v>
      </c>
      <c r="G226" s="23">
        <v>38100</v>
      </c>
      <c r="H226" s="22">
        <v>4</v>
      </c>
      <c r="I226" s="22">
        <v>4</v>
      </c>
      <c r="J226" s="22">
        <f t="shared" si="18"/>
        <v>62</v>
      </c>
      <c r="K226" s="22">
        <f t="shared" si="19"/>
        <v>30</v>
      </c>
      <c r="L226" s="22">
        <f t="shared" si="20"/>
        <v>32</v>
      </c>
      <c r="M226" s="22">
        <f t="shared" si="21"/>
        <v>85</v>
      </c>
      <c r="N226" s="24">
        <f t="shared" si="22"/>
        <v>0.37647058823529411</v>
      </c>
      <c r="O226" s="24"/>
      <c r="P226" s="24" t="str">
        <f t="shared" si="23"/>
        <v/>
      </c>
      <c r="Q226" s="22"/>
    </row>
    <row r="227" spans="1:17" ht="15" customHeight="1" x14ac:dyDescent="0.25">
      <c r="A227" s="22" t="s">
        <v>271</v>
      </c>
      <c r="B227" s="22">
        <v>14</v>
      </c>
      <c r="C227" s="22" t="s">
        <v>468</v>
      </c>
      <c r="D227" s="22">
        <v>-15</v>
      </c>
      <c r="E227" s="22" t="s">
        <v>247</v>
      </c>
      <c r="F227" s="22" t="s">
        <v>183</v>
      </c>
      <c r="G227" s="23">
        <v>38100</v>
      </c>
      <c r="H227" s="22">
        <v>0</v>
      </c>
      <c r="I227" s="22">
        <v>11</v>
      </c>
      <c r="J227" s="22">
        <f t="shared" si="18"/>
        <v>62</v>
      </c>
      <c r="K227" s="22">
        <f t="shared" si="19"/>
        <v>41</v>
      </c>
      <c r="L227" s="22">
        <f t="shared" si="20"/>
        <v>21</v>
      </c>
      <c r="M227" s="22">
        <f t="shared" si="21"/>
        <v>85</v>
      </c>
      <c r="N227" s="24">
        <f t="shared" si="22"/>
        <v>0.24705882352941178</v>
      </c>
      <c r="O227" s="24"/>
      <c r="P227" s="24" t="str">
        <f t="shared" si="23"/>
        <v/>
      </c>
      <c r="Q227" s="22"/>
    </row>
    <row r="228" spans="1:17" ht="15" customHeight="1" x14ac:dyDescent="0.25">
      <c r="A228" s="22" t="s">
        <v>271</v>
      </c>
      <c r="B228" s="22">
        <v>15</v>
      </c>
      <c r="C228" s="22" t="s">
        <v>469</v>
      </c>
      <c r="D228" s="22">
        <v>0</v>
      </c>
      <c r="E228" s="22" t="s">
        <v>247</v>
      </c>
      <c r="F228" s="22" t="s">
        <v>183</v>
      </c>
      <c r="G228" s="23">
        <v>38100</v>
      </c>
      <c r="H228" s="22">
        <v>3</v>
      </c>
      <c r="I228" s="22">
        <v>6</v>
      </c>
      <c r="J228" s="22">
        <f t="shared" si="18"/>
        <v>65</v>
      </c>
      <c r="K228" s="22">
        <f t="shared" si="19"/>
        <v>47</v>
      </c>
      <c r="L228" s="22">
        <f t="shared" si="20"/>
        <v>18</v>
      </c>
      <c r="M228" s="22">
        <f t="shared" si="21"/>
        <v>85</v>
      </c>
      <c r="N228" s="24">
        <f t="shared" si="22"/>
        <v>0.21176470588235294</v>
      </c>
      <c r="O228" s="24"/>
      <c r="P228" s="24" t="str">
        <f t="shared" si="23"/>
        <v/>
      </c>
      <c r="Q228" s="22"/>
    </row>
    <row r="229" spans="1:17" ht="15" customHeight="1" x14ac:dyDescent="0.25">
      <c r="A229" s="22" t="s">
        <v>271</v>
      </c>
      <c r="B229" s="22">
        <v>16</v>
      </c>
      <c r="C229" s="22" t="s">
        <v>351</v>
      </c>
      <c r="D229" s="22">
        <v>15</v>
      </c>
      <c r="E229" s="22" t="s">
        <v>247</v>
      </c>
      <c r="F229" s="22" t="s">
        <v>183</v>
      </c>
      <c r="G229" s="23">
        <v>38100</v>
      </c>
      <c r="H229" s="22">
        <v>5</v>
      </c>
      <c r="I229" s="22">
        <v>5</v>
      </c>
      <c r="J229" s="22">
        <f t="shared" si="18"/>
        <v>70</v>
      </c>
      <c r="K229" s="22">
        <f t="shared" si="19"/>
        <v>52</v>
      </c>
      <c r="L229" s="22">
        <f t="shared" si="20"/>
        <v>18</v>
      </c>
      <c r="M229" s="22">
        <f t="shared" si="21"/>
        <v>85</v>
      </c>
      <c r="N229" s="24">
        <f t="shared" si="22"/>
        <v>0.21176470588235294</v>
      </c>
      <c r="O229" s="24"/>
      <c r="P229" s="24" t="str">
        <f t="shared" si="23"/>
        <v/>
      </c>
      <c r="Q229" s="22"/>
    </row>
    <row r="230" spans="1:17" ht="15" customHeight="1" x14ac:dyDescent="0.25">
      <c r="A230" s="22" t="s">
        <v>271</v>
      </c>
      <c r="B230" s="22">
        <v>17</v>
      </c>
      <c r="C230" s="22" t="s">
        <v>311</v>
      </c>
      <c r="D230" s="22">
        <v>30</v>
      </c>
      <c r="E230" s="22" t="s">
        <v>247</v>
      </c>
      <c r="F230" s="22" t="s">
        <v>183</v>
      </c>
      <c r="G230" s="23">
        <v>38100</v>
      </c>
      <c r="H230" s="22">
        <v>3</v>
      </c>
      <c r="I230" s="22">
        <v>7</v>
      </c>
      <c r="J230" s="22">
        <f t="shared" si="18"/>
        <v>73</v>
      </c>
      <c r="K230" s="22">
        <f t="shared" si="19"/>
        <v>59</v>
      </c>
      <c r="L230" s="22">
        <f t="shared" si="20"/>
        <v>14</v>
      </c>
      <c r="M230" s="22">
        <f t="shared" si="21"/>
        <v>85</v>
      </c>
      <c r="N230" s="24">
        <f t="shared" si="22"/>
        <v>0.16470588235294117</v>
      </c>
      <c r="O230" s="24"/>
      <c r="P230" s="24" t="str">
        <f t="shared" si="23"/>
        <v/>
      </c>
      <c r="Q230" s="22"/>
    </row>
    <row r="231" spans="1:17" ht="15" customHeight="1" x14ac:dyDescent="0.25">
      <c r="A231" s="22" t="s">
        <v>271</v>
      </c>
      <c r="B231" s="22">
        <v>18</v>
      </c>
      <c r="C231" s="22" t="s">
        <v>211</v>
      </c>
      <c r="D231" s="22">
        <v>45</v>
      </c>
      <c r="E231" s="22" t="s">
        <v>247</v>
      </c>
      <c r="F231" s="22" t="s">
        <v>183</v>
      </c>
      <c r="G231" s="23">
        <v>38100</v>
      </c>
      <c r="H231" s="22">
        <v>5</v>
      </c>
      <c r="I231" s="22">
        <v>4</v>
      </c>
      <c r="J231" s="22">
        <f t="shared" si="18"/>
        <v>78</v>
      </c>
      <c r="K231" s="22">
        <f t="shared" si="19"/>
        <v>63</v>
      </c>
      <c r="L231" s="22">
        <f t="shared" si="20"/>
        <v>15</v>
      </c>
      <c r="M231" s="22">
        <f t="shared" si="21"/>
        <v>85</v>
      </c>
      <c r="N231" s="24">
        <f t="shared" si="22"/>
        <v>0.17647058823529413</v>
      </c>
      <c r="O231" s="24"/>
      <c r="P231" s="24" t="str">
        <f t="shared" si="23"/>
        <v/>
      </c>
      <c r="Q231" s="22"/>
    </row>
    <row r="232" spans="1:17" ht="15" customHeight="1" x14ac:dyDescent="0.25">
      <c r="A232" s="22" t="s">
        <v>271</v>
      </c>
      <c r="B232" s="22">
        <v>19</v>
      </c>
      <c r="C232" s="22" t="s">
        <v>190</v>
      </c>
      <c r="D232" s="22">
        <v>60</v>
      </c>
      <c r="E232" s="22" t="s">
        <v>247</v>
      </c>
      <c r="F232" s="22" t="s">
        <v>183</v>
      </c>
      <c r="G232" s="23">
        <v>38100</v>
      </c>
      <c r="H232" s="22">
        <v>4</v>
      </c>
      <c r="I232" s="22">
        <v>5</v>
      </c>
      <c r="J232" s="22">
        <f t="shared" si="18"/>
        <v>82</v>
      </c>
      <c r="K232" s="22">
        <f t="shared" si="19"/>
        <v>68</v>
      </c>
      <c r="L232" s="22">
        <f t="shared" si="20"/>
        <v>14</v>
      </c>
      <c r="M232" s="22">
        <f t="shared" si="21"/>
        <v>85</v>
      </c>
      <c r="N232" s="24">
        <f t="shared" si="22"/>
        <v>0.16470588235294117</v>
      </c>
      <c r="O232" s="24"/>
      <c r="P232" s="24" t="str">
        <f t="shared" si="23"/>
        <v/>
      </c>
      <c r="Q232" s="22"/>
    </row>
    <row r="233" spans="1:17" ht="15" customHeight="1" x14ac:dyDescent="0.25">
      <c r="A233" s="22" t="s">
        <v>271</v>
      </c>
      <c r="B233" s="22">
        <v>20</v>
      </c>
      <c r="C233" s="22" t="s">
        <v>472</v>
      </c>
      <c r="D233" s="22">
        <v>75</v>
      </c>
      <c r="E233" s="22" t="s">
        <v>247</v>
      </c>
      <c r="F233" s="22" t="s">
        <v>183</v>
      </c>
      <c r="G233" s="23">
        <v>38100</v>
      </c>
      <c r="H233" s="22">
        <v>1</v>
      </c>
      <c r="I233" s="22">
        <v>3</v>
      </c>
      <c r="J233" s="22">
        <f t="shared" si="18"/>
        <v>83</v>
      </c>
      <c r="K233" s="22">
        <f t="shared" si="19"/>
        <v>71</v>
      </c>
      <c r="L233" s="22">
        <f t="shared" si="20"/>
        <v>12</v>
      </c>
      <c r="M233" s="22">
        <f t="shared" si="21"/>
        <v>85</v>
      </c>
      <c r="N233" s="24">
        <f t="shared" si="22"/>
        <v>0.14117647058823529</v>
      </c>
      <c r="O233" s="24"/>
      <c r="P233" s="24" t="str">
        <f t="shared" si="23"/>
        <v/>
      </c>
      <c r="Q233" s="22"/>
    </row>
    <row r="234" spans="1:17" ht="15" customHeight="1" x14ac:dyDescent="0.25">
      <c r="A234" s="22" t="s">
        <v>271</v>
      </c>
      <c r="B234" s="22">
        <v>21</v>
      </c>
      <c r="C234" s="22" t="s">
        <v>250</v>
      </c>
      <c r="D234" s="22">
        <v>90</v>
      </c>
      <c r="E234" s="22" t="s">
        <v>247</v>
      </c>
      <c r="F234" s="22" t="s">
        <v>183</v>
      </c>
      <c r="G234" s="23">
        <v>38100</v>
      </c>
      <c r="H234" s="22">
        <v>2</v>
      </c>
      <c r="I234" s="22">
        <v>8</v>
      </c>
      <c r="J234" s="22">
        <f t="shared" si="18"/>
        <v>85</v>
      </c>
      <c r="K234" s="22">
        <f t="shared" si="19"/>
        <v>79</v>
      </c>
      <c r="L234" s="22">
        <f t="shared" si="20"/>
        <v>6</v>
      </c>
      <c r="M234" s="22">
        <f t="shared" si="21"/>
        <v>85</v>
      </c>
      <c r="N234" s="24">
        <f t="shared" si="22"/>
        <v>7.0588235294117646E-2</v>
      </c>
      <c r="O234" s="24"/>
      <c r="P234" s="24" t="str">
        <f t="shared" si="23"/>
        <v/>
      </c>
      <c r="Q234" s="22"/>
    </row>
    <row r="235" spans="1:17" ht="15" customHeight="1" x14ac:dyDescent="0.25">
      <c r="A235" s="22" t="s">
        <v>275</v>
      </c>
      <c r="B235" s="22">
        <v>0</v>
      </c>
      <c r="C235" s="22" t="s">
        <v>189</v>
      </c>
      <c r="D235" s="22"/>
      <c r="E235" s="22" t="s">
        <v>247</v>
      </c>
      <c r="F235" s="22" t="s">
        <v>183</v>
      </c>
      <c r="G235" s="23">
        <v>38100</v>
      </c>
      <c r="H235" s="22">
        <v>3</v>
      </c>
      <c r="I235" s="22">
        <v>0</v>
      </c>
      <c r="J235" s="22">
        <f t="shared" si="18"/>
        <v>3</v>
      </c>
      <c r="K235" s="22">
        <f t="shared" si="19"/>
        <v>0</v>
      </c>
      <c r="L235" s="22">
        <f t="shared" si="20"/>
        <v>3</v>
      </c>
      <c r="M235" s="22">
        <f t="shared" si="21"/>
        <v>82</v>
      </c>
      <c r="N235" s="24">
        <f t="shared" si="22"/>
        <v>3.6585365853658534E-2</v>
      </c>
      <c r="O235" s="24">
        <v>3.65853658536585E-2</v>
      </c>
      <c r="P235" s="24">
        <f t="shared" si="23"/>
        <v>3.4694469519536142E-17</v>
      </c>
      <c r="Q235" s="22"/>
    </row>
    <row r="236" spans="1:17" ht="15" customHeight="1" x14ac:dyDescent="0.25">
      <c r="A236" s="22" t="s">
        <v>275</v>
      </c>
      <c r="B236" s="22">
        <v>3</v>
      </c>
      <c r="C236" s="22" t="s">
        <v>464</v>
      </c>
      <c r="D236" s="22">
        <v>-180</v>
      </c>
      <c r="E236" s="22" t="s">
        <v>247</v>
      </c>
      <c r="F236" s="22" t="s">
        <v>183</v>
      </c>
      <c r="G236" s="23">
        <v>38100</v>
      </c>
      <c r="H236" s="22">
        <v>3</v>
      </c>
      <c r="I236" s="22">
        <v>0</v>
      </c>
      <c r="J236" s="22">
        <f t="shared" si="18"/>
        <v>6</v>
      </c>
      <c r="K236" s="22">
        <f t="shared" si="19"/>
        <v>0</v>
      </c>
      <c r="L236" s="22">
        <f t="shared" si="20"/>
        <v>6</v>
      </c>
      <c r="M236" s="22">
        <f t="shared" si="21"/>
        <v>82</v>
      </c>
      <c r="N236" s="24">
        <f t="shared" si="22"/>
        <v>7.3170731707317069E-2</v>
      </c>
      <c r="O236" s="24">
        <v>7.3170731707317097E-2</v>
      </c>
      <c r="P236" s="24">
        <f t="shared" si="23"/>
        <v>-2.7755575615628914E-17</v>
      </c>
      <c r="Q236" s="22"/>
    </row>
    <row r="237" spans="1:17" ht="15" customHeight="1" x14ac:dyDescent="0.25">
      <c r="A237" s="22" t="s">
        <v>275</v>
      </c>
      <c r="B237" s="22">
        <v>4</v>
      </c>
      <c r="C237" s="22" t="s">
        <v>465</v>
      </c>
      <c r="D237" s="22">
        <v>-165</v>
      </c>
      <c r="E237" s="22" t="s">
        <v>247</v>
      </c>
      <c r="F237" s="22" t="s">
        <v>183</v>
      </c>
      <c r="G237" s="23">
        <v>38100</v>
      </c>
      <c r="H237" s="22">
        <v>6</v>
      </c>
      <c r="I237" s="22">
        <v>0</v>
      </c>
      <c r="J237" s="22">
        <f t="shared" si="18"/>
        <v>12</v>
      </c>
      <c r="K237" s="22">
        <f t="shared" si="19"/>
        <v>0</v>
      </c>
      <c r="L237" s="22">
        <f t="shared" si="20"/>
        <v>12</v>
      </c>
      <c r="M237" s="22">
        <f t="shared" si="21"/>
        <v>82</v>
      </c>
      <c r="N237" s="24">
        <f t="shared" si="22"/>
        <v>0.14634146341463414</v>
      </c>
      <c r="O237" s="24">
        <v>0.146341463414634</v>
      </c>
      <c r="P237" s="24">
        <f t="shared" si="23"/>
        <v>1.3877787807814457E-16</v>
      </c>
      <c r="Q237" s="22"/>
    </row>
    <row r="238" spans="1:17" ht="15" customHeight="1" x14ac:dyDescent="0.25">
      <c r="A238" s="22" t="s">
        <v>275</v>
      </c>
      <c r="B238" s="22">
        <v>5</v>
      </c>
      <c r="C238" s="22" t="s">
        <v>466</v>
      </c>
      <c r="D238" s="22">
        <v>-150</v>
      </c>
      <c r="E238" s="22" t="s">
        <v>247</v>
      </c>
      <c r="F238" s="22" t="s">
        <v>183</v>
      </c>
      <c r="G238" s="23">
        <v>38100</v>
      </c>
      <c r="H238" s="22">
        <v>3</v>
      </c>
      <c r="I238" s="22">
        <v>0</v>
      </c>
      <c r="J238" s="22">
        <f t="shared" si="18"/>
        <v>15</v>
      </c>
      <c r="K238" s="22">
        <f t="shared" si="19"/>
        <v>0</v>
      </c>
      <c r="L238" s="22">
        <f t="shared" si="20"/>
        <v>15</v>
      </c>
      <c r="M238" s="22">
        <f t="shared" si="21"/>
        <v>82</v>
      </c>
      <c r="N238" s="24">
        <f t="shared" si="22"/>
        <v>0.18292682926829268</v>
      </c>
      <c r="O238" s="24">
        <v>0.18292682926829301</v>
      </c>
      <c r="P238" s="24">
        <f t="shared" si="23"/>
        <v>-3.3306690738754696E-16</v>
      </c>
      <c r="Q238" s="22"/>
    </row>
    <row r="239" spans="1:17" ht="15" customHeight="1" x14ac:dyDescent="0.25">
      <c r="A239" s="22" t="s">
        <v>275</v>
      </c>
      <c r="B239" s="22">
        <v>6</v>
      </c>
      <c r="C239" s="22" t="s">
        <v>467</v>
      </c>
      <c r="D239" s="22">
        <v>-135</v>
      </c>
      <c r="E239" s="22" t="s">
        <v>247</v>
      </c>
      <c r="F239" s="22" t="s">
        <v>183</v>
      </c>
      <c r="G239" s="23">
        <v>38100</v>
      </c>
      <c r="H239" s="22">
        <v>8</v>
      </c>
      <c r="I239" s="22">
        <v>9</v>
      </c>
      <c r="J239" s="22">
        <f t="shared" si="18"/>
        <v>23</v>
      </c>
      <c r="K239" s="22">
        <f t="shared" si="19"/>
        <v>9</v>
      </c>
      <c r="L239" s="22">
        <f t="shared" si="20"/>
        <v>14</v>
      </c>
      <c r="M239" s="22">
        <f t="shared" si="21"/>
        <v>82</v>
      </c>
      <c r="N239" s="24">
        <f t="shared" si="22"/>
        <v>0.17073170731707318</v>
      </c>
      <c r="O239" s="24">
        <v>0.17073170731707299</v>
      </c>
      <c r="P239" s="24">
        <f t="shared" si="23"/>
        <v>1.9428902930940239E-16</v>
      </c>
      <c r="Q239" s="22"/>
    </row>
    <row r="240" spans="1:17" ht="15" customHeight="1" x14ac:dyDescent="0.25">
      <c r="A240" s="22" t="s">
        <v>275</v>
      </c>
      <c r="B240" s="22">
        <v>7</v>
      </c>
      <c r="C240" s="22" t="s">
        <v>212</v>
      </c>
      <c r="D240" s="22">
        <v>-120</v>
      </c>
      <c r="E240" s="22" t="s">
        <v>247</v>
      </c>
      <c r="F240" s="22" t="s">
        <v>183</v>
      </c>
      <c r="G240" s="23">
        <v>38100</v>
      </c>
      <c r="H240" s="22">
        <v>1</v>
      </c>
      <c r="I240" s="22">
        <v>3</v>
      </c>
      <c r="J240" s="22">
        <f t="shared" si="18"/>
        <v>24</v>
      </c>
      <c r="K240" s="22">
        <f t="shared" si="19"/>
        <v>12</v>
      </c>
      <c r="L240" s="22">
        <f t="shared" si="20"/>
        <v>12</v>
      </c>
      <c r="M240" s="22">
        <f t="shared" si="21"/>
        <v>82</v>
      </c>
      <c r="N240" s="24">
        <f t="shared" si="22"/>
        <v>0.14634146341463414</v>
      </c>
      <c r="O240" s="24">
        <v>0.146341463414634</v>
      </c>
      <c r="P240" s="24">
        <f t="shared" si="23"/>
        <v>1.3877787807814457E-16</v>
      </c>
      <c r="Q240" s="22"/>
    </row>
    <row r="241" spans="1:17" ht="15" customHeight="1" x14ac:dyDescent="0.25">
      <c r="A241" s="22" t="s">
        <v>275</v>
      </c>
      <c r="B241" s="22">
        <v>8</v>
      </c>
      <c r="C241" s="22" t="s">
        <v>226</v>
      </c>
      <c r="D241" s="22">
        <v>-105</v>
      </c>
      <c r="E241" s="22" t="s">
        <v>247</v>
      </c>
      <c r="F241" s="22" t="s">
        <v>183</v>
      </c>
      <c r="G241" s="23">
        <v>38100</v>
      </c>
      <c r="H241" s="22">
        <v>3</v>
      </c>
      <c r="I241" s="22">
        <v>0</v>
      </c>
      <c r="J241" s="22">
        <f t="shared" si="18"/>
        <v>27</v>
      </c>
      <c r="K241" s="22">
        <f t="shared" si="19"/>
        <v>12</v>
      </c>
      <c r="L241" s="22">
        <f t="shared" si="20"/>
        <v>15</v>
      </c>
      <c r="M241" s="22">
        <f t="shared" si="21"/>
        <v>82</v>
      </c>
      <c r="N241" s="24">
        <f t="shared" si="22"/>
        <v>0.18292682926829268</v>
      </c>
      <c r="O241" s="24">
        <v>0.18292682926829301</v>
      </c>
      <c r="P241" s="24">
        <f t="shared" si="23"/>
        <v>-3.3306690738754696E-16</v>
      </c>
      <c r="Q241" s="22"/>
    </row>
    <row r="242" spans="1:17" ht="15" customHeight="1" x14ac:dyDescent="0.25">
      <c r="A242" s="22" t="s">
        <v>275</v>
      </c>
      <c r="B242" s="22">
        <v>9</v>
      </c>
      <c r="C242" s="22" t="s">
        <v>264</v>
      </c>
      <c r="D242" s="22">
        <v>-90</v>
      </c>
      <c r="E242" s="22" t="s">
        <v>247</v>
      </c>
      <c r="F242" s="22" t="s">
        <v>183</v>
      </c>
      <c r="G242" s="23">
        <v>38100</v>
      </c>
      <c r="H242" s="22">
        <v>11</v>
      </c>
      <c r="I242" s="22">
        <v>4</v>
      </c>
      <c r="J242" s="22">
        <f t="shared" si="18"/>
        <v>38</v>
      </c>
      <c r="K242" s="22">
        <f t="shared" si="19"/>
        <v>16</v>
      </c>
      <c r="L242" s="22">
        <f t="shared" si="20"/>
        <v>22</v>
      </c>
      <c r="M242" s="22">
        <f t="shared" si="21"/>
        <v>82</v>
      </c>
      <c r="N242" s="24">
        <f t="shared" si="22"/>
        <v>0.26829268292682928</v>
      </c>
      <c r="O242" s="24">
        <v>0.26829268292682901</v>
      </c>
      <c r="P242" s="24">
        <f t="shared" si="23"/>
        <v>2.7755575615628914E-16</v>
      </c>
      <c r="Q242" s="22"/>
    </row>
    <row r="243" spans="1:17" ht="15" customHeight="1" x14ac:dyDescent="0.25">
      <c r="A243" s="22" t="s">
        <v>275</v>
      </c>
      <c r="B243" s="22">
        <v>10</v>
      </c>
      <c r="C243" s="22" t="s">
        <v>191</v>
      </c>
      <c r="D243" s="22">
        <v>-75</v>
      </c>
      <c r="E243" s="22" t="s">
        <v>247</v>
      </c>
      <c r="F243" s="22" t="s">
        <v>183</v>
      </c>
      <c r="G243" s="23">
        <v>38100</v>
      </c>
      <c r="H243" s="22">
        <v>6</v>
      </c>
      <c r="I243" s="22">
        <v>2</v>
      </c>
      <c r="J243" s="22">
        <f t="shared" si="18"/>
        <v>44</v>
      </c>
      <c r="K243" s="22">
        <f t="shared" si="19"/>
        <v>18</v>
      </c>
      <c r="L243" s="22">
        <f t="shared" si="20"/>
        <v>26</v>
      </c>
      <c r="M243" s="22">
        <f t="shared" si="21"/>
        <v>82</v>
      </c>
      <c r="N243" s="24">
        <f t="shared" si="22"/>
        <v>0.31707317073170732</v>
      </c>
      <c r="O243" s="24">
        <v>0.31707317073170699</v>
      </c>
      <c r="P243" s="24">
        <f t="shared" si="23"/>
        <v>3.3306690738754696E-16</v>
      </c>
      <c r="Q243" s="22"/>
    </row>
    <row r="244" spans="1:17" ht="15" customHeight="1" x14ac:dyDescent="0.25">
      <c r="A244" s="22" t="s">
        <v>275</v>
      </c>
      <c r="B244" s="22">
        <v>11</v>
      </c>
      <c r="C244" s="22" t="s">
        <v>231</v>
      </c>
      <c r="D244" s="22">
        <v>-60</v>
      </c>
      <c r="E244" s="22" t="s">
        <v>247</v>
      </c>
      <c r="F244" s="22" t="s">
        <v>183</v>
      </c>
      <c r="G244" s="23">
        <v>38100</v>
      </c>
      <c r="H244" s="22">
        <v>5</v>
      </c>
      <c r="I244" s="22">
        <v>3</v>
      </c>
      <c r="J244" s="22">
        <f t="shared" si="18"/>
        <v>49</v>
      </c>
      <c r="K244" s="22">
        <f t="shared" si="19"/>
        <v>21</v>
      </c>
      <c r="L244" s="22">
        <f t="shared" si="20"/>
        <v>28</v>
      </c>
      <c r="M244" s="22">
        <f t="shared" si="21"/>
        <v>82</v>
      </c>
      <c r="N244" s="24">
        <f t="shared" si="22"/>
        <v>0.34146341463414637</v>
      </c>
      <c r="O244" s="24">
        <v>0.34146341463414598</v>
      </c>
      <c r="P244" s="24">
        <f t="shared" si="23"/>
        <v>3.8857805861880479E-16</v>
      </c>
      <c r="Q244" s="22"/>
    </row>
    <row r="245" spans="1:17" ht="15" customHeight="1" x14ac:dyDescent="0.25">
      <c r="A245" s="22" t="s">
        <v>275</v>
      </c>
      <c r="B245" s="22">
        <v>12</v>
      </c>
      <c r="C245" s="22" t="s">
        <v>239</v>
      </c>
      <c r="D245" s="22">
        <v>-45</v>
      </c>
      <c r="E245" s="22" t="s">
        <v>247</v>
      </c>
      <c r="F245" s="22" t="s">
        <v>183</v>
      </c>
      <c r="G245" s="23">
        <v>38100</v>
      </c>
      <c r="H245" s="22">
        <v>6</v>
      </c>
      <c r="I245" s="22">
        <v>5</v>
      </c>
      <c r="J245" s="22">
        <f t="shared" si="18"/>
        <v>55</v>
      </c>
      <c r="K245" s="22">
        <f t="shared" si="19"/>
        <v>26</v>
      </c>
      <c r="L245" s="22">
        <f t="shared" si="20"/>
        <v>29</v>
      </c>
      <c r="M245" s="22">
        <f t="shared" si="21"/>
        <v>82</v>
      </c>
      <c r="N245" s="24">
        <f t="shared" si="22"/>
        <v>0.35365853658536583</v>
      </c>
      <c r="O245" s="24">
        <v>0.353658536585366</v>
      </c>
      <c r="P245" s="24">
        <f t="shared" si="23"/>
        <v>-1.6653345369377348E-16</v>
      </c>
      <c r="Q245" s="22"/>
    </row>
    <row r="246" spans="1:17" ht="15" customHeight="1" x14ac:dyDescent="0.25">
      <c r="A246" s="22" t="s">
        <v>275</v>
      </c>
      <c r="B246" s="22">
        <v>13</v>
      </c>
      <c r="C246" s="22" t="s">
        <v>387</v>
      </c>
      <c r="D246" s="22">
        <v>-30</v>
      </c>
      <c r="E246" s="22" t="s">
        <v>247</v>
      </c>
      <c r="F246" s="22" t="s">
        <v>183</v>
      </c>
      <c r="G246" s="23">
        <v>38100</v>
      </c>
      <c r="H246" s="22">
        <v>4</v>
      </c>
      <c r="I246" s="22">
        <v>4</v>
      </c>
      <c r="J246" s="22">
        <f t="shared" si="18"/>
        <v>59</v>
      </c>
      <c r="K246" s="22">
        <f t="shared" si="19"/>
        <v>30</v>
      </c>
      <c r="L246" s="22">
        <f t="shared" si="20"/>
        <v>29</v>
      </c>
      <c r="M246" s="22">
        <f t="shared" si="21"/>
        <v>82</v>
      </c>
      <c r="N246" s="24">
        <f t="shared" si="22"/>
        <v>0.35365853658536583</v>
      </c>
      <c r="O246" s="24">
        <v>0.353658536585366</v>
      </c>
      <c r="P246" s="24">
        <f t="shared" si="23"/>
        <v>-1.6653345369377348E-16</v>
      </c>
      <c r="Q246" s="22"/>
    </row>
    <row r="247" spans="1:17" ht="15" customHeight="1" x14ac:dyDescent="0.25">
      <c r="A247" s="22" t="s">
        <v>275</v>
      </c>
      <c r="B247" s="22">
        <v>14</v>
      </c>
      <c r="C247" s="22" t="s">
        <v>468</v>
      </c>
      <c r="D247" s="22">
        <v>-15</v>
      </c>
      <c r="E247" s="22" t="s">
        <v>247</v>
      </c>
      <c r="F247" s="22" t="s">
        <v>183</v>
      </c>
      <c r="G247" s="23">
        <v>38100</v>
      </c>
      <c r="H247" s="22">
        <v>0</v>
      </c>
      <c r="I247" s="22">
        <v>11</v>
      </c>
      <c r="J247" s="22">
        <f t="shared" si="18"/>
        <v>59</v>
      </c>
      <c r="K247" s="22">
        <f t="shared" si="19"/>
        <v>41</v>
      </c>
      <c r="L247" s="22">
        <f t="shared" si="20"/>
        <v>18</v>
      </c>
      <c r="M247" s="22">
        <f t="shared" si="21"/>
        <v>82</v>
      </c>
      <c r="N247" s="24">
        <f t="shared" si="22"/>
        <v>0.21951219512195122</v>
      </c>
      <c r="O247" s="24">
        <v>0.219512195121951</v>
      </c>
      <c r="P247" s="24">
        <f t="shared" si="23"/>
        <v>2.2204460492503131E-16</v>
      </c>
      <c r="Q247" s="22"/>
    </row>
    <row r="248" spans="1:17" ht="15" customHeight="1" x14ac:dyDescent="0.25">
      <c r="A248" s="22" t="s">
        <v>275</v>
      </c>
      <c r="B248" s="22">
        <v>15</v>
      </c>
      <c r="C248" s="22" t="s">
        <v>469</v>
      </c>
      <c r="D248" s="22">
        <v>0</v>
      </c>
      <c r="E248" s="22" t="s">
        <v>247</v>
      </c>
      <c r="F248" s="22" t="s">
        <v>183</v>
      </c>
      <c r="G248" s="23">
        <v>38100</v>
      </c>
      <c r="H248" s="22">
        <v>3</v>
      </c>
      <c r="I248" s="22">
        <v>6</v>
      </c>
      <c r="J248" s="22">
        <f t="shared" si="18"/>
        <v>62</v>
      </c>
      <c r="K248" s="22">
        <f t="shared" si="19"/>
        <v>47</v>
      </c>
      <c r="L248" s="22">
        <f t="shared" si="20"/>
        <v>15</v>
      </c>
      <c r="M248" s="22">
        <f t="shared" si="21"/>
        <v>82</v>
      </c>
      <c r="N248" s="24">
        <f t="shared" si="22"/>
        <v>0.18292682926829268</v>
      </c>
      <c r="O248" s="24">
        <v>0.18292682926829301</v>
      </c>
      <c r="P248" s="24">
        <f t="shared" si="23"/>
        <v>-3.3306690738754696E-16</v>
      </c>
      <c r="Q248" s="22"/>
    </row>
    <row r="249" spans="1:17" ht="15" customHeight="1" x14ac:dyDescent="0.25">
      <c r="A249" s="22" t="s">
        <v>275</v>
      </c>
      <c r="B249" s="22">
        <v>16</v>
      </c>
      <c r="C249" s="22" t="s">
        <v>351</v>
      </c>
      <c r="D249" s="22">
        <v>15</v>
      </c>
      <c r="E249" s="22" t="s">
        <v>247</v>
      </c>
      <c r="F249" s="22" t="s">
        <v>183</v>
      </c>
      <c r="G249" s="23">
        <v>38100</v>
      </c>
      <c r="H249" s="22">
        <v>5</v>
      </c>
      <c r="I249" s="22">
        <v>5</v>
      </c>
      <c r="J249" s="22">
        <f t="shared" si="18"/>
        <v>67</v>
      </c>
      <c r="K249" s="22">
        <f t="shared" si="19"/>
        <v>52</v>
      </c>
      <c r="L249" s="22">
        <f t="shared" si="20"/>
        <v>15</v>
      </c>
      <c r="M249" s="22">
        <f t="shared" si="21"/>
        <v>82</v>
      </c>
      <c r="N249" s="24">
        <f t="shared" si="22"/>
        <v>0.18292682926829268</v>
      </c>
      <c r="O249" s="24">
        <v>0.18292682926829301</v>
      </c>
      <c r="P249" s="24">
        <f t="shared" si="23"/>
        <v>-3.3306690738754696E-16</v>
      </c>
      <c r="Q249" s="22"/>
    </row>
    <row r="250" spans="1:17" ht="15" customHeight="1" x14ac:dyDescent="0.25">
      <c r="A250" s="22" t="s">
        <v>275</v>
      </c>
      <c r="B250" s="22">
        <v>17</v>
      </c>
      <c r="C250" s="22" t="s">
        <v>311</v>
      </c>
      <c r="D250" s="22">
        <v>30</v>
      </c>
      <c r="E250" s="22" t="s">
        <v>247</v>
      </c>
      <c r="F250" s="22" t="s">
        <v>183</v>
      </c>
      <c r="G250" s="23">
        <v>38100</v>
      </c>
      <c r="H250" s="22">
        <v>3</v>
      </c>
      <c r="I250" s="22">
        <v>7</v>
      </c>
      <c r="J250" s="22">
        <f t="shared" si="18"/>
        <v>70</v>
      </c>
      <c r="K250" s="22">
        <f t="shared" si="19"/>
        <v>59</v>
      </c>
      <c r="L250" s="22">
        <f t="shared" si="20"/>
        <v>11</v>
      </c>
      <c r="M250" s="22">
        <f t="shared" si="21"/>
        <v>82</v>
      </c>
      <c r="N250" s="24">
        <f t="shared" si="22"/>
        <v>0.13414634146341464</v>
      </c>
      <c r="O250" s="24">
        <v>0.134146341463415</v>
      </c>
      <c r="P250" s="24">
        <f t="shared" si="23"/>
        <v>-3.6082248300317588E-16</v>
      </c>
      <c r="Q250" s="22"/>
    </row>
    <row r="251" spans="1:17" ht="15" customHeight="1" x14ac:dyDescent="0.25">
      <c r="A251" s="22" t="s">
        <v>275</v>
      </c>
      <c r="B251" s="22">
        <v>18</v>
      </c>
      <c r="C251" s="22" t="s">
        <v>211</v>
      </c>
      <c r="D251" s="22">
        <v>45</v>
      </c>
      <c r="E251" s="22" t="s">
        <v>247</v>
      </c>
      <c r="F251" s="22" t="s">
        <v>183</v>
      </c>
      <c r="G251" s="23">
        <v>38100</v>
      </c>
      <c r="H251" s="22">
        <v>5</v>
      </c>
      <c r="I251" s="22">
        <v>4</v>
      </c>
      <c r="J251" s="22">
        <f t="shared" si="18"/>
        <v>75</v>
      </c>
      <c r="K251" s="22">
        <f t="shared" si="19"/>
        <v>63</v>
      </c>
      <c r="L251" s="22">
        <f t="shared" si="20"/>
        <v>12</v>
      </c>
      <c r="M251" s="22">
        <f t="shared" si="21"/>
        <v>82</v>
      </c>
      <c r="N251" s="24">
        <f t="shared" si="22"/>
        <v>0.14634146341463414</v>
      </c>
      <c r="O251" s="24">
        <v>0.146341463414634</v>
      </c>
      <c r="P251" s="24">
        <f t="shared" si="23"/>
        <v>1.3877787807814457E-16</v>
      </c>
      <c r="Q251" s="22"/>
    </row>
    <row r="252" spans="1:17" ht="15" customHeight="1" x14ac:dyDescent="0.25">
      <c r="A252" s="22" t="s">
        <v>275</v>
      </c>
      <c r="B252" s="22">
        <v>19</v>
      </c>
      <c r="C252" s="22" t="s">
        <v>190</v>
      </c>
      <c r="D252" s="22">
        <v>60</v>
      </c>
      <c r="E252" s="22" t="s">
        <v>247</v>
      </c>
      <c r="F252" s="22" t="s">
        <v>183</v>
      </c>
      <c r="G252" s="23">
        <v>38100</v>
      </c>
      <c r="H252" s="22">
        <v>4</v>
      </c>
      <c r="I252" s="22">
        <v>5</v>
      </c>
      <c r="J252" s="22">
        <f t="shared" si="18"/>
        <v>79</v>
      </c>
      <c r="K252" s="22">
        <f t="shared" si="19"/>
        <v>68</v>
      </c>
      <c r="L252" s="22">
        <f t="shared" si="20"/>
        <v>11</v>
      </c>
      <c r="M252" s="22">
        <f t="shared" si="21"/>
        <v>82</v>
      </c>
      <c r="N252" s="24">
        <f t="shared" si="22"/>
        <v>0.13414634146341464</v>
      </c>
      <c r="O252" s="24">
        <v>0.134146341463415</v>
      </c>
      <c r="P252" s="24">
        <f t="shared" si="23"/>
        <v>-3.6082248300317588E-16</v>
      </c>
      <c r="Q252" s="22"/>
    </row>
    <row r="253" spans="1:17" ht="15" customHeight="1" x14ac:dyDescent="0.25">
      <c r="A253" s="22" t="s">
        <v>275</v>
      </c>
      <c r="B253" s="22">
        <v>20</v>
      </c>
      <c r="C253" s="22" t="s">
        <v>472</v>
      </c>
      <c r="D253" s="22">
        <v>75</v>
      </c>
      <c r="E253" s="22" t="s">
        <v>247</v>
      </c>
      <c r="F253" s="22" t="s">
        <v>183</v>
      </c>
      <c r="G253" s="23">
        <v>38100</v>
      </c>
      <c r="H253" s="22">
        <v>1</v>
      </c>
      <c r="I253" s="22">
        <v>3</v>
      </c>
      <c r="J253" s="22">
        <f t="shared" si="18"/>
        <v>80</v>
      </c>
      <c r="K253" s="22">
        <f t="shared" si="19"/>
        <v>71</v>
      </c>
      <c r="L253" s="22">
        <f t="shared" si="20"/>
        <v>9</v>
      </c>
      <c r="M253" s="22">
        <f t="shared" si="21"/>
        <v>82</v>
      </c>
      <c r="N253" s="24">
        <f t="shared" si="22"/>
        <v>0.10975609756097561</v>
      </c>
      <c r="O253" s="24">
        <v>0.109756097560976</v>
      </c>
      <c r="P253" s="24">
        <f t="shared" si="23"/>
        <v>-3.8857805861880479E-16</v>
      </c>
      <c r="Q253" s="22"/>
    </row>
    <row r="254" spans="1:17" ht="15" customHeight="1" x14ac:dyDescent="0.25">
      <c r="A254" s="22" t="s">
        <v>275</v>
      </c>
      <c r="B254" s="22">
        <v>21</v>
      </c>
      <c r="C254" s="22" t="s">
        <v>250</v>
      </c>
      <c r="D254" s="22">
        <v>90</v>
      </c>
      <c r="E254" s="22" t="s">
        <v>247</v>
      </c>
      <c r="F254" s="22" t="s">
        <v>183</v>
      </c>
      <c r="G254" s="23">
        <v>38100</v>
      </c>
      <c r="H254" s="22">
        <v>2</v>
      </c>
      <c r="I254" s="22">
        <v>8</v>
      </c>
      <c r="J254" s="22">
        <f t="shared" si="18"/>
        <v>82</v>
      </c>
      <c r="K254" s="22">
        <f t="shared" si="19"/>
        <v>79</v>
      </c>
      <c r="L254" s="22">
        <f t="shared" si="20"/>
        <v>3</v>
      </c>
      <c r="M254" s="22">
        <f t="shared" si="21"/>
        <v>82</v>
      </c>
      <c r="N254" s="24">
        <f t="shared" si="22"/>
        <v>3.6585365853658534E-2</v>
      </c>
      <c r="O254" s="24">
        <v>3.65853658536585E-2</v>
      </c>
      <c r="P254" s="24">
        <f t="shared" si="23"/>
        <v>3.4694469519536142E-17</v>
      </c>
      <c r="Q254" s="22"/>
    </row>
    <row r="255" spans="1:17" ht="15" customHeight="1" x14ac:dyDescent="0.25">
      <c r="A255" s="22" t="s">
        <v>279</v>
      </c>
      <c r="B255" s="22">
        <v>0</v>
      </c>
      <c r="C255" s="22" t="s">
        <v>189</v>
      </c>
      <c r="D255" s="22"/>
      <c r="E255" s="22" t="s">
        <v>247</v>
      </c>
      <c r="F255" s="22" t="s">
        <v>205</v>
      </c>
      <c r="G255" s="23">
        <v>39823</v>
      </c>
      <c r="H255" s="22">
        <v>61</v>
      </c>
      <c r="I255" s="22">
        <v>0</v>
      </c>
      <c r="J255" s="22">
        <f t="shared" si="18"/>
        <v>61</v>
      </c>
      <c r="K255" s="22">
        <f t="shared" si="19"/>
        <v>0</v>
      </c>
      <c r="L255" s="22">
        <f t="shared" si="20"/>
        <v>61</v>
      </c>
      <c r="M255" s="22">
        <f t="shared" si="21"/>
        <v>972</v>
      </c>
      <c r="N255" s="24">
        <f t="shared" si="22"/>
        <v>6.2757201646090541E-2</v>
      </c>
      <c r="O255" s="24"/>
      <c r="P255" s="24" t="str">
        <f t="shared" si="23"/>
        <v/>
      </c>
      <c r="Q255" s="22"/>
    </row>
    <row r="256" spans="1:17" ht="15" customHeight="1" x14ac:dyDescent="0.25">
      <c r="A256" s="22" t="s">
        <v>279</v>
      </c>
      <c r="B256" s="22">
        <v>1</v>
      </c>
      <c r="C256" s="22" t="s">
        <v>471</v>
      </c>
      <c r="D256" s="22">
        <v>-210</v>
      </c>
      <c r="E256" s="22" t="s">
        <v>247</v>
      </c>
      <c r="F256" s="22" t="s">
        <v>205</v>
      </c>
      <c r="G256" s="23">
        <v>39823</v>
      </c>
      <c r="H256" s="22">
        <v>36</v>
      </c>
      <c r="I256" s="22">
        <v>2</v>
      </c>
      <c r="J256" s="22">
        <f t="shared" si="18"/>
        <v>97</v>
      </c>
      <c r="K256" s="22">
        <f t="shared" si="19"/>
        <v>2</v>
      </c>
      <c r="L256" s="22">
        <f t="shared" si="20"/>
        <v>95</v>
      </c>
      <c r="M256" s="22">
        <f t="shared" si="21"/>
        <v>972</v>
      </c>
      <c r="N256" s="24">
        <f t="shared" si="22"/>
        <v>9.7736625514403291E-2</v>
      </c>
      <c r="O256" s="24"/>
      <c r="P256" s="24" t="str">
        <f t="shared" si="23"/>
        <v/>
      </c>
      <c r="Q256" s="22"/>
    </row>
    <row r="257" spans="1:17" ht="15" customHeight="1" x14ac:dyDescent="0.25">
      <c r="A257" s="22" t="s">
        <v>279</v>
      </c>
      <c r="B257" s="22">
        <v>2</v>
      </c>
      <c r="C257" s="22" t="s">
        <v>325</v>
      </c>
      <c r="D257" s="22">
        <v>-195</v>
      </c>
      <c r="E257" s="22" t="s">
        <v>247</v>
      </c>
      <c r="F257" s="22" t="s">
        <v>205</v>
      </c>
      <c r="G257" s="23">
        <v>39823</v>
      </c>
      <c r="H257" s="22">
        <v>73</v>
      </c>
      <c r="I257" s="22">
        <v>4</v>
      </c>
      <c r="J257" s="22">
        <f t="shared" si="18"/>
        <v>170</v>
      </c>
      <c r="K257" s="22">
        <f t="shared" si="19"/>
        <v>6</v>
      </c>
      <c r="L257" s="22">
        <f t="shared" si="20"/>
        <v>164</v>
      </c>
      <c r="M257" s="22">
        <f t="shared" si="21"/>
        <v>972</v>
      </c>
      <c r="N257" s="24">
        <f t="shared" si="22"/>
        <v>0.16872427983539096</v>
      </c>
      <c r="O257" s="24"/>
      <c r="P257" s="24" t="str">
        <f t="shared" si="23"/>
        <v/>
      </c>
      <c r="Q257" s="22"/>
    </row>
    <row r="258" spans="1:17" ht="15" customHeight="1" x14ac:dyDescent="0.25">
      <c r="A258" s="22" t="s">
        <v>279</v>
      </c>
      <c r="B258" s="22">
        <v>3</v>
      </c>
      <c r="C258" s="22" t="s">
        <v>464</v>
      </c>
      <c r="D258" s="22">
        <v>-180</v>
      </c>
      <c r="E258" s="22" t="s">
        <v>247</v>
      </c>
      <c r="F258" s="22" t="s">
        <v>205</v>
      </c>
      <c r="G258" s="23">
        <v>39823</v>
      </c>
      <c r="H258" s="22">
        <v>108</v>
      </c>
      <c r="I258" s="22">
        <v>1</v>
      </c>
      <c r="J258" s="22">
        <f t="shared" ref="J258:J321" si="24">SUMIFS($H$2:$H$1200,$A$2:$A$1200,$A258,$B$2:$B$1200,"&lt;="&amp;$B258)</f>
        <v>278</v>
      </c>
      <c r="K258" s="22">
        <f t="shared" ref="K258:K321" si="25">SUMIFS($I$2:$I$1200,$A$2:$A$1200,$A258,$B$2:$B$1200,"&lt;="&amp;$B258)</f>
        <v>7</v>
      </c>
      <c r="L258" s="22">
        <f t="shared" ref="L258:L321" si="26">J258-K258</f>
        <v>271</v>
      </c>
      <c r="M258" s="22">
        <f t="shared" ref="M258:M321" si="27">SUMIF($A$2:$A$1200,$A258,$H$2:$H$1200)</f>
        <v>972</v>
      </c>
      <c r="N258" s="24">
        <f t="shared" ref="N258:N321" si="28">IF(M258=0,"",L258/M258)</f>
        <v>0.2788065843621399</v>
      </c>
      <c r="O258" s="24"/>
      <c r="P258" s="24" t="str">
        <f t="shared" ref="P258:P321" si="29">IF(OR(N258="",O258=""),"",N258-O258)</f>
        <v/>
      </c>
      <c r="Q258" s="22"/>
    </row>
    <row r="259" spans="1:17" ht="15" customHeight="1" x14ac:dyDescent="0.25">
      <c r="A259" s="22" t="s">
        <v>279</v>
      </c>
      <c r="B259" s="22">
        <v>4</v>
      </c>
      <c r="C259" s="22" t="s">
        <v>465</v>
      </c>
      <c r="D259" s="22">
        <v>-165</v>
      </c>
      <c r="E259" s="22" t="s">
        <v>247</v>
      </c>
      <c r="F259" s="22" t="s">
        <v>205</v>
      </c>
      <c r="G259" s="23">
        <v>39823</v>
      </c>
      <c r="H259" s="22">
        <v>117</v>
      </c>
      <c r="I259" s="22">
        <v>3</v>
      </c>
      <c r="J259" s="22">
        <f t="shared" si="24"/>
        <v>395</v>
      </c>
      <c r="K259" s="22">
        <f t="shared" si="25"/>
        <v>10</v>
      </c>
      <c r="L259" s="22">
        <f t="shared" si="26"/>
        <v>385</v>
      </c>
      <c r="M259" s="22">
        <f t="shared" si="27"/>
        <v>972</v>
      </c>
      <c r="N259" s="24">
        <f t="shared" si="28"/>
        <v>0.39609053497942387</v>
      </c>
      <c r="O259" s="24"/>
      <c r="P259" s="24" t="str">
        <f t="shared" si="29"/>
        <v/>
      </c>
      <c r="Q259" s="22"/>
    </row>
    <row r="260" spans="1:17" ht="15" customHeight="1" x14ac:dyDescent="0.25">
      <c r="A260" s="22" t="s">
        <v>279</v>
      </c>
      <c r="B260" s="22">
        <v>5</v>
      </c>
      <c r="C260" s="22" t="s">
        <v>466</v>
      </c>
      <c r="D260" s="22">
        <v>-150</v>
      </c>
      <c r="E260" s="22" t="s">
        <v>247</v>
      </c>
      <c r="F260" s="22" t="s">
        <v>205</v>
      </c>
      <c r="G260" s="23">
        <v>39823</v>
      </c>
      <c r="H260" s="22">
        <v>152</v>
      </c>
      <c r="I260" s="22">
        <v>17</v>
      </c>
      <c r="J260" s="22">
        <f t="shared" si="24"/>
        <v>547</v>
      </c>
      <c r="K260" s="22">
        <f t="shared" si="25"/>
        <v>27</v>
      </c>
      <c r="L260" s="22">
        <f t="shared" si="26"/>
        <v>520</v>
      </c>
      <c r="M260" s="22">
        <f t="shared" si="27"/>
        <v>972</v>
      </c>
      <c r="N260" s="24">
        <f t="shared" si="28"/>
        <v>0.53497942386831276</v>
      </c>
      <c r="O260" s="24"/>
      <c r="P260" s="24" t="str">
        <f t="shared" si="29"/>
        <v/>
      </c>
      <c r="Q260" s="22"/>
    </row>
    <row r="261" spans="1:17" ht="15" customHeight="1" x14ac:dyDescent="0.25">
      <c r="A261" s="22" t="s">
        <v>279</v>
      </c>
      <c r="B261" s="22">
        <v>6</v>
      </c>
      <c r="C261" s="22" t="s">
        <v>467</v>
      </c>
      <c r="D261" s="22">
        <v>-135</v>
      </c>
      <c r="E261" s="22" t="s">
        <v>247</v>
      </c>
      <c r="F261" s="22" t="s">
        <v>205</v>
      </c>
      <c r="G261" s="23">
        <v>39823</v>
      </c>
      <c r="H261" s="22">
        <v>125</v>
      </c>
      <c r="I261" s="22">
        <v>13</v>
      </c>
      <c r="J261" s="22">
        <f t="shared" si="24"/>
        <v>672</v>
      </c>
      <c r="K261" s="22">
        <f t="shared" si="25"/>
        <v>40</v>
      </c>
      <c r="L261" s="22">
        <f t="shared" si="26"/>
        <v>632</v>
      </c>
      <c r="M261" s="22">
        <f t="shared" si="27"/>
        <v>972</v>
      </c>
      <c r="N261" s="24">
        <f t="shared" si="28"/>
        <v>0.65020576131687247</v>
      </c>
      <c r="O261" s="24"/>
      <c r="P261" s="24" t="str">
        <f t="shared" si="29"/>
        <v/>
      </c>
      <c r="Q261" s="22"/>
    </row>
    <row r="262" spans="1:17" ht="15" customHeight="1" x14ac:dyDescent="0.25">
      <c r="A262" s="22" t="s">
        <v>279</v>
      </c>
      <c r="B262" s="22">
        <v>7</v>
      </c>
      <c r="C262" s="22" t="s">
        <v>212</v>
      </c>
      <c r="D262" s="22">
        <v>-120</v>
      </c>
      <c r="E262" s="22" t="s">
        <v>247</v>
      </c>
      <c r="F262" s="22" t="s">
        <v>205</v>
      </c>
      <c r="G262" s="23">
        <v>39823</v>
      </c>
      <c r="H262" s="22">
        <v>104</v>
      </c>
      <c r="I262" s="22">
        <v>30</v>
      </c>
      <c r="J262" s="22">
        <f t="shared" si="24"/>
        <v>776</v>
      </c>
      <c r="K262" s="22">
        <f t="shared" si="25"/>
        <v>70</v>
      </c>
      <c r="L262" s="22">
        <f t="shared" si="26"/>
        <v>706</v>
      </c>
      <c r="M262" s="22">
        <f t="shared" si="27"/>
        <v>972</v>
      </c>
      <c r="N262" s="24">
        <f t="shared" si="28"/>
        <v>0.72633744855967075</v>
      </c>
      <c r="O262" s="24"/>
      <c r="P262" s="24" t="str">
        <f t="shared" si="29"/>
        <v/>
      </c>
      <c r="Q262" s="22"/>
    </row>
    <row r="263" spans="1:17" ht="15" customHeight="1" x14ac:dyDescent="0.25">
      <c r="A263" s="22" t="s">
        <v>279</v>
      </c>
      <c r="B263" s="22">
        <v>8</v>
      </c>
      <c r="C263" s="22" t="s">
        <v>226</v>
      </c>
      <c r="D263" s="22">
        <v>-105</v>
      </c>
      <c r="E263" s="22" t="s">
        <v>247</v>
      </c>
      <c r="F263" s="22" t="s">
        <v>205</v>
      </c>
      <c r="G263" s="23">
        <v>39823</v>
      </c>
      <c r="H263" s="22">
        <v>75</v>
      </c>
      <c r="I263" s="22">
        <v>54</v>
      </c>
      <c r="J263" s="22">
        <f t="shared" si="24"/>
        <v>851</v>
      </c>
      <c r="K263" s="22">
        <f t="shared" si="25"/>
        <v>124</v>
      </c>
      <c r="L263" s="22">
        <f t="shared" si="26"/>
        <v>727</v>
      </c>
      <c r="M263" s="22">
        <f t="shared" si="27"/>
        <v>972</v>
      </c>
      <c r="N263" s="24">
        <f t="shared" si="28"/>
        <v>0.74794238683127567</v>
      </c>
      <c r="O263" s="24"/>
      <c r="P263" s="24" t="str">
        <f t="shared" si="29"/>
        <v/>
      </c>
      <c r="Q263" s="22"/>
    </row>
    <row r="264" spans="1:17" ht="15" customHeight="1" x14ac:dyDescent="0.25">
      <c r="A264" s="22" t="s">
        <v>279</v>
      </c>
      <c r="B264" s="22">
        <v>9</v>
      </c>
      <c r="C264" s="22" t="s">
        <v>264</v>
      </c>
      <c r="D264" s="22">
        <v>-90</v>
      </c>
      <c r="E264" s="22" t="s">
        <v>247</v>
      </c>
      <c r="F264" s="22" t="s">
        <v>205</v>
      </c>
      <c r="G264" s="23">
        <v>39823</v>
      </c>
      <c r="H264" s="22">
        <v>43</v>
      </c>
      <c r="I264" s="22">
        <v>59</v>
      </c>
      <c r="J264" s="22">
        <f t="shared" si="24"/>
        <v>894</v>
      </c>
      <c r="K264" s="22">
        <f t="shared" si="25"/>
        <v>183</v>
      </c>
      <c r="L264" s="22">
        <f t="shared" si="26"/>
        <v>711</v>
      </c>
      <c r="M264" s="22">
        <f t="shared" si="27"/>
        <v>972</v>
      </c>
      <c r="N264" s="24">
        <f t="shared" si="28"/>
        <v>0.73148148148148151</v>
      </c>
      <c r="O264" s="24"/>
      <c r="P264" s="24" t="str">
        <f t="shared" si="29"/>
        <v/>
      </c>
      <c r="Q264" s="22"/>
    </row>
    <row r="265" spans="1:17" ht="15" customHeight="1" x14ac:dyDescent="0.25">
      <c r="A265" s="22" t="s">
        <v>279</v>
      </c>
      <c r="B265" s="22">
        <v>10</v>
      </c>
      <c r="C265" s="22" t="s">
        <v>191</v>
      </c>
      <c r="D265" s="22">
        <v>-75</v>
      </c>
      <c r="E265" s="22" t="s">
        <v>247</v>
      </c>
      <c r="F265" s="22" t="s">
        <v>205</v>
      </c>
      <c r="G265" s="23">
        <v>39823</v>
      </c>
      <c r="H265" s="22">
        <v>18</v>
      </c>
      <c r="I265" s="22">
        <v>81</v>
      </c>
      <c r="J265" s="22">
        <f t="shared" si="24"/>
        <v>912</v>
      </c>
      <c r="K265" s="22">
        <f t="shared" si="25"/>
        <v>264</v>
      </c>
      <c r="L265" s="22">
        <f t="shared" si="26"/>
        <v>648</v>
      </c>
      <c r="M265" s="22">
        <f t="shared" si="27"/>
        <v>972</v>
      </c>
      <c r="N265" s="24">
        <f t="shared" si="28"/>
        <v>0.66666666666666663</v>
      </c>
      <c r="O265" s="24"/>
      <c r="P265" s="24" t="str">
        <f t="shared" si="29"/>
        <v/>
      </c>
      <c r="Q265" s="22"/>
    </row>
    <row r="266" spans="1:17" ht="15" customHeight="1" x14ac:dyDescent="0.25">
      <c r="A266" s="22" t="s">
        <v>279</v>
      </c>
      <c r="B266" s="22">
        <v>11</v>
      </c>
      <c r="C266" s="22" t="s">
        <v>231</v>
      </c>
      <c r="D266" s="22">
        <v>-60</v>
      </c>
      <c r="E266" s="22" t="s">
        <v>247</v>
      </c>
      <c r="F266" s="22" t="s">
        <v>205</v>
      </c>
      <c r="G266" s="23">
        <v>39823</v>
      </c>
      <c r="H266" s="22">
        <v>20</v>
      </c>
      <c r="I266" s="22">
        <v>123</v>
      </c>
      <c r="J266" s="22">
        <f t="shared" si="24"/>
        <v>932</v>
      </c>
      <c r="K266" s="22">
        <f t="shared" si="25"/>
        <v>387</v>
      </c>
      <c r="L266" s="22">
        <f t="shared" si="26"/>
        <v>545</v>
      </c>
      <c r="M266" s="22">
        <f t="shared" si="27"/>
        <v>972</v>
      </c>
      <c r="N266" s="24">
        <f t="shared" si="28"/>
        <v>0.56069958847736623</v>
      </c>
      <c r="O266" s="24"/>
      <c r="P266" s="24" t="str">
        <f t="shared" si="29"/>
        <v/>
      </c>
      <c r="Q266" s="22"/>
    </row>
    <row r="267" spans="1:17" ht="15" customHeight="1" x14ac:dyDescent="0.25">
      <c r="A267" s="22" t="s">
        <v>279</v>
      </c>
      <c r="B267" s="22">
        <v>12</v>
      </c>
      <c r="C267" s="22" t="s">
        <v>239</v>
      </c>
      <c r="D267" s="22">
        <v>-45</v>
      </c>
      <c r="E267" s="22" t="s">
        <v>247</v>
      </c>
      <c r="F267" s="22" t="s">
        <v>205</v>
      </c>
      <c r="G267" s="23">
        <v>39823</v>
      </c>
      <c r="H267" s="22">
        <v>13</v>
      </c>
      <c r="I267" s="22">
        <v>144</v>
      </c>
      <c r="J267" s="22">
        <f t="shared" si="24"/>
        <v>945</v>
      </c>
      <c r="K267" s="22">
        <f t="shared" si="25"/>
        <v>531</v>
      </c>
      <c r="L267" s="22">
        <f t="shared" si="26"/>
        <v>414</v>
      </c>
      <c r="M267" s="22">
        <f t="shared" si="27"/>
        <v>972</v>
      </c>
      <c r="N267" s="24">
        <f t="shared" si="28"/>
        <v>0.42592592592592593</v>
      </c>
      <c r="O267" s="24"/>
      <c r="P267" s="24" t="str">
        <f t="shared" si="29"/>
        <v/>
      </c>
      <c r="Q267" s="22"/>
    </row>
    <row r="268" spans="1:17" ht="15" customHeight="1" x14ac:dyDescent="0.25">
      <c r="A268" s="22" t="s">
        <v>279</v>
      </c>
      <c r="B268" s="22">
        <v>13</v>
      </c>
      <c r="C268" s="22" t="s">
        <v>387</v>
      </c>
      <c r="D268" s="22">
        <v>-30</v>
      </c>
      <c r="E268" s="22" t="s">
        <v>247</v>
      </c>
      <c r="F268" s="22" t="s">
        <v>205</v>
      </c>
      <c r="G268" s="23">
        <v>39823</v>
      </c>
      <c r="H268" s="22">
        <v>8</v>
      </c>
      <c r="I268" s="22">
        <v>156</v>
      </c>
      <c r="J268" s="22">
        <f t="shared" si="24"/>
        <v>953</v>
      </c>
      <c r="K268" s="22">
        <f t="shared" si="25"/>
        <v>687</v>
      </c>
      <c r="L268" s="22">
        <f t="shared" si="26"/>
        <v>266</v>
      </c>
      <c r="M268" s="22">
        <f t="shared" si="27"/>
        <v>972</v>
      </c>
      <c r="N268" s="24">
        <f t="shared" si="28"/>
        <v>0.27366255144032919</v>
      </c>
      <c r="O268" s="24"/>
      <c r="P268" s="24" t="str">
        <f t="shared" si="29"/>
        <v/>
      </c>
      <c r="Q268" s="22"/>
    </row>
    <row r="269" spans="1:17" ht="15" customHeight="1" x14ac:dyDescent="0.25">
      <c r="A269" s="22" t="s">
        <v>279</v>
      </c>
      <c r="B269" s="22">
        <v>14</v>
      </c>
      <c r="C269" s="22" t="s">
        <v>468</v>
      </c>
      <c r="D269" s="22">
        <v>-15</v>
      </c>
      <c r="E269" s="22" t="s">
        <v>247</v>
      </c>
      <c r="F269" s="22" t="s">
        <v>205</v>
      </c>
      <c r="G269" s="23">
        <v>39823</v>
      </c>
      <c r="H269" s="22">
        <v>6</v>
      </c>
      <c r="I269" s="22">
        <v>92</v>
      </c>
      <c r="J269" s="22">
        <f t="shared" si="24"/>
        <v>959</v>
      </c>
      <c r="K269" s="22">
        <f t="shared" si="25"/>
        <v>779</v>
      </c>
      <c r="L269" s="22">
        <f t="shared" si="26"/>
        <v>180</v>
      </c>
      <c r="M269" s="22">
        <f t="shared" si="27"/>
        <v>972</v>
      </c>
      <c r="N269" s="24">
        <f t="shared" si="28"/>
        <v>0.18518518518518517</v>
      </c>
      <c r="O269" s="24"/>
      <c r="P269" s="24" t="str">
        <f t="shared" si="29"/>
        <v/>
      </c>
      <c r="Q269" s="22"/>
    </row>
    <row r="270" spans="1:17" ht="15" customHeight="1" x14ac:dyDescent="0.25">
      <c r="A270" s="22" t="s">
        <v>279</v>
      </c>
      <c r="B270" s="22">
        <v>15</v>
      </c>
      <c r="C270" s="22" t="s">
        <v>469</v>
      </c>
      <c r="D270" s="22">
        <v>0</v>
      </c>
      <c r="E270" s="22" t="s">
        <v>247</v>
      </c>
      <c r="F270" s="22" t="s">
        <v>205</v>
      </c>
      <c r="G270" s="23">
        <v>39823</v>
      </c>
      <c r="H270" s="22">
        <v>10</v>
      </c>
      <c r="I270" s="22">
        <v>55</v>
      </c>
      <c r="J270" s="22">
        <f t="shared" si="24"/>
        <v>969</v>
      </c>
      <c r="K270" s="22">
        <f t="shared" si="25"/>
        <v>834</v>
      </c>
      <c r="L270" s="22">
        <f t="shared" si="26"/>
        <v>135</v>
      </c>
      <c r="M270" s="22">
        <f t="shared" si="27"/>
        <v>972</v>
      </c>
      <c r="N270" s="24">
        <f t="shared" si="28"/>
        <v>0.1388888888888889</v>
      </c>
      <c r="O270" s="24"/>
      <c r="P270" s="24" t="str">
        <f t="shared" si="29"/>
        <v/>
      </c>
      <c r="Q270" s="22"/>
    </row>
    <row r="271" spans="1:17" ht="15" customHeight="1" x14ac:dyDescent="0.25">
      <c r="A271" s="22" t="s">
        <v>279</v>
      </c>
      <c r="B271" s="22">
        <v>16</v>
      </c>
      <c r="C271" s="22" t="s">
        <v>351</v>
      </c>
      <c r="D271" s="22">
        <v>15</v>
      </c>
      <c r="E271" s="22" t="s">
        <v>247</v>
      </c>
      <c r="F271" s="22" t="s">
        <v>205</v>
      </c>
      <c r="G271" s="23">
        <v>39823</v>
      </c>
      <c r="H271" s="22">
        <v>0</v>
      </c>
      <c r="I271" s="22">
        <v>36</v>
      </c>
      <c r="J271" s="22">
        <f t="shared" si="24"/>
        <v>969</v>
      </c>
      <c r="K271" s="22">
        <f t="shared" si="25"/>
        <v>870</v>
      </c>
      <c r="L271" s="22">
        <f t="shared" si="26"/>
        <v>99</v>
      </c>
      <c r="M271" s="22">
        <f t="shared" si="27"/>
        <v>972</v>
      </c>
      <c r="N271" s="24">
        <f t="shared" si="28"/>
        <v>0.10185185185185185</v>
      </c>
      <c r="O271" s="24"/>
      <c r="P271" s="24" t="str">
        <f t="shared" si="29"/>
        <v/>
      </c>
      <c r="Q271" s="22"/>
    </row>
    <row r="272" spans="1:17" ht="15" customHeight="1" x14ac:dyDescent="0.25">
      <c r="A272" s="22" t="s">
        <v>279</v>
      </c>
      <c r="B272" s="22">
        <v>17</v>
      </c>
      <c r="C272" s="22" t="s">
        <v>311</v>
      </c>
      <c r="D272" s="22">
        <v>30</v>
      </c>
      <c r="E272" s="22" t="s">
        <v>247</v>
      </c>
      <c r="F272" s="22" t="s">
        <v>205</v>
      </c>
      <c r="G272" s="23">
        <v>39823</v>
      </c>
      <c r="H272" s="22">
        <v>1</v>
      </c>
      <c r="I272" s="22">
        <v>45</v>
      </c>
      <c r="J272" s="22">
        <f t="shared" si="24"/>
        <v>970</v>
      </c>
      <c r="K272" s="22">
        <f t="shared" si="25"/>
        <v>915</v>
      </c>
      <c r="L272" s="22">
        <f t="shared" si="26"/>
        <v>55</v>
      </c>
      <c r="M272" s="22">
        <f t="shared" si="27"/>
        <v>972</v>
      </c>
      <c r="N272" s="24">
        <f t="shared" si="28"/>
        <v>5.6584362139917695E-2</v>
      </c>
      <c r="O272" s="24"/>
      <c r="P272" s="24" t="str">
        <f t="shared" si="29"/>
        <v/>
      </c>
      <c r="Q272" s="22"/>
    </row>
    <row r="273" spans="1:17" ht="15" customHeight="1" x14ac:dyDescent="0.25">
      <c r="A273" s="22" t="s">
        <v>279</v>
      </c>
      <c r="B273" s="22">
        <v>18</v>
      </c>
      <c r="C273" s="22" t="s">
        <v>211</v>
      </c>
      <c r="D273" s="22">
        <v>45</v>
      </c>
      <c r="E273" s="22" t="s">
        <v>247</v>
      </c>
      <c r="F273" s="22" t="s">
        <v>205</v>
      </c>
      <c r="G273" s="23">
        <v>39823</v>
      </c>
      <c r="H273" s="22">
        <v>1</v>
      </c>
      <c r="I273" s="22">
        <v>23</v>
      </c>
      <c r="J273" s="22">
        <f t="shared" si="24"/>
        <v>971</v>
      </c>
      <c r="K273" s="22">
        <f t="shared" si="25"/>
        <v>938</v>
      </c>
      <c r="L273" s="22">
        <f t="shared" si="26"/>
        <v>33</v>
      </c>
      <c r="M273" s="22">
        <f t="shared" si="27"/>
        <v>972</v>
      </c>
      <c r="N273" s="24">
        <f t="shared" si="28"/>
        <v>3.3950617283950615E-2</v>
      </c>
      <c r="O273" s="24"/>
      <c r="P273" s="24" t="str">
        <f t="shared" si="29"/>
        <v/>
      </c>
      <c r="Q273" s="22"/>
    </row>
    <row r="274" spans="1:17" ht="15" customHeight="1" x14ac:dyDescent="0.25">
      <c r="A274" s="22" t="s">
        <v>279</v>
      </c>
      <c r="B274" s="22">
        <v>19</v>
      </c>
      <c r="C274" s="22" t="s">
        <v>190</v>
      </c>
      <c r="D274" s="22">
        <v>60</v>
      </c>
      <c r="E274" s="22" t="s">
        <v>247</v>
      </c>
      <c r="F274" s="22" t="s">
        <v>205</v>
      </c>
      <c r="G274" s="23">
        <v>39823</v>
      </c>
      <c r="H274" s="22">
        <v>1</v>
      </c>
      <c r="I274" s="22">
        <v>18</v>
      </c>
      <c r="J274" s="22">
        <f t="shared" si="24"/>
        <v>972</v>
      </c>
      <c r="K274" s="22">
        <f t="shared" si="25"/>
        <v>956</v>
      </c>
      <c r="L274" s="22">
        <f t="shared" si="26"/>
        <v>16</v>
      </c>
      <c r="M274" s="22">
        <f t="shared" si="27"/>
        <v>972</v>
      </c>
      <c r="N274" s="24">
        <f t="shared" si="28"/>
        <v>1.646090534979424E-2</v>
      </c>
      <c r="O274" s="24"/>
      <c r="P274" s="24" t="str">
        <f t="shared" si="29"/>
        <v/>
      </c>
      <c r="Q274" s="22"/>
    </row>
    <row r="275" spans="1:17" ht="15" customHeight="1" x14ac:dyDescent="0.25">
      <c r="A275" s="22" t="s">
        <v>285</v>
      </c>
      <c r="B275" s="22">
        <v>0</v>
      </c>
      <c r="C275" s="22" t="s">
        <v>189</v>
      </c>
      <c r="D275" s="22"/>
      <c r="E275" s="22" t="s">
        <v>247</v>
      </c>
      <c r="F275" s="22" t="s">
        <v>205</v>
      </c>
      <c r="G275" s="23">
        <v>40564</v>
      </c>
      <c r="H275" s="22">
        <v>0</v>
      </c>
      <c r="I275" s="22">
        <v>0</v>
      </c>
      <c r="J275" s="22">
        <f t="shared" si="24"/>
        <v>0</v>
      </c>
      <c r="K275" s="22">
        <f t="shared" si="25"/>
        <v>0</v>
      </c>
      <c r="L275" s="22">
        <f t="shared" si="26"/>
        <v>0</v>
      </c>
      <c r="M275" s="22">
        <f t="shared" si="27"/>
        <v>280</v>
      </c>
      <c r="N275" s="24">
        <f t="shared" si="28"/>
        <v>0</v>
      </c>
      <c r="O275" s="24"/>
      <c r="P275" s="24" t="str">
        <f t="shared" si="29"/>
        <v/>
      </c>
      <c r="Q275" s="22"/>
    </row>
    <row r="276" spans="1:17" ht="15" customHeight="1" x14ac:dyDescent="0.25">
      <c r="A276" s="22" t="s">
        <v>285</v>
      </c>
      <c r="B276" s="22">
        <v>1</v>
      </c>
      <c r="C276" s="22" t="s">
        <v>471</v>
      </c>
      <c r="D276" s="22">
        <v>-210</v>
      </c>
      <c r="E276" s="22" t="s">
        <v>247</v>
      </c>
      <c r="F276" s="22" t="s">
        <v>205</v>
      </c>
      <c r="G276" s="23">
        <v>40564</v>
      </c>
      <c r="H276" s="22">
        <v>38</v>
      </c>
      <c r="I276" s="22">
        <v>0</v>
      </c>
      <c r="J276" s="22">
        <f t="shared" si="24"/>
        <v>38</v>
      </c>
      <c r="K276" s="22">
        <f t="shared" si="25"/>
        <v>0</v>
      </c>
      <c r="L276" s="22">
        <f t="shared" si="26"/>
        <v>38</v>
      </c>
      <c r="M276" s="22">
        <f t="shared" si="27"/>
        <v>280</v>
      </c>
      <c r="N276" s="24">
        <f t="shared" si="28"/>
        <v>0.1357142857142857</v>
      </c>
      <c r="O276" s="24"/>
      <c r="P276" s="24" t="str">
        <f t="shared" si="29"/>
        <v/>
      </c>
      <c r="Q276" s="22"/>
    </row>
    <row r="277" spans="1:17" ht="15" customHeight="1" x14ac:dyDescent="0.25">
      <c r="A277" s="22" t="s">
        <v>285</v>
      </c>
      <c r="B277" s="22">
        <v>2</v>
      </c>
      <c r="C277" s="22" t="s">
        <v>325</v>
      </c>
      <c r="D277" s="22">
        <v>-195</v>
      </c>
      <c r="E277" s="22" t="s">
        <v>247</v>
      </c>
      <c r="F277" s="22" t="s">
        <v>205</v>
      </c>
      <c r="G277" s="23">
        <v>40564</v>
      </c>
      <c r="H277" s="22">
        <v>20</v>
      </c>
      <c r="I277" s="22">
        <v>0</v>
      </c>
      <c r="J277" s="22">
        <f t="shared" si="24"/>
        <v>58</v>
      </c>
      <c r="K277" s="22">
        <f t="shared" si="25"/>
        <v>0</v>
      </c>
      <c r="L277" s="22">
        <f t="shared" si="26"/>
        <v>58</v>
      </c>
      <c r="M277" s="22">
        <f t="shared" si="27"/>
        <v>280</v>
      </c>
      <c r="N277" s="24">
        <f t="shared" si="28"/>
        <v>0.20714285714285716</v>
      </c>
      <c r="O277" s="24"/>
      <c r="P277" s="24" t="str">
        <f t="shared" si="29"/>
        <v/>
      </c>
      <c r="Q277" s="22"/>
    </row>
    <row r="278" spans="1:17" ht="15" customHeight="1" x14ac:dyDescent="0.25">
      <c r="A278" s="22" t="s">
        <v>285</v>
      </c>
      <c r="B278" s="22">
        <v>3</v>
      </c>
      <c r="C278" s="22" t="s">
        <v>464</v>
      </c>
      <c r="D278" s="22">
        <v>-180</v>
      </c>
      <c r="E278" s="22" t="s">
        <v>247</v>
      </c>
      <c r="F278" s="22" t="s">
        <v>205</v>
      </c>
      <c r="G278" s="23">
        <v>40564</v>
      </c>
      <c r="H278" s="22">
        <v>25</v>
      </c>
      <c r="I278" s="22">
        <v>3</v>
      </c>
      <c r="J278" s="22">
        <f t="shared" si="24"/>
        <v>83</v>
      </c>
      <c r="K278" s="22">
        <f t="shared" si="25"/>
        <v>3</v>
      </c>
      <c r="L278" s="22">
        <f t="shared" si="26"/>
        <v>80</v>
      </c>
      <c r="M278" s="22">
        <f t="shared" si="27"/>
        <v>280</v>
      </c>
      <c r="N278" s="24">
        <f t="shared" si="28"/>
        <v>0.2857142857142857</v>
      </c>
      <c r="O278" s="24"/>
      <c r="P278" s="24" t="str">
        <f t="shared" si="29"/>
        <v/>
      </c>
      <c r="Q278" s="22"/>
    </row>
    <row r="279" spans="1:17" ht="15" customHeight="1" x14ac:dyDescent="0.25">
      <c r="A279" s="22" t="s">
        <v>285</v>
      </c>
      <c r="B279" s="22">
        <v>4</v>
      </c>
      <c r="C279" s="22" t="s">
        <v>465</v>
      </c>
      <c r="D279" s="22">
        <v>-165</v>
      </c>
      <c r="E279" s="22" t="s">
        <v>247</v>
      </c>
      <c r="F279" s="22" t="s">
        <v>205</v>
      </c>
      <c r="G279" s="23">
        <v>40564</v>
      </c>
      <c r="H279" s="22">
        <v>26</v>
      </c>
      <c r="I279" s="22">
        <v>4</v>
      </c>
      <c r="J279" s="22">
        <f t="shared" si="24"/>
        <v>109</v>
      </c>
      <c r="K279" s="22">
        <f t="shared" si="25"/>
        <v>7</v>
      </c>
      <c r="L279" s="22">
        <f t="shared" si="26"/>
        <v>102</v>
      </c>
      <c r="M279" s="22">
        <f t="shared" si="27"/>
        <v>280</v>
      </c>
      <c r="N279" s="24">
        <f t="shared" si="28"/>
        <v>0.36428571428571427</v>
      </c>
      <c r="O279" s="24"/>
      <c r="P279" s="24" t="str">
        <f t="shared" si="29"/>
        <v/>
      </c>
      <c r="Q279" s="22"/>
    </row>
    <row r="280" spans="1:17" ht="15" customHeight="1" x14ac:dyDescent="0.25">
      <c r="A280" s="22" t="s">
        <v>285</v>
      </c>
      <c r="B280" s="22">
        <v>5</v>
      </c>
      <c r="C280" s="22" t="s">
        <v>466</v>
      </c>
      <c r="D280" s="22">
        <v>-150</v>
      </c>
      <c r="E280" s="22" t="s">
        <v>247</v>
      </c>
      <c r="F280" s="22" t="s">
        <v>205</v>
      </c>
      <c r="G280" s="23">
        <v>40564</v>
      </c>
      <c r="H280" s="22">
        <v>22</v>
      </c>
      <c r="I280" s="22">
        <v>11</v>
      </c>
      <c r="J280" s="22">
        <f t="shared" si="24"/>
        <v>131</v>
      </c>
      <c r="K280" s="22">
        <f t="shared" si="25"/>
        <v>18</v>
      </c>
      <c r="L280" s="22">
        <f t="shared" si="26"/>
        <v>113</v>
      </c>
      <c r="M280" s="22">
        <f t="shared" si="27"/>
        <v>280</v>
      </c>
      <c r="N280" s="24">
        <f t="shared" si="28"/>
        <v>0.40357142857142858</v>
      </c>
      <c r="O280" s="24"/>
      <c r="P280" s="24" t="str">
        <f t="shared" si="29"/>
        <v/>
      </c>
      <c r="Q280" s="22"/>
    </row>
    <row r="281" spans="1:17" ht="15" customHeight="1" x14ac:dyDescent="0.25">
      <c r="A281" s="22" t="s">
        <v>285</v>
      </c>
      <c r="B281" s="22">
        <v>6</v>
      </c>
      <c r="C281" s="22" t="s">
        <v>467</v>
      </c>
      <c r="D281" s="22">
        <v>-135</v>
      </c>
      <c r="E281" s="22" t="s">
        <v>247</v>
      </c>
      <c r="F281" s="22" t="s">
        <v>205</v>
      </c>
      <c r="G281" s="23">
        <v>40564</v>
      </c>
      <c r="H281" s="22">
        <v>29</v>
      </c>
      <c r="I281" s="22">
        <v>11</v>
      </c>
      <c r="J281" s="22">
        <f t="shared" si="24"/>
        <v>160</v>
      </c>
      <c r="K281" s="22">
        <f t="shared" si="25"/>
        <v>29</v>
      </c>
      <c r="L281" s="22">
        <f t="shared" si="26"/>
        <v>131</v>
      </c>
      <c r="M281" s="22">
        <f t="shared" si="27"/>
        <v>280</v>
      </c>
      <c r="N281" s="24">
        <f t="shared" si="28"/>
        <v>0.46785714285714286</v>
      </c>
      <c r="O281" s="24"/>
      <c r="P281" s="24" t="str">
        <f t="shared" si="29"/>
        <v/>
      </c>
      <c r="Q281" s="22"/>
    </row>
    <row r="282" spans="1:17" ht="15" customHeight="1" x14ac:dyDescent="0.25">
      <c r="A282" s="22" t="s">
        <v>285</v>
      </c>
      <c r="B282" s="22">
        <v>7</v>
      </c>
      <c r="C282" s="22" t="s">
        <v>212</v>
      </c>
      <c r="D282" s="22">
        <v>-120</v>
      </c>
      <c r="E282" s="22" t="s">
        <v>247</v>
      </c>
      <c r="F282" s="22" t="s">
        <v>205</v>
      </c>
      <c r="G282" s="23">
        <v>40564</v>
      </c>
      <c r="H282" s="22">
        <v>31</v>
      </c>
      <c r="I282" s="22">
        <v>8</v>
      </c>
      <c r="J282" s="22">
        <f t="shared" si="24"/>
        <v>191</v>
      </c>
      <c r="K282" s="22">
        <f t="shared" si="25"/>
        <v>37</v>
      </c>
      <c r="L282" s="22">
        <f t="shared" si="26"/>
        <v>154</v>
      </c>
      <c r="M282" s="22">
        <f t="shared" si="27"/>
        <v>280</v>
      </c>
      <c r="N282" s="24">
        <f t="shared" si="28"/>
        <v>0.55000000000000004</v>
      </c>
      <c r="O282" s="24"/>
      <c r="P282" s="24" t="str">
        <f t="shared" si="29"/>
        <v/>
      </c>
      <c r="Q282" s="22"/>
    </row>
    <row r="283" spans="1:17" ht="15" customHeight="1" x14ac:dyDescent="0.25">
      <c r="A283" s="22" t="s">
        <v>285</v>
      </c>
      <c r="B283" s="22">
        <v>8</v>
      </c>
      <c r="C283" s="22" t="s">
        <v>226</v>
      </c>
      <c r="D283" s="22">
        <v>-105</v>
      </c>
      <c r="E283" s="22" t="s">
        <v>247</v>
      </c>
      <c r="F283" s="22" t="s">
        <v>205</v>
      </c>
      <c r="G283" s="23">
        <v>40564</v>
      </c>
      <c r="H283" s="22">
        <v>25</v>
      </c>
      <c r="I283" s="22">
        <v>10</v>
      </c>
      <c r="J283" s="22">
        <f t="shared" si="24"/>
        <v>216</v>
      </c>
      <c r="K283" s="22">
        <f t="shared" si="25"/>
        <v>47</v>
      </c>
      <c r="L283" s="22">
        <f t="shared" si="26"/>
        <v>169</v>
      </c>
      <c r="M283" s="22">
        <f t="shared" si="27"/>
        <v>280</v>
      </c>
      <c r="N283" s="24">
        <f t="shared" si="28"/>
        <v>0.60357142857142854</v>
      </c>
      <c r="O283" s="24"/>
      <c r="P283" s="24" t="str">
        <f t="shared" si="29"/>
        <v/>
      </c>
      <c r="Q283" s="22"/>
    </row>
    <row r="284" spans="1:17" ht="15" customHeight="1" x14ac:dyDescent="0.25">
      <c r="A284" s="22" t="s">
        <v>285</v>
      </c>
      <c r="B284" s="22">
        <v>9</v>
      </c>
      <c r="C284" s="22" t="s">
        <v>264</v>
      </c>
      <c r="D284" s="22">
        <v>-90</v>
      </c>
      <c r="E284" s="22" t="s">
        <v>247</v>
      </c>
      <c r="F284" s="22" t="s">
        <v>205</v>
      </c>
      <c r="G284" s="23">
        <v>40564</v>
      </c>
      <c r="H284" s="22">
        <v>18</v>
      </c>
      <c r="I284" s="22">
        <v>14</v>
      </c>
      <c r="J284" s="22">
        <f t="shared" si="24"/>
        <v>234</v>
      </c>
      <c r="K284" s="22">
        <f t="shared" si="25"/>
        <v>61</v>
      </c>
      <c r="L284" s="22">
        <f t="shared" si="26"/>
        <v>173</v>
      </c>
      <c r="M284" s="22">
        <f t="shared" si="27"/>
        <v>280</v>
      </c>
      <c r="N284" s="24">
        <f t="shared" si="28"/>
        <v>0.61785714285714288</v>
      </c>
      <c r="O284" s="24"/>
      <c r="P284" s="24" t="str">
        <f t="shared" si="29"/>
        <v/>
      </c>
      <c r="Q284" s="22"/>
    </row>
    <row r="285" spans="1:17" ht="15" customHeight="1" x14ac:dyDescent="0.25">
      <c r="A285" s="22" t="s">
        <v>285</v>
      </c>
      <c r="B285" s="22">
        <v>10</v>
      </c>
      <c r="C285" s="22" t="s">
        <v>191</v>
      </c>
      <c r="D285" s="22">
        <v>-75</v>
      </c>
      <c r="E285" s="22" t="s">
        <v>247</v>
      </c>
      <c r="F285" s="22" t="s">
        <v>205</v>
      </c>
      <c r="G285" s="23">
        <v>40564</v>
      </c>
      <c r="H285" s="22">
        <v>10</v>
      </c>
      <c r="I285" s="22">
        <v>13</v>
      </c>
      <c r="J285" s="22">
        <f t="shared" si="24"/>
        <v>244</v>
      </c>
      <c r="K285" s="22">
        <f t="shared" si="25"/>
        <v>74</v>
      </c>
      <c r="L285" s="22">
        <f t="shared" si="26"/>
        <v>170</v>
      </c>
      <c r="M285" s="22">
        <f t="shared" si="27"/>
        <v>280</v>
      </c>
      <c r="N285" s="24">
        <f t="shared" si="28"/>
        <v>0.6071428571428571</v>
      </c>
      <c r="O285" s="24"/>
      <c r="P285" s="24" t="str">
        <f t="shared" si="29"/>
        <v/>
      </c>
      <c r="Q285" s="22"/>
    </row>
    <row r="286" spans="1:17" ht="15" customHeight="1" x14ac:dyDescent="0.25">
      <c r="A286" s="22" t="s">
        <v>285</v>
      </c>
      <c r="B286" s="22">
        <v>11</v>
      </c>
      <c r="C286" s="22" t="s">
        <v>231</v>
      </c>
      <c r="D286" s="22">
        <v>-60</v>
      </c>
      <c r="E286" s="22" t="s">
        <v>247</v>
      </c>
      <c r="F286" s="22" t="s">
        <v>205</v>
      </c>
      <c r="G286" s="23">
        <v>40564</v>
      </c>
      <c r="H286" s="22">
        <v>16</v>
      </c>
      <c r="I286" s="22">
        <v>23</v>
      </c>
      <c r="J286" s="22">
        <f t="shared" si="24"/>
        <v>260</v>
      </c>
      <c r="K286" s="22">
        <f t="shared" si="25"/>
        <v>97</v>
      </c>
      <c r="L286" s="22">
        <f t="shared" si="26"/>
        <v>163</v>
      </c>
      <c r="M286" s="22">
        <f t="shared" si="27"/>
        <v>280</v>
      </c>
      <c r="N286" s="24">
        <f t="shared" si="28"/>
        <v>0.58214285714285718</v>
      </c>
      <c r="O286" s="24"/>
      <c r="P286" s="24" t="str">
        <f t="shared" si="29"/>
        <v/>
      </c>
      <c r="Q286" s="22"/>
    </row>
    <row r="287" spans="1:17" ht="15" customHeight="1" x14ac:dyDescent="0.25">
      <c r="A287" s="22" t="s">
        <v>285</v>
      </c>
      <c r="B287" s="22">
        <v>12</v>
      </c>
      <c r="C287" s="22" t="s">
        <v>239</v>
      </c>
      <c r="D287" s="22">
        <v>-45</v>
      </c>
      <c r="E287" s="22" t="s">
        <v>247</v>
      </c>
      <c r="F287" s="22" t="s">
        <v>205</v>
      </c>
      <c r="G287" s="23">
        <v>40564</v>
      </c>
      <c r="H287" s="22">
        <v>7</v>
      </c>
      <c r="I287" s="22">
        <v>18</v>
      </c>
      <c r="J287" s="22">
        <f t="shared" si="24"/>
        <v>267</v>
      </c>
      <c r="K287" s="22">
        <f t="shared" si="25"/>
        <v>115</v>
      </c>
      <c r="L287" s="22">
        <f t="shared" si="26"/>
        <v>152</v>
      </c>
      <c r="M287" s="22">
        <f t="shared" si="27"/>
        <v>280</v>
      </c>
      <c r="N287" s="24">
        <f t="shared" si="28"/>
        <v>0.54285714285714282</v>
      </c>
      <c r="O287" s="24"/>
      <c r="P287" s="24" t="str">
        <f t="shared" si="29"/>
        <v/>
      </c>
      <c r="Q287" s="22"/>
    </row>
    <row r="288" spans="1:17" ht="15" customHeight="1" x14ac:dyDescent="0.25">
      <c r="A288" s="22" t="s">
        <v>285</v>
      </c>
      <c r="B288" s="22">
        <v>13</v>
      </c>
      <c r="C288" s="22" t="s">
        <v>387</v>
      </c>
      <c r="D288" s="22">
        <v>-30</v>
      </c>
      <c r="E288" s="22" t="s">
        <v>247</v>
      </c>
      <c r="F288" s="22" t="s">
        <v>205</v>
      </c>
      <c r="G288" s="23">
        <v>40564</v>
      </c>
      <c r="H288" s="22">
        <v>3</v>
      </c>
      <c r="I288" s="22">
        <v>28</v>
      </c>
      <c r="J288" s="22">
        <f t="shared" si="24"/>
        <v>270</v>
      </c>
      <c r="K288" s="22">
        <f t="shared" si="25"/>
        <v>143</v>
      </c>
      <c r="L288" s="22">
        <f t="shared" si="26"/>
        <v>127</v>
      </c>
      <c r="M288" s="22">
        <f t="shared" si="27"/>
        <v>280</v>
      </c>
      <c r="N288" s="24">
        <f t="shared" si="28"/>
        <v>0.45357142857142857</v>
      </c>
      <c r="O288" s="24"/>
      <c r="P288" s="24" t="str">
        <f t="shared" si="29"/>
        <v/>
      </c>
      <c r="Q288" s="22"/>
    </row>
    <row r="289" spans="1:17" ht="15" customHeight="1" x14ac:dyDescent="0.25">
      <c r="A289" s="22" t="s">
        <v>285</v>
      </c>
      <c r="B289" s="22">
        <v>14</v>
      </c>
      <c r="C289" s="22" t="s">
        <v>468</v>
      </c>
      <c r="D289" s="22">
        <v>-15</v>
      </c>
      <c r="E289" s="22" t="s">
        <v>247</v>
      </c>
      <c r="F289" s="22" t="s">
        <v>205</v>
      </c>
      <c r="G289" s="23">
        <v>40564</v>
      </c>
      <c r="H289" s="22">
        <v>2</v>
      </c>
      <c r="I289" s="22">
        <v>19</v>
      </c>
      <c r="J289" s="22">
        <f t="shared" si="24"/>
        <v>272</v>
      </c>
      <c r="K289" s="22">
        <f t="shared" si="25"/>
        <v>162</v>
      </c>
      <c r="L289" s="22">
        <f t="shared" si="26"/>
        <v>110</v>
      </c>
      <c r="M289" s="22">
        <f t="shared" si="27"/>
        <v>280</v>
      </c>
      <c r="N289" s="24">
        <f t="shared" si="28"/>
        <v>0.39285714285714285</v>
      </c>
      <c r="O289" s="24"/>
      <c r="P289" s="24" t="str">
        <f t="shared" si="29"/>
        <v/>
      </c>
      <c r="Q289" s="22"/>
    </row>
    <row r="290" spans="1:17" ht="15" customHeight="1" x14ac:dyDescent="0.25">
      <c r="A290" s="22" t="s">
        <v>285</v>
      </c>
      <c r="B290" s="22">
        <v>15</v>
      </c>
      <c r="C290" s="22" t="s">
        <v>469</v>
      </c>
      <c r="D290" s="22">
        <v>0</v>
      </c>
      <c r="E290" s="22" t="s">
        <v>247</v>
      </c>
      <c r="F290" s="22" t="s">
        <v>205</v>
      </c>
      <c r="G290" s="23">
        <v>40564</v>
      </c>
      <c r="H290" s="22">
        <v>2</v>
      </c>
      <c r="I290" s="22">
        <v>32</v>
      </c>
      <c r="J290" s="22">
        <f t="shared" si="24"/>
        <v>274</v>
      </c>
      <c r="K290" s="22">
        <f t="shared" si="25"/>
        <v>194</v>
      </c>
      <c r="L290" s="22">
        <f t="shared" si="26"/>
        <v>80</v>
      </c>
      <c r="M290" s="22">
        <f t="shared" si="27"/>
        <v>280</v>
      </c>
      <c r="N290" s="24">
        <f t="shared" si="28"/>
        <v>0.2857142857142857</v>
      </c>
      <c r="O290" s="24"/>
      <c r="P290" s="24" t="str">
        <f t="shared" si="29"/>
        <v/>
      </c>
      <c r="Q290" s="22"/>
    </row>
    <row r="291" spans="1:17" ht="15" customHeight="1" x14ac:dyDescent="0.25">
      <c r="A291" s="22" t="s">
        <v>285</v>
      </c>
      <c r="B291" s="22">
        <v>16</v>
      </c>
      <c r="C291" s="22" t="s">
        <v>351</v>
      </c>
      <c r="D291" s="22">
        <v>15</v>
      </c>
      <c r="E291" s="22" t="s">
        <v>247</v>
      </c>
      <c r="F291" s="22" t="s">
        <v>205</v>
      </c>
      <c r="G291" s="23">
        <v>40564</v>
      </c>
      <c r="H291" s="22">
        <v>3</v>
      </c>
      <c r="I291" s="22">
        <v>24</v>
      </c>
      <c r="J291" s="22">
        <f t="shared" si="24"/>
        <v>277</v>
      </c>
      <c r="K291" s="22">
        <f t="shared" si="25"/>
        <v>218</v>
      </c>
      <c r="L291" s="22">
        <f t="shared" si="26"/>
        <v>59</v>
      </c>
      <c r="M291" s="22">
        <f t="shared" si="27"/>
        <v>280</v>
      </c>
      <c r="N291" s="24">
        <f t="shared" si="28"/>
        <v>0.21071428571428572</v>
      </c>
      <c r="O291" s="24"/>
      <c r="P291" s="24" t="str">
        <f t="shared" si="29"/>
        <v/>
      </c>
      <c r="Q291" s="22"/>
    </row>
    <row r="292" spans="1:17" ht="15" customHeight="1" x14ac:dyDescent="0.25">
      <c r="A292" s="22" t="s">
        <v>285</v>
      </c>
      <c r="B292" s="22">
        <v>17</v>
      </c>
      <c r="C292" s="22" t="s">
        <v>311</v>
      </c>
      <c r="D292" s="22">
        <v>30</v>
      </c>
      <c r="E292" s="22" t="s">
        <v>247</v>
      </c>
      <c r="F292" s="22" t="s">
        <v>205</v>
      </c>
      <c r="G292" s="23">
        <v>40564</v>
      </c>
      <c r="H292" s="22">
        <v>2</v>
      </c>
      <c r="I292" s="22">
        <v>19</v>
      </c>
      <c r="J292" s="22">
        <f t="shared" si="24"/>
        <v>279</v>
      </c>
      <c r="K292" s="22">
        <f t="shared" si="25"/>
        <v>237</v>
      </c>
      <c r="L292" s="22">
        <f t="shared" si="26"/>
        <v>42</v>
      </c>
      <c r="M292" s="22">
        <f t="shared" si="27"/>
        <v>280</v>
      </c>
      <c r="N292" s="24">
        <f t="shared" si="28"/>
        <v>0.15</v>
      </c>
      <c r="O292" s="24"/>
      <c r="P292" s="24" t="str">
        <f t="shared" si="29"/>
        <v/>
      </c>
      <c r="Q292" s="22"/>
    </row>
    <row r="293" spans="1:17" ht="15" customHeight="1" x14ac:dyDescent="0.25">
      <c r="A293" s="22" t="s">
        <v>285</v>
      </c>
      <c r="B293" s="22">
        <v>18</v>
      </c>
      <c r="C293" s="22" t="s">
        <v>211</v>
      </c>
      <c r="D293" s="22">
        <v>45</v>
      </c>
      <c r="E293" s="22" t="s">
        <v>247</v>
      </c>
      <c r="F293" s="22" t="s">
        <v>205</v>
      </c>
      <c r="G293" s="23">
        <v>40564</v>
      </c>
      <c r="H293" s="22">
        <v>1</v>
      </c>
      <c r="I293" s="22">
        <v>24</v>
      </c>
      <c r="J293" s="22">
        <f t="shared" si="24"/>
        <v>280</v>
      </c>
      <c r="K293" s="22">
        <f t="shared" si="25"/>
        <v>261</v>
      </c>
      <c r="L293" s="22">
        <f t="shared" si="26"/>
        <v>19</v>
      </c>
      <c r="M293" s="22">
        <f t="shared" si="27"/>
        <v>280</v>
      </c>
      <c r="N293" s="24">
        <f t="shared" si="28"/>
        <v>6.7857142857142852E-2</v>
      </c>
      <c r="O293" s="24"/>
      <c r="P293" s="24" t="str">
        <f t="shared" si="29"/>
        <v/>
      </c>
      <c r="Q293" s="22"/>
    </row>
    <row r="294" spans="1:17" ht="15" customHeight="1" x14ac:dyDescent="0.25">
      <c r="A294" s="22" t="s">
        <v>291</v>
      </c>
      <c r="B294" s="22">
        <v>0</v>
      </c>
      <c r="C294" s="22" t="s">
        <v>189</v>
      </c>
      <c r="D294" s="22"/>
      <c r="E294" s="22" t="s">
        <v>247</v>
      </c>
      <c r="F294" s="22" t="s">
        <v>183</v>
      </c>
      <c r="G294" s="23">
        <v>40652</v>
      </c>
      <c r="H294" s="22">
        <v>0</v>
      </c>
      <c r="I294" s="22">
        <v>0</v>
      </c>
      <c r="J294" s="22">
        <f t="shared" si="24"/>
        <v>0</v>
      </c>
      <c r="K294" s="22">
        <f t="shared" si="25"/>
        <v>0</v>
      </c>
      <c r="L294" s="22">
        <f t="shared" si="26"/>
        <v>0</v>
      </c>
      <c r="M294" s="22">
        <f t="shared" si="27"/>
        <v>503</v>
      </c>
      <c r="N294" s="24">
        <f t="shared" si="28"/>
        <v>0</v>
      </c>
      <c r="O294" s="24"/>
      <c r="P294" s="24" t="str">
        <f t="shared" si="29"/>
        <v/>
      </c>
      <c r="Q294" s="22"/>
    </row>
    <row r="295" spans="1:17" ht="15" customHeight="1" x14ac:dyDescent="0.25">
      <c r="A295" s="22" t="s">
        <v>291</v>
      </c>
      <c r="B295" s="22">
        <v>1</v>
      </c>
      <c r="C295" s="22" t="s">
        <v>471</v>
      </c>
      <c r="D295" s="22">
        <v>-210</v>
      </c>
      <c r="E295" s="22" t="s">
        <v>247</v>
      </c>
      <c r="F295" s="22" t="s">
        <v>183</v>
      </c>
      <c r="G295" s="23">
        <v>40652</v>
      </c>
      <c r="H295" s="22">
        <v>0</v>
      </c>
      <c r="I295" s="22">
        <v>0</v>
      </c>
      <c r="J295" s="22">
        <f t="shared" si="24"/>
        <v>0</v>
      </c>
      <c r="K295" s="22">
        <f t="shared" si="25"/>
        <v>0</v>
      </c>
      <c r="L295" s="22">
        <f t="shared" si="26"/>
        <v>0</v>
      </c>
      <c r="M295" s="22">
        <f t="shared" si="27"/>
        <v>503</v>
      </c>
      <c r="N295" s="24">
        <f t="shared" si="28"/>
        <v>0</v>
      </c>
      <c r="O295" s="24"/>
      <c r="P295" s="24" t="str">
        <f t="shared" si="29"/>
        <v/>
      </c>
      <c r="Q295" s="22"/>
    </row>
    <row r="296" spans="1:17" ht="15" customHeight="1" x14ac:dyDescent="0.25">
      <c r="A296" s="22" t="s">
        <v>291</v>
      </c>
      <c r="B296" s="22">
        <v>2</v>
      </c>
      <c r="C296" s="22" t="s">
        <v>325</v>
      </c>
      <c r="D296" s="22">
        <v>-195</v>
      </c>
      <c r="E296" s="22" t="s">
        <v>247</v>
      </c>
      <c r="F296" s="22" t="s">
        <v>183</v>
      </c>
      <c r="G296" s="23">
        <v>40652</v>
      </c>
      <c r="H296" s="22">
        <v>0</v>
      </c>
      <c r="I296" s="22">
        <v>0</v>
      </c>
      <c r="J296" s="22">
        <f t="shared" si="24"/>
        <v>0</v>
      </c>
      <c r="K296" s="22">
        <f t="shared" si="25"/>
        <v>0</v>
      </c>
      <c r="L296" s="22">
        <f t="shared" si="26"/>
        <v>0</v>
      </c>
      <c r="M296" s="22">
        <f t="shared" si="27"/>
        <v>503</v>
      </c>
      <c r="N296" s="24">
        <f t="shared" si="28"/>
        <v>0</v>
      </c>
      <c r="O296" s="24"/>
      <c r="P296" s="24" t="str">
        <f t="shared" si="29"/>
        <v/>
      </c>
      <c r="Q296" s="22"/>
    </row>
    <row r="297" spans="1:17" ht="15" customHeight="1" x14ac:dyDescent="0.25">
      <c r="A297" s="22" t="s">
        <v>291</v>
      </c>
      <c r="B297" s="22">
        <v>3</v>
      </c>
      <c r="C297" s="22" t="s">
        <v>464</v>
      </c>
      <c r="D297" s="22">
        <v>-180</v>
      </c>
      <c r="E297" s="22" t="s">
        <v>247</v>
      </c>
      <c r="F297" s="22" t="s">
        <v>183</v>
      </c>
      <c r="G297" s="23">
        <v>40652</v>
      </c>
      <c r="H297" s="22">
        <v>0</v>
      </c>
      <c r="I297" s="22">
        <v>0</v>
      </c>
      <c r="J297" s="22">
        <f t="shared" si="24"/>
        <v>0</v>
      </c>
      <c r="K297" s="22">
        <f t="shared" si="25"/>
        <v>0</v>
      </c>
      <c r="L297" s="22">
        <f t="shared" si="26"/>
        <v>0</v>
      </c>
      <c r="M297" s="22">
        <f t="shared" si="27"/>
        <v>503</v>
      </c>
      <c r="N297" s="24">
        <f t="shared" si="28"/>
        <v>0</v>
      </c>
      <c r="O297" s="24"/>
      <c r="P297" s="24" t="str">
        <f t="shared" si="29"/>
        <v/>
      </c>
      <c r="Q297" s="22"/>
    </row>
    <row r="298" spans="1:17" ht="15" customHeight="1" x14ac:dyDescent="0.25">
      <c r="A298" s="22" t="s">
        <v>291</v>
      </c>
      <c r="B298" s="22">
        <v>4</v>
      </c>
      <c r="C298" s="22" t="s">
        <v>465</v>
      </c>
      <c r="D298" s="22">
        <v>-165</v>
      </c>
      <c r="E298" s="22" t="s">
        <v>247</v>
      </c>
      <c r="F298" s="22" t="s">
        <v>183</v>
      </c>
      <c r="G298" s="23">
        <v>40652</v>
      </c>
      <c r="H298" s="22">
        <v>7</v>
      </c>
      <c r="I298" s="22">
        <v>0</v>
      </c>
      <c r="J298" s="22">
        <f t="shared" si="24"/>
        <v>7</v>
      </c>
      <c r="K298" s="22">
        <f t="shared" si="25"/>
        <v>0</v>
      </c>
      <c r="L298" s="22">
        <f t="shared" si="26"/>
        <v>7</v>
      </c>
      <c r="M298" s="22">
        <f t="shared" si="27"/>
        <v>503</v>
      </c>
      <c r="N298" s="24">
        <f t="shared" si="28"/>
        <v>1.3916500994035786E-2</v>
      </c>
      <c r="O298" s="24"/>
      <c r="P298" s="24" t="str">
        <f t="shared" si="29"/>
        <v/>
      </c>
      <c r="Q298" s="22"/>
    </row>
    <row r="299" spans="1:17" ht="15" customHeight="1" x14ac:dyDescent="0.25">
      <c r="A299" s="22" t="s">
        <v>291</v>
      </c>
      <c r="B299" s="22">
        <v>5</v>
      </c>
      <c r="C299" s="22" t="s">
        <v>466</v>
      </c>
      <c r="D299" s="22">
        <v>-150</v>
      </c>
      <c r="E299" s="22" t="s">
        <v>247</v>
      </c>
      <c r="F299" s="22" t="s">
        <v>183</v>
      </c>
      <c r="G299" s="23">
        <v>40652</v>
      </c>
      <c r="H299" s="22">
        <v>26</v>
      </c>
      <c r="I299" s="22">
        <v>0</v>
      </c>
      <c r="J299" s="22">
        <f t="shared" si="24"/>
        <v>33</v>
      </c>
      <c r="K299" s="22">
        <f t="shared" si="25"/>
        <v>0</v>
      </c>
      <c r="L299" s="22">
        <f t="shared" si="26"/>
        <v>33</v>
      </c>
      <c r="M299" s="22">
        <f t="shared" si="27"/>
        <v>503</v>
      </c>
      <c r="N299" s="24">
        <f t="shared" si="28"/>
        <v>6.560636182902585E-2</v>
      </c>
      <c r="O299" s="24"/>
      <c r="P299" s="24" t="str">
        <f t="shared" si="29"/>
        <v/>
      </c>
      <c r="Q299" s="22"/>
    </row>
    <row r="300" spans="1:17" ht="15" customHeight="1" x14ac:dyDescent="0.25">
      <c r="A300" s="22" t="s">
        <v>291</v>
      </c>
      <c r="B300" s="22">
        <v>6</v>
      </c>
      <c r="C300" s="22" t="s">
        <v>467</v>
      </c>
      <c r="D300" s="22">
        <v>-135</v>
      </c>
      <c r="E300" s="22" t="s">
        <v>247</v>
      </c>
      <c r="F300" s="22" t="s">
        <v>183</v>
      </c>
      <c r="G300" s="23">
        <v>40652</v>
      </c>
      <c r="H300" s="22">
        <v>36</v>
      </c>
      <c r="I300" s="22">
        <v>0</v>
      </c>
      <c r="J300" s="22">
        <f t="shared" si="24"/>
        <v>69</v>
      </c>
      <c r="K300" s="22">
        <f t="shared" si="25"/>
        <v>0</v>
      </c>
      <c r="L300" s="22">
        <f t="shared" si="26"/>
        <v>69</v>
      </c>
      <c r="M300" s="22">
        <f t="shared" si="27"/>
        <v>503</v>
      </c>
      <c r="N300" s="24">
        <f t="shared" si="28"/>
        <v>0.13717693836978131</v>
      </c>
      <c r="O300" s="24"/>
      <c r="P300" s="24" t="str">
        <f t="shared" si="29"/>
        <v/>
      </c>
      <c r="Q300" s="22"/>
    </row>
    <row r="301" spans="1:17" ht="15" customHeight="1" x14ac:dyDescent="0.25">
      <c r="A301" s="22" t="s">
        <v>291</v>
      </c>
      <c r="B301" s="22">
        <v>7</v>
      </c>
      <c r="C301" s="22" t="s">
        <v>212</v>
      </c>
      <c r="D301" s="22">
        <v>-120</v>
      </c>
      <c r="E301" s="22" t="s">
        <v>247</v>
      </c>
      <c r="F301" s="22" t="s">
        <v>183</v>
      </c>
      <c r="G301" s="23">
        <v>40652</v>
      </c>
      <c r="H301" s="22">
        <v>76</v>
      </c>
      <c r="I301" s="22">
        <v>0</v>
      </c>
      <c r="J301" s="22">
        <f t="shared" si="24"/>
        <v>145</v>
      </c>
      <c r="K301" s="22">
        <f t="shared" si="25"/>
        <v>0</v>
      </c>
      <c r="L301" s="22">
        <f t="shared" si="26"/>
        <v>145</v>
      </c>
      <c r="M301" s="22">
        <f t="shared" si="27"/>
        <v>503</v>
      </c>
      <c r="N301" s="24">
        <f t="shared" si="28"/>
        <v>0.28827037773359843</v>
      </c>
      <c r="O301" s="24"/>
      <c r="P301" s="24" t="str">
        <f t="shared" si="29"/>
        <v/>
      </c>
      <c r="Q301" s="22"/>
    </row>
    <row r="302" spans="1:17" ht="15" customHeight="1" x14ac:dyDescent="0.25">
      <c r="A302" s="22" t="s">
        <v>291</v>
      </c>
      <c r="B302" s="22">
        <v>8</v>
      </c>
      <c r="C302" s="22" t="s">
        <v>226</v>
      </c>
      <c r="D302" s="22">
        <v>-105</v>
      </c>
      <c r="E302" s="22" t="s">
        <v>247</v>
      </c>
      <c r="F302" s="22" t="s">
        <v>183</v>
      </c>
      <c r="G302" s="23">
        <v>40652</v>
      </c>
      <c r="H302" s="22">
        <v>70</v>
      </c>
      <c r="I302" s="22">
        <v>7</v>
      </c>
      <c r="J302" s="22">
        <f t="shared" si="24"/>
        <v>215</v>
      </c>
      <c r="K302" s="22">
        <f t="shared" si="25"/>
        <v>7</v>
      </c>
      <c r="L302" s="22">
        <f t="shared" si="26"/>
        <v>208</v>
      </c>
      <c r="M302" s="22">
        <f t="shared" si="27"/>
        <v>503</v>
      </c>
      <c r="N302" s="24">
        <f t="shared" si="28"/>
        <v>0.41351888667992048</v>
      </c>
      <c r="O302" s="24"/>
      <c r="P302" s="24" t="str">
        <f t="shared" si="29"/>
        <v/>
      </c>
      <c r="Q302" s="22"/>
    </row>
    <row r="303" spans="1:17" ht="15" customHeight="1" x14ac:dyDescent="0.25">
      <c r="A303" s="22" t="s">
        <v>291</v>
      </c>
      <c r="B303" s="22">
        <v>9</v>
      </c>
      <c r="C303" s="22" t="s">
        <v>264</v>
      </c>
      <c r="D303" s="22">
        <v>-90</v>
      </c>
      <c r="E303" s="22" t="s">
        <v>247</v>
      </c>
      <c r="F303" s="22" t="s">
        <v>183</v>
      </c>
      <c r="G303" s="23">
        <v>40652</v>
      </c>
      <c r="H303" s="22">
        <v>90</v>
      </c>
      <c r="I303" s="22">
        <v>34</v>
      </c>
      <c r="J303" s="22">
        <f t="shared" si="24"/>
        <v>305</v>
      </c>
      <c r="K303" s="22">
        <f t="shared" si="25"/>
        <v>41</v>
      </c>
      <c r="L303" s="22">
        <f t="shared" si="26"/>
        <v>264</v>
      </c>
      <c r="M303" s="22">
        <f t="shared" si="27"/>
        <v>503</v>
      </c>
      <c r="N303" s="24">
        <f t="shared" si="28"/>
        <v>0.5248508946322068</v>
      </c>
      <c r="O303" s="24"/>
      <c r="P303" s="24" t="str">
        <f t="shared" si="29"/>
        <v/>
      </c>
      <c r="Q303" s="22"/>
    </row>
    <row r="304" spans="1:17" ht="15" customHeight="1" x14ac:dyDescent="0.25">
      <c r="A304" s="22" t="s">
        <v>291</v>
      </c>
      <c r="B304" s="22">
        <v>10</v>
      </c>
      <c r="C304" s="22" t="s">
        <v>191</v>
      </c>
      <c r="D304" s="22">
        <v>-75</v>
      </c>
      <c r="E304" s="22" t="s">
        <v>247</v>
      </c>
      <c r="F304" s="22" t="s">
        <v>183</v>
      </c>
      <c r="G304" s="23">
        <v>40652</v>
      </c>
      <c r="H304" s="22">
        <v>60</v>
      </c>
      <c r="I304" s="22">
        <v>37</v>
      </c>
      <c r="J304" s="22">
        <f t="shared" si="24"/>
        <v>365</v>
      </c>
      <c r="K304" s="22">
        <f t="shared" si="25"/>
        <v>78</v>
      </c>
      <c r="L304" s="22">
        <f t="shared" si="26"/>
        <v>287</v>
      </c>
      <c r="M304" s="22">
        <f t="shared" si="27"/>
        <v>503</v>
      </c>
      <c r="N304" s="24">
        <f t="shared" si="28"/>
        <v>0.57057654075546715</v>
      </c>
      <c r="O304" s="24"/>
      <c r="P304" s="24" t="str">
        <f t="shared" si="29"/>
        <v/>
      </c>
      <c r="Q304" s="22"/>
    </row>
    <row r="305" spans="1:17" ht="15" customHeight="1" x14ac:dyDescent="0.25">
      <c r="A305" s="22" t="s">
        <v>291</v>
      </c>
      <c r="B305" s="22">
        <v>11</v>
      </c>
      <c r="C305" s="22" t="s">
        <v>231</v>
      </c>
      <c r="D305" s="22">
        <v>-60</v>
      </c>
      <c r="E305" s="22" t="s">
        <v>247</v>
      </c>
      <c r="F305" s="22" t="s">
        <v>183</v>
      </c>
      <c r="G305" s="23">
        <v>40652</v>
      </c>
      <c r="H305" s="22">
        <v>46</v>
      </c>
      <c r="I305" s="22">
        <v>60</v>
      </c>
      <c r="J305" s="22">
        <f t="shared" si="24"/>
        <v>411</v>
      </c>
      <c r="K305" s="22">
        <f t="shared" si="25"/>
        <v>138</v>
      </c>
      <c r="L305" s="22">
        <f t="shared" si="26"/>
        <v>273</v>
      </c>
      <c r="M305" s="22">
        <f t="shared" si="27"/>
        <v>503</v>
      </c>
      <c r="N305" s="24">
        <f t="shared" si="28"/>
        <v>0.54274353876739567</v>
      </c>
      <c r="O305" s="24"/>
      <c r="P305" s="24" t="str">
        <f t="shared" si="29"/>
        <v/>
      </c>
      <c r="Q305" s="22"/>
    </row>
    <row r="306" spans="1:17" ht="15" customHeight="1" x14ac:dyDescent="0.25">
      <c r="A306" s="22" t="s">
        <v>291</v>
      </c>
      <c r="B306" s="22">
        <v>12</v>
      </c>
      <c r="C306" s="22" t="s">
        <v>239</v>
      </c>
      <c r="D306" s="22">
        <v>-45</v>
      </c>
      <c r="E306" s="22" t="s">
        <v>247</v>
      </c>
      <c r="F306" s="22" t="s">
        <v>183</v>
      </c>
      <c r="G306" s="23">
        <v>40652</v>
      </c>
      <c r="H306" s="22">
        <v>31</v>
      </c>
      <c r="I306" s="22">
        <v>100</v>
      </c>
      <c r="J306" s="22">
        <f t="shared" si="24"/>
        <v>442</v>
      </c>
      <c r="K306" s="22">
        <f t="shared" si="25"/>
        <v>238</v>
      </c>
      <c r="L306" s="22">
        <f t="shared" si="26"/>
        <v>204</v>
      </c>
      <c r="M306" s="22">
        <f t="shared" si="27"/>
        <v>503</v>
      </c>
      <c r="N306" s="24">
        <f t="shared" si="28"/>
        <v>0.40556660039761433</v>
      </c>
      <c r="O306" s="24"/>
      <c r="P306" s="24" t="str">
        <f t="shared" si="29"/>
        <v/>
      </c>
      <c r="Q306" s="22"/>
    </row>
    <row r="307" spans="1:17" ht="15" customHeight="1" x14ac:dyDescent="0.25">
      <c r="A307" s="22" t="s">
        <v>291</v>
      </c>
      <c r="B307" s="22">
        <v>13</v>
      </c>
      <c r="C307" s="22" t="s">
        <v>387</v>
      </c>
      <c r="D307" s="22">
        <v>-30</v>
      </c>
      <c r="E307" s="22" t="s">
        <v>247</v>
      </c>
      <c r="F307" s="22" t="s">
        <v>183</v>
      </c>
      <c r="G307" s="23">
        <v>40652</v>
      </c>
      <c r="H307" s="22">
        <v>24</v>
      </c>
      <c r="I307" s="22">
        <v>67</v>
      </c>
      <c r="J307" s="22">
        <f t="shared" si="24"/>
        <v>466</v>
      </c>
      <c r="K307" s="22">
        <f t="shared" si="25"/>
        <v>305</v>
      </c>
      <c r="L307" s="22">
        <f t="shared" si="26"/>
        <v>161</v>
      </c>
      <c r="M307" s="22">
        <f t="shared" si="27"/>
        <v>503</v>
      </c>
      <c r="N307" s="24">
        <f t="shared" si="28"/>
        <v>0.32007952286282304</v>
      </c>
      <c r="O307" s="24"/>
      <c r="P307" s="24" t="str">
        <f t="shared" si="29"/>
        <v/>
      </c>
      <c r="Q307" s="22"/>
    </row>
    <row r="308" spans="1:17" ht="15" customHeight="1" x14ac:dyDescent="0.25">
      <c r="A308" s="22" t="s">
        <v>291</v>
      </c>
      <c r="B308" s="22">
        <v>14</v>
      </c>
      <c r="C308" s="22" t="s">
        <v>468</v>
      </c>
      <c r="D308" s="22">
        <v>-15</v>
      </c>
      <c r="E308" s="22" t="s">
        <v>247</v>
      </c>
      <c r="F308" s="22" t="s">
        <v>183</v>
      </c>
      <c r="G308" s="23">
        <v>40652</v>
      </c>
      <c r="H308" s="22">
        <v>12</v>
      </c>
      <c r="I308" s="22">
        <v>52</v>
      </c>
      <c r="J308" s="22">
        <f t="shared" si="24"/>
        <v>478</v>
      </c>
      <c r="K308" s="22">
        <f t="shared" si="25"/>
        <v>357</v>
      </c>
      <c r="L308" s="22">
        <f t="shared" si="26"/>
        <v>121</v>
      </c>
      <c r="M308" s="22">
        <f t="shared" si="27"/>
        <v>503</v>
      </c>
      <c r="N308" s="24">
        <f t="shared" si="28"/>
        <v>0.24055666003976142</v>
      </c>
      <c r="O308" s="24"/>
      <c r="P308" s="24" t="str">
        <f t="shared" si="29"/>
        <v/>
      </c>
      <c r="Q308" s="22"/>
    </row>
    <row r="309" spans="1:17" ht="15" customHeight="1" x14ac:dyDescent="0.25">
      <c r="A309" s="22" t="s">
        <v>291</v>
      </c>
      <c r="B309" s="22">
        <v>15</v>
      </c>
      <c r="C309" s="22" t="s">
        <v>469</v>
      </c>
      <c r="D309" s="22">
        <v>0</v>
      </c>
      <c r="E309" s="22" t="s">
        <v>247</v>
      </c>
      <c r="F309" s="22" t="s">
        <v>183</v>
      </c>
      <c r="G309" s="23">
        <v>40652</v>
      </c>
      <c r="H309" s="22">
        <v>19</v>
      </c>
      <c r="I309" s="22">
        <v>42</v>
      </c>
      <c r="J309" s="22">
        <f t="shared" si="24"/>
        <v>497</v>
      </c>
      <c r="K309" s="22">
        <f t="shared" si="25"/>
        <v>399</v>
      </c>
      <c r="L309" s="22">
        <f t="shared" si="26"/>
        <v>98</v>
      </c>
      <c r="M309" s="22">
        <f t="shared" si="27"/>
        <v>503</v>
      </c>
      <c r="N309" s="24">
        <f t="shared" si="28"/>
        <v>0.19483101391650098</v>
      </c>
      <c r="O309" s="24"/>
      <c r="P309" s="24" t="str">
        <f t="shared" si="29"/>
        <v/>
      </c>
      <c r="Q309" s="22"/>
    </row>
    <row r="310" spans="1:17" ht="15" customHeight="1" x14ac:dyDescent="0.25">
      <c r="A310" s="22" t="s">
        <v>291</v>
      </c>
      <c r="B310" s="22">
        <v>16</v>
      </c>
      <c r="C310" s="22" t="s">
        <v>351</v>
      </c>
      <c r="D310" s="22">
        <v>15</v>
      </c>
      <c r="E310" s="22" t="s">
        <v>247</v>
      </c>
      <c r="F310" s="22" t="s">
        <v>183</v>
      </c>
      <c r="G310" s="23">
        <v>40652</v>
      </c>
      <c r="H310" s="22">
        <v>2</v>
      </c>
      <c r="I310" s="22">
        <v>34</v>
      </c>
      <c r="J310" s="22">
        <f t="shared" si="24"/>
        <v>499</v>
      </c>
      <c r="K310" s="22">
        <f t="shared" si="25"/>
        <v>433</v>
      </c>
      <c r="L310" s="22">
        <f t="shared" si="26"/>
        <v>66</v>
      </c>
      <c r="M310" s="22">
        <f t="shared" si="27"/>
        <v>503</v>
      </c>
      <c r="N310" s="24">
        <f t="shared" si="28"/>
        <v>0.1312127236580517</v>
      </c>
      <c r="O310" s="24"/>
      <c r="P310" s="24" t="str">
        <f t="shared" si="29"/>
        <v/>
      </c>
      <c r="Q310" s="22"/>
    </row>
    <row r="311" spans="1:17" ht="15" customHeight="1" x14ac:dyDescent="0.25">
      <c r="A311" s="22" t="s">
        <v>291</v>
      </c>
      <c r="B311" s="22">
        <v>17</v>
      </c>
      <c r="C311" s="22" t="s">
        <v>311</v>
      </c>
      <c r="D311" s="22">
        <v>30</v>
      </c>
      <c r="E311" s="22" t="s">
        <v>247</v>
      </c>
      <c r="F311" s="22" t="s">
        <v>183</v>
      </c>
      <c r="G311" s="23">
        <v>40652</v>
      </c>
      <c r="H311" s="22">
        <v>4</v>
      </c>
      <c r="I311" s="22">
        <v>42</v>
      </c>
      <c r="J311" s="22">
        <f t="shared" si="24"/>
        <v>503</v>
      </c>
      <c r="K311" s="22">
        <f t="shared" si="25"/>
        <v>475</v>
      </c>
      <c r="L311" s="22">
        <f t="shared" si="26"/>
        <v>28</v>
      </c>
      <c r="M311" s="22">
        <f t="shared" si="27"/>
        <v>503</v>
      </c>
      <c r="N311" s="24">
        <f t="shared" si="28"/>
        <v>5.5666003976143144E-2</v>
      </c>
      <c r="O311" s="24"/>
      <c r="P311" s="24" t="str">
        <f t="shared" si="29"/>
        <v/>
      </c>
      <c r="Q311" s="22"/>
    </row>
    <row r="312" spans="1:17" ht="15" customHeight="1" x14ac:dyDescent="0.25">
      <c r="A312" s="22" t="s">
        <v>291</v>
      </c>
      <c r="B312" s="22">
        <v>18</v>
      </c>
      <c r="C312" s="22" t="s">
        <v>211</v>
      </c>
      <c r="D312" s="22">
        <v>45</v>
      </c>
      <c r="E312" s="22" t="s">
        <v>247</v>
      </c>
      <c r="F312" s="22" t="s">
        <v>183</v>
      </c>
      <c r="G312" s="23">
        <v>40652</v>
      </c>
      <c r="H312" s="22">
        <v>0</v>
      </c>
      <c r="I312" s="22">
        <v>17</v>
      </c>
      <c r="J312" s="22">
        <f t="shared" si="24"/>
        <v>503</v>
      </c>
      <c r="K312" s="22">
        <f t="shared" si="25"/>
        <v>492</v>
      </c>
      <c r="L312" s="22">
        <f t="shared" si="26"/>
        <v>11</v>
      </c>
      <c r="M312" s="22">
        <f t="shared" si="27"/>
        <v>503</v>
      </c>
      <c r="N312" s="24">
        <f t="shared" si="28"/>
        <v>2.186878727634195E-2</v>
      </c>
      <c r="O312" s="24"/>
      <c r="P312" s="24" t="str">
        <f t="shared" si="29"/>
        <v/>
      </c>
      <c r="Q312" s="22"/>
    </row>
    <row r="313" spans="1:17" ht="15" customHeight="1" x14ac:dyDescent="0.25">
      <c r="A313" s="22" t="s">
        <v>297</v>
      </c>
      <c r="B313" s="22">
        <v>0</v>
      </c>
      <c r="C313" s="22" t="s">
        <v>189</v>
      </c>
      <c r="D313" s="22"/>
      <c r="E313" s="22" t="s">
        <v>298</v>
      </c>
      <c r="F313" s="22" t="s">
        <v>183</v>
      </c>
      <c r="G313" s="23">
        <v>35886</v>
      </c>
      <c r="H313" s="22">
        <v>599</v>
      </c>
      <c r="I313" s="22">
        <v>3</v>
      </c>
      <c r="J313" s="22">
        <f t="shared" si="24"/>
        <v>599</v>
      </c>
      <c r="K313" s="22">
        <f t="shared" si="25"/>
        <v>3</v>
      </c>
      <c r="L313" s="22">
        <f t="shared" si="26"/>
        <v>596</v>
      </c>
      <c r="M313" s="22">
        <f t="shared" si="27"/>
        <v>1732</v>
      </c>
      <c r="N313" s="24">
        <f t="shared" si="28"/>
        <v>0.34411085450346418</v>
      </c>
      <c r="O313" s="24">
        <v>0.34411085450346401</v>
      </c>
      <c r="P313" s="24">
        <f t="shared" si="29"/>
        <v>1.6653345369377348E-16</v>
      </c>
      <c r="Q313" s="22"/>
    </row>
    <row r="314" spans="1:17" ht="15" customHeight="1" x14ac:dyDescent="0.25">
      <c r="A314" s="22" t="s">
        <v>297</v>
      </c>
      <c r="B314" s="22">
        <v>7</v>
      </c>
      <c r="C314" s="22" t="s">
        <v>212</v>
      </c>
      <c r="D314" s="22">
        <v>-120</v>
      </c>
      <c r="E314" s="22" t="s">
        <v>298</v>
      </c>
      <c r="F314" s="22" t="s">
        <v>183</v>
      </c>
      <c r="G314" s="23">
        <v>35886</v>
      </c>
      <c r="H314" s="22">
        <v>247</v>
      </c>
      <c r="I314" s="22">
        <v>6</v>
      </c>
      <c r="J314" s="22">
        <f t="shared" si="24"/>
        <v>846</v>
      </c>
      <c r="K314" s="22">
        <f t="shared" si="25"/>
        <v>9</v>
      </c>
      <c r="L314" s="22">
        <f t="shared" si="26"/>
        <v>837</v>
      </c>
      <c r="M314" s="22">
        <f t="shared" si="27"/>
        <v>1732</v>
      </c>
      <c r="N314" s="24">
        <f t="shared" si="28"/>
        <v>0.48325635103926096</v>
      </c>
      <c r="O314" s="24">
        <v>0.48325635103926101</v>
      </c>
      <c r="P314" s="24">
        <f t="shared" si="29"/>
        <v>-5.5511151231257827E-17</v>
      </c>
      <c r="Q314" s="22"/>
    </row>
    <row r="315" spans="1:17" ht="15" customHeight="1" x14ac:dyDescent="0.25">
      <c r="A315" s="22" t="s">
        <v>297</v>
      </c>
      <c r="B315" s="22">
        <v>8</v>
      </c>
      <c r="C315" s="22" t="s">
        <v>226</v>
      </c>
      <c r="D315" s="22">
        <v>-105</v>
      </c>
      <c r="E315" s="22" t="s">
        <v>298</v>
      </c>
      <c r="F315" s="22" t="s">
        <v>183</v>
      </c>
      <c r="G315" s="23">
        <v>35886</v>
      </c>
      <c r="H315" s="22">
        <v>194</v>
      </c>
      <c r="I315" s="22">
        <v>14</v>
      </c>
      <c r="J315" s="22">
        <f t="shared" si="24"/>
        <v>1040</v>
      </c>
      <c r="K315" s="22">
        <f t="shared" si="25"/>
        <v>23</v>
      </c>
      <c r="L315" s="22">
        <f t="shared" si="26"/>
        <v>1017</v>
      </c>
      <c r="M315" s="22">
        <f t="shared" si="27"/>
        <v>1732</v>
      </c>
      <c r="N315" s="24">
        <f t="shared" si="28"/>
        <v>0.58718244803695152</v>
      </c>
      <c r="O315" s="24">
        <v>0.58718244803695196</v>
      </c>
      <c r="P315" s="24">
        <f t="shared" si="29"/>
        <v>-4.4408920985006262E-16</v>
      </c>
      <c r="Q315" s="22"/>
    </row>
    <row r="316" spans="1:17" ht="15" customHeight="1" x14ac:dyDescent="0.25">
      <c r="A316" s="22" t="s">
        <v>297</v>
      </c>
      <c r="B316" s="22">
        <v>9</v>
      </c>
      <c r="C316" s="22" t="s">
        <v>264</v>
      </c>
      <c r="D316" s="22">
        <v>-90</v>
      </c>
      <c r="E316" s="22" t="s">
        <v>298</v>
      </c>
      <c r="F316" s="22" t="s">
        <v>183</v>
      </c>
      <c r="G316" s="23">
        <v>35886</v>
      </c>
      <c r="H316" s="22">
        <v>183</v>
      </c>
      <c r="I316" s="22">
        <v>40</v>
      </c>
      <c r="J316" s="22">
        <f t="shared" si="24"/>
        <v>1223</v>
      </c>
      <c r="K316" s="22">
        <f t="shared" si="25"/>
        <v>63</v>
      </c>
      <c r="L316" s="22">
        <f t="shared" si="26"/>
        <v>1160</v>
      </c>
      <c r="M316" s="22">
        <f t="shared" si="27"/>
        <v>1732</v>
      </c>
      <c r="N316" s="24">
        <f t="shared" si="28"/>
        <v>0.66974595842956119</v>
      </c>
      <c r="O316" s="24">
        <v>0.66974595842956097</v>
      </c>
      <c r="P316" s="24">
        <f t="shared" si="29"/>
        <v>2.2204460492503131E-16</v>
      </c>
      <c r="Q316" s="22"/>
    </row>
    <row r="317" spans="1:17" ht="15" customHeight="1" x14ac:dyDescent="0.25">
      <c r="A317" s="22" t="s">
        <v>297</v>
      </c>
      <c r="B317" s="22">
        <v>10</v>
      </c>
      <c r="C317" s="22" t="s">
        <v>191</v>
      </c>
      <c r="D317" s="22">
        <v>-75</v>
      </c>
      <c r="E317" s="22" t="s">
        <v>298</v>
      </c>
      <c r="F317" s="22" t="s">
        <v>183</v>
      </c>
      <c r="G317" s="23">
        <v>35886</v>
      </c>
      <c r="H317" s="22">
        <v>157</v>
      </c>
      <c r="I317" s="22">
        <v>93</v>
      </c>
      <c r="J317" s="22">
        <f t="shared" si="24"/>
        <v>1380</v>
      </c>
      <c r="K317" s="22">
        <f t="shared" si="25"/>
        <v>156</v>
      </c>
      <c r="L317" s="22">
        <f t="shared" si="26"/>
        <v>1224</v>
      </c>
      <c r="M317" s="22">
        <f t="shared" si="27"/>
        <v>1732</v>
      </c>
      <c r="N317" s="24">
        <f t="shared" si="28"/>
        <v>0.70669745958429564</v>
      </c>
      <c r="O317" s="24">
        <v>0.70669745958429597</v>
      </c>
      <c r="P317" s="24">
        <f t="shared" si="29"/>
        <v>-3.3306690738754696E-16</v>
      </c>
      <c r="Q317" s="22"/>
    </row>
    <row r="318" spans="1:17" ht="15" customHeight="1" x14ac:dyDescent="0.25">
      <c r="A318" s="22" t="s">
        <v>297</v>
      </c>
      <c r="B318" s="22">
        <v>11</v>
      </c>
      <c r="C318" s="22" t="s">
        <v>231</v>
      </c>
      <c r="D318" s="22">
        <v>-60</v>
      </c>
      <c r="E318" s="22" t="s">
        <v>298</v>
      </c>
      <c r="F318" s="22" t="s">
        <v>183</v>
      </c>
      <c r="G318" s="23">
        <v>35886</v>
      </c>
      <c r="H318" s="22">
        <v>115</v>
      </c>
      <c r="I318" s="22">
        <v>112</v>
      </c>
      <c r="J318" s="22">
        <f t="shared" si="24"/>
        <v>1495</v>
      </c>
      <c r="K318" s="22">
        <f t="shared" si="25"/>
        <v>268</v>
      </c>
      <c r="L318" s="22">
        <f t="shared" si="26"/>
        <v>1227</v>
      </c>
      <c r="M318" s="22">
        <f t="shared" si="27"/>
        <v>1732</v>
      </c>
      <c r="N318" s="24">
        <f t="shared" si="28"/>
        <v>0.70842956120092382</v>
      </c>
      <c r="O318" s="24">
        <v>0.70842956120092404</v>
      </c>
      <c r="P318" s="24">
        <f t="shared" si="29"/>
        <v>-2.2204460492503131E-16</v>
      </c>
      <c r="Q318" s="22"/>
    </row>
    <row r="319" spans="1:17" ht="15" customHeight="1" x14ac:dyDescent="0.25">
      <c r="A319" s="22" t="s">
        <v>297</v>
      </c>
      <c r="B319" s="22">
        <v>12</v>
      </c>
      <c r="C319" s="22" t="s">
        <v>239</v>
      </c>
      <c r="D319" s="22">
        <v>-45</v>
      </c>
      <c r="E319" s="22" t="s">
        <v>298</v>
      </c>
      <c r="F319" s="22" t="s">
        <v>183</v>
      </c>
      <c r="G319" s="23">
        <v>35886</v>
      </c>
      <c r="H319" s="22">
        <v>100</v>
      </c>
      <c r="I319" s="22">
        <v>202</v>
      </c>
      <c r="J319" s="22">
        <f t="shared" si="24"/>
        <v>1595</v>
      </c>
      <c r="K319" s="22">
        <f t="shared" si="25"/>
        <v>470</v>
      </c>
      <c r="L319" s="22">
        <f t="shared" si="26"/>
        <v>1125</v>
      </c>
      <c r="M319" s="22">
        <f t="shared" si="27"/>
        <v>1732</v>
      </c>
      <c r="N319" s="24">
        <f t="shared" si="28"/>
        <v>0.64953810623556585</v>
      </c>
      <c r="O319" s="24">
        <v>0.64953810623556596</v>
      </c>
      <c r="P319" s="24">
        <f t="shared" si="29"/>
        <v>-1.1102230246251565E-16</v>
      </c>
      <c r="Q319" s="22"/>
    </row>
    <row r="320" spans="1:17" ht="15" customHeight="1" x14ac:dyDescent="0.25">
      <c r="A320" s="22" t="s">
        <v>297</v>
      </c>
      <c r="B320" s="22">
        <v>13</v>
      </c>
      <c r="C320" s="22" t="s">
        <v>387</v>
      </c>
      <c r="D320" s="22">
        <v>-30</v>
      </c>
      <c r="E320" s="22" t="s">
        <v>298</v>
      </c>
      <c r="F320" s="22" t="s">
        <v>183</v>
      </c>
      <c r="G320" s="23">
        <v>35886</v>
      </c>
      <c r="H320" s="22">
        <v>51</v>
      </c>
      <c r="I320" s="22">
        <v>184</v>
      </c>
      <c r="J320" s="22">
        <f t="shared" si="24"/>
        <v>1646</v>
      </c>
      <c r="K320" s="22">
        <f t="shared" si="25"/>
        <v>654</v>
      </c>
      <c r="L320" s="22">
        <f t="shared" si="26"/>
        <v>992</v>
      </c>
      <c r="M320" s="22">
        <f t="shared" si="27"/>
        <v>1732</v>
      </c>
      <c r="N320" s="24">
        <f t="shared" si="28"/>
        <v>0.5727482678983834</v>
      </c>
      <c r="O320" s="24">
        <v>0.57274826789838296</v>
      </c>
      <c r="P320" s="24">
        <f t="shared" si="29"/>
        <v>4.4408920985006262E-16</v>
      </c>
      <c r="Q320" s="22"/>
    </row>
    <row r="321" spans="1:17" ht="15" customHeight="1" x14ac:dyDescent="0.25">
      <c r="A321" s="22" t="s">
        <v>297</v>
      </c>
      <c r="B321" s="22">
        <v>14</v>
      </c>
      <c r="C321" s="22" t="s">
        <v>468</v>
      </c>
      <c r="D321" s="22">
        <v>-15</v>
      </c>
      <c r="E321" s="22" t="s">
        <v>298</v>
      </c>
      <c r="F321" s="22" t="s">
        <v>183</v>
      </c>
      <c r="G321" s="23">
        <v>35886</v>
      </c>
      <c r="H321" s="22">
        <v>35</v>
      </c>
      <c r="I321" s="22">
        <v>234</v>
      </c>
      <c r="J321" s="22">
        <f t="shared" si="24"/>
        <v>1681</v>
      </c>
      <c r="K321" s="22">
        <f t="shared" si="25"/>
        <v>888</v>
      </c>
      <c r="L321" s="22">
        <f t="shared" si="26"/>
        <v>793</v>
      </c>
      <c r="M321" s="22">
        <f t="shared" si="27"/>
        <v>1732</v>
      </c>
      <c r="N321" s="24">
        <f t="shared" si="28"/>
        <v>0.45785219399538107</v>
      </c>
      <c r="O321" s="24">
        <v>0.45785219399538102</v>
      </c>
      <c r="P321" s="24">
        <f t="shared" si="29"/>
        <v>5.5511151231257827E-17</v>
      </c>
      <c r="Q321" s="22"/>
    </row>
    <row r="322" spans="1:17" ht="15" customHeight="1" x14ac:dyDescent="0.25">
      <c r="A322" s="22" t="s">
        <v>297</v>
      </c>
      <c r="B322" s="22">
        <v>15</v>
      </c>
      <c r="C322" s="22" t="s">
        <v>469</v>
      </c>
      <c r="D322" s="22">
        <v>0</v>
      </c>
      <c r="E322" s="22" t="s">
        <v>298</v>
      </c>
      <c r="F322" s="22" t="s">
        <v>183</v>
      </c>
      <c r="G322" s="23">
        <v>35886</v>
      </c>
      <c r="H322" s="22">
        <v>29</v>
      </c>
      <c r="I322" s="22">
        <v>186</v>
      </c>
      <c r="J322" s="22">
        <f t="shared" ref="J322:J385" si="30">SUMIFS($H$2:$H$1200,$A$2:$A$1200,$A322,$B$2:$B$1200,"&lt;="&amp;$B322)</f>
        <v>1710</v>
      </c>
      <c r="K322" s="22">
        <f t="shared" ref="K322:K385" si="31">SUMIFS($I$2:$I$1200,$A$2:$A$1200,$A322,$B$2:$B$1200,"&lt;="&amp;$B322)</f>
        <v>1074</v>
      </c>
      <c r="L322" s="22">
        <f t="shared" ref="L322:L385" si="32">J322-K322</f>
        <v>636</v>
      </c>
      <c r="M322" s="22">
        <f t="shared" ref="M322:M385" si="33">SUMIF($A$2:$A$1200,$A322,$H$2:$H$1200)</f>
        <v>1732</v>
      </c>
      <c r="N322" s="24">
        <f t="shared" ref="N322:N385" si="34">IF(M322=0,"",L322/M322)</f>
        <v>0.3672055427251732</v>
      </c>
      <c r="O322" s="24">
        <v>0.36720554272517297</v>
      </c>
      <c r="P322" s="24">
        <f t="shared" ref="P322:P385" si="35">IF(OR(N322="",O322=""),"",N322-O322)</f>
        <v>2.2204460492503131E-16</v>
      </c>
      <c r="Q322" s="22"/>
    </row>
    <row r="323" spans="1:17" ht="15" customHeight="1" x14ac:dyDescent="0.25">
      <c r="A323" s="22" t="s">
        <v>297</v>
      </c>
      <c r="B323" s="22">
        <v>16</v>
      </c>
      <c r="C323" s="22" t="s">
        <v>351</v>
      </c>
      <c r="D323" s="22">
        <v>15</v>
      </c>
      <c r="E323" s="22" t="s">
        <v>298</v>
      </c>
      <c r="F323" s="22" t="s">
        <v>183</v>
      </c>
      <c r="G323" s="23">
        <v>35886</v>
      </c>
      <c r="H323" s="22">
        <v>12</v>
      </c>
      <c r="I323" s="22">
        <v>159</v>
      </c>
      <c r="J323" s="22">
        <f t="shared" si="30"/>
        <v>1722</v>
      </c>
      <c r="K323" s="22">
        <f t="shared" si="31"/>
        <v>1233</v>
      </c>
      <c r="L323" s="22">
        <f t="shared" si="32"/>
        <v>489</v>
      </c>
      <c r="M323" s="22">
        <f t="shared" si="33"/>
        <v>1732</v>
      </c>
      <c r="N323" s="24">
        <f t="shared" si="34"/>
        <v>0.2823325635103926</v>
      </c>
      <c r="O323" s="24">
        <v>0.28233256351039299</v>
      </c>
      <c r="P323" s="24">
        <f t="shared" si="35"/>
        <v>-3.8857805861880479E-16</v>
      </c>
      <c r="Q323" s="22"/>
    </row>
    <row r="324" spans="1:17" ht="15" customHeight="1" x14ac:dyDescent="0.25">
      <c r="A324" s="22" t="s">
        <v>297</v>
      </c>
      <c r="B324" s="22">
        <v>17</v>
      </c>
      <c r="C324" s="22" t="s">
        <v>311</v>
      </c>
      <c r="D324" s="22">
        <v>30</v>
      </c>
      <c r="E324" s="22" t="s">
        <v>298</v>
      </c>
      <c r="F324" s="22" t="s">
        <v>183</v>
      </c>
      <c r="G324" s="23">
        <v>35886</v>
      </c>
      <c r="H324" s="22">
        <v>7</v>
      </c>
      <c r="I324" s="22">
        <v>154</v>
      </c>
      <c r="J324" s="22">
        <f t="shared" si="30"/>
        <v>1729</v>
      </c>
      <c r="K324" s="22">
        <f t="shared" si="31"/>
        <v>1387</v>
      </c>
      <c r="L324" s="22">
        <f t="shared" si="32"/>
        <v>342</v>
      </c>
      <c r="M324" s="22">
        <f t="shared" si="33"/>
        <v>1732</v>
      </c>
      <c r="N324" s="24">
        <f t="shared" si="34"/>
        <v>0.197459584295612</v>
      </c>
      <c r="O324" s="24">
        <v>0.197459584295612</v>
      </c>
      <c r="P324" s="24">
        <f t="shared" si="35"/>
        <v>0</v>
      </c>
      <c r="Q324" s="22"/>
    </row>
    <row r="325" spans="1:17" ht="15" customHeight="1" x14ac:dyDescent="0.25">
      <c r="A325" s="22" t="s">
        <v>297</v>
      </c>
      <c r="B325" s="22">
        <v>18</v>
      </c>
      <c r="C325" s="22" t="s">
        <v>211</v>
      </c>
      <c r="D325" s="22">
        <v>45</v>
      </c>
      <c r="E325" s="22" t="s">
        <v>298</v>
      </c>
      <c r="F325" s="22" t="s">
        <v>183</v>
      </c>
      <c r="G325" s="23">
        <v>35886</v>
      </c>
      <c r="H325" s="22">
        <v>3</v>
      </c>
      <c r="I325" s="22">
        <v>30</v>
      </c>
      <c r="J325" s="22">
        <f t="shared" si="30"/>
        <v>1732</v>
      </c>
      <c r="K325" s="22">
        <f t="shared" si="31"/>
        <v>1417</v>
      </c>
      <c r="L325" s="22">
        <f t="shared" si="32"/>
        <v>315</v>
      </c>
      <c r="M325" s="22">
        <f t="shared" si="33"/>
        <v>1732</v>
      </c>
      <c r="N325" s="24">
        <f t="shared" si="34"/>
        <v>0.18187066974595842</v>
      </c>
      <c r="O325" s="24">
        <v>0.181870669745958</v>
      </c>
      <c r="P325" s="24">
        <f t="shared" si="35"/>
        <v>4.163336342344337E-16</v>
      </c>
      <c r="Q325" s="22"/>
    </row>
    <row r="326" spans="1:17" ht="15" customHeight="1" x14ac:dyDescent="0.25">
      <c r="A326" s="22" t="s">
        <v>297</v>
      </c>
      <c r="B326" s="22">
        <v>19</v>
      </c>
      <c r="C326" s="22" t="s">
        <v>190</v>
      </c>
      <c r="D326" s="22">
        <v>60</v>
      </c>
      <c r="E326" s="22" t="s">
        <v>298</v>
      </c>
      <c r="F326" s="22" t="s">
        <v>183</v>
      </c>
      <c r="G326" s="23">
        <v>35886</v>
      </c>
      <c r="H326" s="22">
        <v>0</v>
      </c>
      <c r="I326" s="22">
        <v>0</v>
      </c>
      <c r="J326" s="22">
        <f t="shared" si="30"/>
        <v>1732</v>
      </c>
      <c r="K326" s="22">
        <f t="shared" si="31"/>
        <v>1417</v>
      </c>
      <c r="L326" s="22">
        <f t="shared" si="32"/>
        <v>315</v>
      </c>
      <c r="M326" s="22">
        <f t="shared" si="33"/>
        <v>1732</v>
      </c>
      <c r="N326" s="24">
        <f t="shared" si="34"/>
        <v>0.18187066974595842</v>
      </c>
      <c r="O326" s="24">
        <v>0.181870669745958</v>
      </c>
      <c r="P326" s="24">
        <f t="shared" si="35"/>
        <v>4.163336342344337E-16</v>
      </c>
      <c r="Q326" s="22"/>
    </row>
    <row r="327" spans="1:17" ht="15" customHeight="1" x14ac:dyDescent="0.25">
      <c r="A327" s="22" t="s">
        <v>308</v>
      </c>
      <c r="B327" s="22">
        <v>0</v>
      </c>
      <c r="C327" s="22" t="s">
        <v>189</v>
      </c>
      <c r="D327" s="22"/>
      <c r="E327" s="22" t="s">
        <v>298</v>
      </c>
      <c r="F327" s="22" t="s">
        <v>183</v>
      </c>
      <c r="G327" s="23">
        <v>35886</v>
      </c>
      <c r="H327" s="22">
        <v>7</v>
      </c>
      <c r="I327" s="22">
        <v>0</v>
      </c>
      <c r="J327" s="22">
        <f t="shared" si="30"/>
        <v>7</v>
      </c>
      <c r="K327" s="22">
        <f t="shared" si="31"/>
        <v>0</v>
      </c>
      <c r="L327" s="22">
        <f t="shared" si="32"/>
        <v>7</v>
      </c>
      <c r="M327" s="22">
        <f t="shared" si="33"/>
        <v>74</v>
      </c>
      <c r="N327" s="24">
        <f t="shared" si="34"/>
        <v>9.45945945945946E-2</v>
      </c>
      <c r="O327" s="24">
        <v>9.45945945945946E-2</v>
      </c>
      <c r="P327" s="24">
        <f t="shared" si="35"/>
        <v>0</v>
      </c>
      <c r="Q327" s="22"/>
    </row>
    <row r="328" spans="1:17" ht="15" customHeight="1" x14ac:dyDescent="0.25">
      <c r="A328" s="22" t="s">
        <v>308</v>
      </c>
      <c r="B328" s="22">
        <v>7</v>
      </c>
      <c r="C328" s="22" t="s">
        <v>212</v>
      </c>
      <c r="D328" s="22">
        <v>-120</v>
      </c>
      <c r="E328" s="22" t="s">
        <v>298</v>
      </c>
      <c r="F328" s="22" t="s">
        <v>183</v>
      </c>
      <c r="G328" s="23">
        <v>35886</v>
      </c>
      <c r="H328" s="22">
        <v>15</v>
      </c>
      <c r="I328" s="22">
        <v>2</v>
      </c>
      <c r="J328" s="22">
        <f t="shared" si="30"/>
        <v>22</v>
      </c>
      <c r="K328" s="22">
        <f t="shared" si="31"/>
        <v>2</v>
      </c>
      <c r="L328" s="22">
        <f t="shared" si="32"/>
        <v>20</v>
      </c>
      <c r="M328" s="22">
        <f t="shared" si="33"/>
        <v>74</v>
      </c>
      <c r="N328" s="24">
        <f t="shared" si="34"/>
        <v>0.27027027027027029</v>
      </c>
      <c r="O328" s="24">
        <v>0.27027027027027001</v>
      </c>
      <c r="P328" s="24">
        <f t="shared" si="35"/>
        <v>2.7755575615628914E-16</v>
      </c>
      <c r="Q328" s="22"/>
    </row>
    <row r="329" spans="1:17" ht="15" customHeight="1" x14ac:dyDescent="0.25">
      <c r="A329" s="22" t="s">
        <v>308</v>
      </c>
      <c r="B329" s="22">
        <v>8</v>
      </c>
      <c r="C329" s="22" t="s">
        <v>226</v>
      </c>
      <c r="D329" s="22">
        <v>-105</v>
      </c>
      <c r="E329" s="22" t="s">
        <v>298</v>
      </c>
      <c r="F329" s="22" t="s">
        <v>183</v>
      </c>
      <c r="G329" s="23">
        <v>35886</v>
      </c>
      <c r="H329" s="22">
        <v>7</v>
      </c>
      <c r="I329" s="22">
        <v>3</v>
      </c>
      <c r="J329" s="22">
        <f t="shared" si="30"/>
        <v>29</v>
      </c>
      <c r="K329" s="22">
        <f t="shared" si="31"/>
        <v>5</v>
      </c>
      <c r="L329" s="22">
        <f t="shared" si="32"/>
        <v>24</v>
      </c>
      <c r="M329" s="22">
        <f t="shared" si="33"/>
        <v>74</v>
      </c>
      <c r="N329" s="24">
        <f t="shared" si="34"/>
        <v>0.32432432432432434</v>
      </c>
      <c r="O329" s="24">
        <v>0.32432432432432401</v>
      </c>
      <c r="P329" s="24">
        <f t="shared" si="35"/>
        <v>3.3306690738754696E-16</v>
      </c>
      <c r="Q329" s="22"/>
    </row>
    <row r="330" spans="1:17" ht="15" customHeight="1" x14ac:dyDescent="0.25">
      <c r="A330" s="22" t="s">
        <v>308</v>
      </c>
      <c r="B330" s="22">
        <v>9</v>
      </c>
      <c r="C330" s="22" t="s">
        <v>264</v>
      </c>
      <c r="D330" s="22">
        <v>-90</v>
      </c>
      <c r="E330" s="22" t="s">
        <v>298</v>
      </c>
      <c r="F330" s="22" t="s">
        <v>183</v>
      </c>
      <c r="G330" s="23">
        <v>35886</v>
      </c>
      <c r="H330" s="22">
        <v>7</v>
      </c>
      <c r="I330" s="22">
        <v>1</v>
      </c>
      <c r="J330" s="22">
        <f t="shared" si="30"/>
        <v>36</v>
      </c>
      <c r="K330" s="22">
        <f t="shared" si="31"/>
        <v>6</v>
      </c>
      <c r="L330" s="22">
        <f t="shared" si="32"/>
        <v>30</v>
      </c>
      <c r="M330" s="22">
        <f t="shared" si="33"/>
        <v>74</v>
      </c>
      <c r="N330" s="24">
        <f t="shared" si="34"/>
        <v>0.40540540540540543</v>
      </c>
      <c r="O330" s="24">
        <v>0.40540540540540498</v>
      </c>
      <c r="P330" s="24">
        <f t="shared" si="35"/>
        <v>4.4408920985006262E-16</v>
      </c>
      <c r="Q330" s="22"/>
    </row>
    <row r="331" spans="1:17" ht="15" customHeight="1" x14ac:dyDescent="0.25">
      <c r="A331" s="22" t="s">
        <v>308</v>
      </c>
      <c r="B331" s="22">
        <v>10</v>
      </c>
      <c r="C331" s="22" t="s">
        <v>191</v>
      </c>
      <c r="D331" s="22">
        <v>-75</v>
      </c>
      <c r="E331" s="22" t="s">
        <v>298</v>
      </c>
      <c r="F331" s="22" t="s">
        <v>183</v>
      </c>
      <c r="G331" s="23">
        <v>35886</v>
      </c>
      <c r="H331" s="22">
        <v>11</v>
      </c>
      <c r="I331" s="22">
        <v>1</v>
      </c>
      <c r="J331" s="22">
        <f t="shared" si="30"/>
        <v>47</v>
      </c>
      <c r="K331" s="22">
        <f t="shared" si="31"/>
        <v>7</v>
      </c>
      <c r="L331" s="22">
        <f t="shared" si="32"/>
        <v>40</v>
      </c>
      <c r="M331" s="22">
        <f t="shared" si="33"/>
        <v>74</v>
      </c>
      <c r="N331" s="24">
        <f t="shared" si="34"/>
        <v>0.54054054054054057</v>
      </c>
      <c r="O331" s="24">
        <v>0.54054054054054101</v>
      </c>
      <c r="P331" s="24">
        <f t="shared" si="35"/>
        <v>-4.4408920985006262E-16</v>
      </c>
      <c r="Q331" s="22"/>
    </row>
    <row r="332" spans="1:17" ht="15" customHeight="1" x14ac:dyDescent="0.25">
      <c r="A332" s="22" t="s">
        <v>308</v>
      </c>
      <c r="B332" s="22">
        <v>11</v>
      </c>
      <c r="C332" s="22" t="s">
        <v>231</v>
      </c>
      <c r="D332" s="22">
        <v>-60</v>
      </c>
      <c r="E332" s="22" t="s">
        <v>298</v>
      </c>
      <c r="F332" s="22" t="s">
        <v>183</v>
      </c>
      <c r="G332" s="23">
        <v>35886</v>
      </c>
      <c r="H332" s="22">
        <v>5</v>
      </c>
      <c r="I332" s="22">
        <v>4</v>
      </c>
      <c r="J332" s="22">
        <f t="shared" si="30"/>
        <v>52</v>
      </c>
      <c r="K332" s="22">
        <f t="shared" si="31"/>
        <v>11</v>
      </c>
      <c r="L332" s="22">
        <f t="shared" si="32"/>
        <v>41</v>
      </c>
      <c r="M332" s="22">
        <f t="shared" si="33"/>
        <v>74</v>
      </c>
      <c r="N332" s="24">
        <f t="shared" si="34"/>
        <v>0.55405405405405406</v>
      </c>
      <c r="O332" s="24">
        <v>0.55405405405405395</v>
      </c>
      <c r="P332" s="24">
        <f t="shared" si="35"/>
        <v>1.1102230246251565E-16</v>
      </c>
      <c r="Q332" s="22"/>
    </row>
    <row r="333" spans="1:17" ht="15" customHeight="1" x14ac:dyDescent="0.25">
      <c r="A333" s="22" t="s">
        <v>308</v>
      </c>
      <c r="B333" s="22">
        <v>12</v>
      </c>
      <c r="C333" s="22" t="s">
        <v>239</v>
      </c>
      <c r="D333" s="22">
        <v>-45</v>
      </c>
      <c r="E333" s="22" t="s">
        <v>298</v>
      </c>
      <c r="F333" s="22" t="s">
        <v>183</v>
      </c>
      <c r="G333" s="23">
        <v>35886</v>
      </c>
      <c r="H333" s="22">
        <v>9</v>
      </c>
      <c r="I333" s="22">
        <v>6</v>
      </c>
      <c r="J333" s="22">
        <f t="shared" si="30"/>
        <v>61</v>
      </c>
      <c r="K333" s="22">
        <f t="shared" si="31"/>
        <v>17</v>
      </c>
      <c r="L333" s="22">
        <f t="shared" si="32"/>
        <v>44</v>
      </c>
      <c r="M333" s="22">
        <f t="shared" si="33"/>
        <v>74</v>
      </c>
      <c r="N333" s="24">
        <f t="shared" si="34"/>
        <v>0.59459459459459463</v>
      </c>
      <c r="O333" s="24">
        <v>0.59459459459459496</v>
      </c>
      <c r="P333" s="24">
        <f t="shared" si="35"/>
        <v>-3.3306690738754696E-16</v>
      </c>
      <c r="Q333" s="22"/>
    </row>
    <row r="334" spans="1:17" ht="15" customHeight="1" x14ac:dyDescent="0.25">
      <c r="A334" s="22" t="s">
        <v>308</v>
      </c>
      <c r="B334" s="22">
        <v>13</v>
      </c>
      <c r="C334" s="22" t="s">
        <v>387</v>
      </c>
      <c r="D334" s="22">
        <v>-30</v>
      </c>
      <c r="E334" s="22" t="s">
        <v>298</v>
      </c>
      <c r="F334" s="22" t="s">
        <v>183</v>
      </c>
      <c r="G334" s="23">
        <v>35886</v>
      </c>
      <c r="H334" s="22">
        <v>3</v>
      </c>
      <c r="I334" s="22">
        <v>6</v>
      </c>
      <c r="J334" s="22">
        <f t="shared" si="30"/>
        <v>64</v>
      </c>
      <c r="K334" s="22">
        <f t="shared" si="31"/>
        <v>23</v>
      </c>
      <c r="L334" s="22">
        <f t="shared" si="32"/>
        <v>41</v>
      </c>
      <c r="M334" s="22">
        <f t="shared" si="33"/>
        <v>74</v>
      </c>
      <c r="N334" s="24">
        <f t="shared" si="34"/>
        <v>0.55405405405405406</v>
      </c>
      <c r="O334" s="24">
        <v>0.55405405405405395</v>
      </c>
      <c r="P334" s="24">
        <f t="shared" si="35"/>
        <v>1.1102230246251565E-16</v>
      </c>
      <c r="Q334" s="22"/>
    </row>
    <row r="335" spans="1:17" ht="15" customHeight="1" x14ac:dyDescent="0.25">
      <c r="A335" s="22" t="s">
        <v>308</v>
      </c>
      <c r="B335" s="22">
        <v>14</v>
      </c>
      <c r="C335" s="22" t="s">
        <v>468</v>
      </c>
      <c r="D335" s="22">
        <v>-15</v>
      </c>
      <c r="E335" s="22" t="s">
        <v>298</v>
      </c>
      <c r="F335" s="22" t="s">
        <v>183</v>
      </c>
      <c r="G335" s="23">
        <v>35886</v>
      </c>
      <c r="H335" s="22">
        <v>3</v>
      </c>
      <c r="I335" s="22">
        <v>12</v>
      </c>
      <c r="J335" s="22">
        <f t="shared" si="30"/>
        <v>67</v>
      </c>
      <c r="K335" s="22">
        <f t="shared" si="31"/>
        <v>35</v>
      </c>
      <c r="L335" s="22">
        <f t="shared" si="32"/>
        <v>32</v>
      </c>
      <c r="M335" s="22">
        <f t="shared" si="33"/>
        <v>74</v>
      </c>
      <c r="N335" s="24">
        <f t="shared" si="34"/>
        <v>0.43243243243243246</v>
      </c>
      <c r="O335" s="24">
        <v>0.43243243243243301</v>
      </c>
      <c r="P335" s="24">
        <f t="shared" si="35"/>
        <v>-5.5511151231257827E-16</v>
      </c>
      <c r="Q335" s="22"/>
    </row>
    <row r="336" spans="1:17" ht="15" customHeight="1" x14ac:dyDescent="0.25">
      <c r="A336" s="22" t="s">
        <v>308</v>
      </c>
      <c r="B336" s="22">
        <v>15</v>
      </c>
      <c r="C336" s="22" t="s">
        <v>469</v>
      </c>
      <c r="D336" s="22">
        <v>0</v>
      </c>
      <c r="E336" s="22" t="s">
        <v>298</v>
      </c>
      <c r="F336" s="22" t="s">
        <v>183</v>
      </c>
      <c r="G336" s="23">
        <v>35886</v>
      </c>
      <c r="H336" s="22">
        <v>2</v>
      </c>
      <c r="I336" s="22">
        <v>11</v>
      </c>
      <c r="J336" s="22">
        <f t="shared" si="30"/>
        <v>69</v>
      </c>
      <c r="K336" s="22">
        <f t="shared" si="31"/>
        <v>46</v>
      </c>
      <c r="L336" s="22">
        <f t="shared" si="32"/>
        <v>23</v>
      </c>
      <c r="M336" s="22">
        <f t="shared" si="33"/>
        <v>74</v>
      </c>
      <c r="N336" s="24">
        <f t="shared" si="34"/>
        <v>0.3108108108108108</v>
      </c>
      <c r="O336" s="24">
        <v>0.31081081081081102</v>
      </c>
      <c r="P336" s="24">
        <f t="shared" si="35"/>
        <v>-2.2204460492503131E-16</v>
      </c>
      <c r="Q336" s="22"/>
    </row>
    <row r="337" spans="1:17" ht="15" customHeight="1" x14ac:dyDescent="0.25">
      <c r="A337" s="22" t="s">
        <v>308</v>
      </c>
      <c r="B337" s="22">
        <v>16</v>
      </c>
      <c r="C337" s="22" t="s">
        <v>351</v>
      </c>
      <c r="D337" s="22">
        <v>15</v>
      </c>
      <c r="E337" s="22" t="s">
        <v>298</v>
      </c>
      <c r="F337" s="22" t="s">
        <v>183</v>
      </c>
      <c r="G337" s="23">
        <v>35886</v>
      </c>
      <c r="H337" s="22">
        <v>3</v>
      </c>
      <c r="I337" s="22">
        <v>9</v>
      </c>
      <c r="J337" s="22">
        <f t="shared" si="30"/>
        <v>72</v>
      </c>
      <c r="K337" s="22">
        <f t="shared" si="31"/>
        <v>55</v>
      </c>
      <c r="L337" s="22">
        <f t="shared" si="32"/>
        <v>17</v>
      </c>
      <c r="M337" s="22">
        <f t="shared" si="33"/>
        <v>74</v>
      </c>
      <c r="N337" s="24">
        <f t="shared" si="34"/>
        <v>0.22972972972972974</v>
      </c>
      <c r="O337" s="24">
        <v>0.22972972972972999</v>
      </c>
      <c r="P337" s="24">
        <f t="shared" si="35"/>
        <v>-2.4980018054066022E-16</v>
      </c>
      <c r="Q337" s="22"/>
    </row>
    <row r="338" spans="1:17" ht="15" customHeight="1" x14ac:dyDescent="0.25">
      <c r="A338" s="22" t="s">
        <v>308</v>
      </c>
      <c r="B338" s="22">
        <v>17</v>
      </c>
      <c r="C338" s="22" t="s">
        <v>311</v>
      </c>
      <c r="D338" s="22">
        <v>30</v>
      </c>
      <c r="E338" s="22" t="s">
        <v>298</v>
      </c>
      <c r="F338" s="22" t="s">
        <v>183</v>
      </c>
      <c r="G338" s="23">
        <v>35886</v>
      </c>
      <c r="H338" s="22">
        <v>2</v>
      </c>
      <c r="I338" s="22">
        <v>12</v>
      </c>
      <c r="J338" s="22">
        <f t="shared" si="30"/>
        <v>74</v>
      </c>
      <c r="K338" s="22">
        <f t="shared" si="31"/>
        <v>67</v>
      </c>
      <c r="L338" s="22">
        <f t="shared" si="32"/>
        <v>7</v>
      </c>
      <c r="M338" s="22">
        <f t="shared" si="33"/>
        <v>74</v>
      </c>
      <c r="N338" s="24">
        <f t="shared" si="34"/>
        <v>9.45945945945946E-2</v>
      </c>
      <c r="O338" s="24">
        <v>9.45945945945946E-2</v>
      </c>
      <c r="P338" s="24">
        <f t="shared" si="35"/>
        <v>0</v>
      </c>
      <c r="Q338" s="22"/>
    </row>
    <row r="339" spans="1:17" ht="15" customHeight="1" x14ac:dyDescent="0.25">
      <c r="A339" s="22" t="s">
        <v>316</v>
      </c>
      <c r="B339" s="22">
        <v>0</v>
      </c>
      <c r="C339" s="22" t="s">
        <v>189</v>
      </c>
      <c r="D339" s="22"/>
      <c r="E339" s="22" t="s">
        <v>298</v>
      </c>
      <c r="F339" s="22" t="s">
        <v>183</v>
      </c>
      <c r="G339" s="23">
        <v>35886</v>
      </c>
      <c r="H339" s="22">
        <v>75</v>
      </c>
      <c r="I339" s="22">
        <v>2</v>
      </c>
      <c r="J339" s="22">
        <f t="shared" si="30"/>
        <v>75</v>
      </c>
      <c r="K339" s="22">
        <f t="shared" si="31"/>
        <v>2</v>
      </c>
      <c r="L339" s="22">
        <f t="shared" si="32"/>
        <v>73</v>
      </c>
      <c r="M339" s="22">
        <f t="shared" si="33"/>
        <v>909</v>
      </c>
      <c r="N339" s="24">
        <f t="shared" si="34"/>
        <v>8.0308030803080313E-2</v>
      </c>
      <c r="O339" s="24">
        <v>8.0308030803080299E-2</v>
      </c>
      <c r="P339" s="24">
        <f t="shared" si="35"/>
        <v>1.3877787807814457E-17</v>
      </c>
      <c r="Q339" s="22"/>
    </row>
    <row r="340" spans="1:17" ht="15" customHeight="1" x14ac:dyDescent="0.25">
      <c r="A340" s="22" t="s">
        <v>316</v>
      </c>
      <c r="B340" s="22">
        <v>7</v>
      </c>
      <c r="C340" s="22" t="s">
        <v>212</v>
      </c>
      <c r="D340" s="22">
        <v>-120</v>
      </c>
      <c r="E340" s="22" t="s">
        <v>298</v>
      </c>
      <c r="F340" s="22" t="s">
        <v>183</v>
      </c>
      <c r="G340" s="23">
        <v>35886</v>
      </c>
      <c r="H340" s="22">
        <v>178</v>
      </c>
      <c r="I340" s="22">
        <v>2</v>
      </c>
      <c r="J340" s="22">
        <f t="shared" si="30"/>
        <v>253</v>
      </c>
      <c r="K340" s="22">
        <f t="shared" si="31"/>
        <v>4</v>
      </c>
      <c r="L340" s="22">
        <f t="shared" si="32"/>
        <v>249</v>
      </c>
      <c r="M340" s="22">
        <f t="shared" si="33"/>
        <v>909</v>
      </c>
      <c r="N340" s="24">
        <f t="shared" si="34"/>
        <v>0.27392739273927391</v>
      </c>
      <c r="O340" s="24">
        <v>0.27392739273927402</v>
      </c>
      <c r="P340" s="24">
        <f t="shared" si="35"/>
        <v>-1.1102230246251565E-16</v>
      </c>
      <c r="Q340" s="22"/>
    </row>
    <row r="341" spans="1:17" ht="15" customHeight="1" x14ac:dyDescent="0.25">
      <c r="A341" s="22" t="s">
        <v>316</v>
      </c>
      <c r="B341" s="22">
        <v>8</v>
      </c>
      <c r="C341" s="22" t="s">
        <v>226</v>
      </c>
      <c r="D341" s="22">
        <v>-105</v>
      </c>
      <c r="E341" s="22" t="s">
        <v>298</v>
      </c>
      <c r="F341" s="22" t="s">
        <v>183</v>
      </c>
      <c r="G341" s="23">
        <v>35886</v>
      </c>
      <c r="H341" s="22">
        <v>153</v>
      </c>
      <c r="I341" s="22">
        <v>9</v>
      </c>
      <c r="J341" s="22">
        <f t="shared" si="30"/>
        <v>406</v>
      </c>
      <c r="K341" s="22">
        <f t="shared" si="31"/>
        <v>13</v>
      </c>
      <c r="L341" s="22">
        <f t="shared" si="32"/>
        <v>393</v>
      </c>
      <c r="M341" s="22">
        <f t="shared" si="33"/>
        <v>909</v>
      </c>
      <c r="N341" s="24">
        <f t="shared" si="34"/>
        <v>0.43234323432343236</v>
      </c>
      <c r="O341" s="24">
        <v>0.43234323432343202</v>
      </c>
      <c r="P341" s="24">
        <f t="shared" si="35"/>
        <v>3.3306690738754696E-16</v>
      </c>
      <c r="Q341" s="22"/>
    </row>
    <row r="342" spans="1:17" ht="15" customHeight="1" x14ac:dyDescent="0.25">
      <c r="A342" s="22" t="s">
        <v>316</v>
      </c>
      <c r="B342" s="22">
        <v>9</v>
      </c>
      <c r="C342" s="22" t="s">
        <v>264</v>
      </c>
      <c r="D342" s="22">
        <v>-90</v>
      </c>
      <c r="E342" s="22" t="s">
        <v>298</v>
      </c>
      <c r="F342" s="22" t="s">
        <v>183</v>
      </c>
      <c r="G342" s="23">
        <v>35886</v>
      </c>
      <c r="H342" s="22">
        <v>143</v>
      </c>
      <c r="I342" s="22">
        <v>30</v>
      </c>
      <c r="J342" s="22">
        <f t="shared" si="30"/>
        <v>549</v>
      </c>
      <c r="K342" s="22">
        <f t="shared" si="31"/>
        <v>43</v>
      </c>
      <c r="L342" s="22">
        <f t="shared" si="32"/>
        <v>506</v>
      </c>
      <c r="M342" s="22">
        <f t="shared" si="33"/>
        <v>909</v>
      </c>
      <c r="N342" s="24">
        <f t="shared" si="34"/>
        <v>0.55665566556655666</v>
      </c>
      <c r="O342" s="24">
        <v>0.55665566556655699</v>
      </c>
      <c r="P342" s="24">
        <f t="shared" si="35"/>
        <v>-3.3306690738754696E-16</v>
      </c>
      <c r="Q342" s="22"/>
    </row>
    <row r="343" spans="1:17" ht="15" customHeight="1" x14ac:dyDescent="0.25">
      <c r="A343" s="22" t="s">
        <v>316</v>
      </c>
      <c r="B343" s="22">
        <v>10</v>
      </c>
      <c r="C343" s="22" t="s">
        <v>191</v>
      </c>
      <c r="D343" s="22">
        <v>-75</v>
      </c>
      <c r="E343" s="22" t="s">
        <v>298</v>
      </c>
      <c r="F343" s="22" t="s">
        <v>183</v>
      </c>
      <c r="G343" s="23">
        <v>35886</v>
      </c>
      <c r="H343" s="22">
        <v>121</v>
      </c>
      <c r="I343" s="22">
        <v>80</v>
      </c>
      <c r="J343" s="22">
        <f t="shared" si="30"/>
        <v>670</v>
      </c>
      <c r="K343" s="22">
        <f t="shared" si="31"/>
        <v>123</v>
      </c>
      <c r="L343" s="22">
        <f t="shared" si="32"/>
        <v>547</v>
      </c>
      <c r="M343" s="22">
        <f t="shared" si="33"/>
        <v>909</v>
      </c>
      <c r="N343" s="24">
        <f t="shared" si="34"/>
        <v>0.60176017601760179</v>
      </c>
      <c r="O343" s="24">
        <v>0.60176017601760201</v>
      </c>
      <c r="P343" s="24">
        <f t="shared" si="35"/>
        <v>-2.2204460492503131E-16</v>
      </c>
      <c r="Q343" s="22"/>
    </row>
    <row r="344" spans="1:17" ht="15" customHeight="1" x14ac:dyDescent="0.25">
      <c r="A344" s="22" t="s">
        <v>316</v>
      </c>
      <c r="B344" s="22">
        <v>11</v>
      </c>
      <c r="C344" s="22" t="s">
        <v>231</v>
      </c>
      <c r="D344" s="22">
        <v>-60</v>
      </c>
      <c r="E344" s="22" t="s">
        <v>298</v>
      </c>
      <c r="F344" s="22" t="s">
        <v>183</v>
      </c>
      <c r="G344" s="23">
        <v>35886</v>
      </c>
      <c r="H344" s="22">
        <v>79</v>
      </c>
      <c r="I344" s="22">
        <v>80</v>
      </c>
      <c r="J344" s="22">
        <f t="shared" si="30"/>
        <v>749</v>
      </c>
      <c r="K344" s="22">
        <f t="shared" si="31"/>
        <v>203</v>
      </c>
      <c r="L344" s="22">
        <f t="shared" si="32"/>
        <v>546</v>
      </c>
      <c r="M344" s="22">
        <f t="shared" si="33"/>
        <v>909</v>
      </c>
      <c r="N344" s="24">
        <f t="shared" si="34"/>
        <v>0.60066006600660071</v>
      </c>
      <c r="O344" s="24">
        <v>0.60066006600660105</v>
      </c>
      <c r="P344" s="24">
        <f t="shared" si="35"/>
        <v>-3.3306690738754696E-16</v>
      </c>
      <c r="Q344" s="22"/>
    </row>
    <row r="345" spans="1:17" ht="15" customHeight="1" x14ac:dyDescent="0.25">
      <c r="A345" s="22" t="s">
        <v>316</v>
      </c>
      <c r="B345" s="22">
        <v>12</v>
      </c>
      <c r="C345" s="22" t="s">
        <v>239</v>
      </c>
      <c r="D345" s="22">
        <v>-45</v>
      </c>
      <c r="E345" s="22" t="s">
        <v>298</v>
      </c>
      <c r="F345" s="22" t="s">
        <v>183</v>
      </c>
      <c r="G345" s="23">
        <v>35886</v>
      </c>
      <c r="H345" s="22">
        <v>74</v>
      </c>
      <c r="I345" s="22">
        <v>163</v>
      </c>
      <c r="J345" s="22">
        <f t="shared" si="30"/>
        <v>823</v>
      </c>
      <c r="K345" s="22">
        <f t="shared" si="31"/>
        <v>366</v>
      </c>
      <c r="L345" s="22">
        <f t="shared" si="32"/>
        <v>457</v>
      </c>
      <c r="M345" s="22">
        <f t="shared" si="33"/>
        <v>909</v>
      </c>
      <c r="N345" s="24">
        <f t="shared" si="34"/>
        <v>0.5027502750275028</v>
      </c>
      <c r="O345" s="24">
        <v>0.50275027502750302</v>
      </c>
      <c r="P345" s="24">
        <f t="shared" si="35"/>
        <v>-2.2204460492503131E-16</v>
      </c>
      <c r="Q345" s="22"/>
    </row>
    <row r="346" spans="1:17" ht="15" customHeight="1" x14ac:dyDescent="0.25">
      <c r="A346" s="22" t="s">
        <v>316</v>
      </c>
      <c r="B346" s="22">
        <v>13</v>
      </c>
      <c r="C346" s="22" t="s">
        <v>387</v>
      </c>
      <c r="D346" s="22">
        <v>-30</v>
      </c>
      <c r="E346" s="22" t="s">
        <v>298</v>
      </c>
      <c r="F346" s="22" t="s">
        <v>183</v>
      </c>
      <c r="G346" s="23">
        <v>35886</v>
      </c>
      <c r="H346" s="22">
        <v>33</v>
      </c>
      <c r="I346" s="22">
        <v>140</v>
      </c>
      <c r="J346" s="22">
        <f t="shared" si="30"/>
        <v>856</v>
      </c>
      <c r="K346" s="22">
        <f t="shared" si="31"/>
        <v>506</v>
      </c>
      <c r="L346" s="22">
        <f t="shared" si="32"/>
        <v>350</v>
      </c>
      <c r="M346" s="22">
        <f t="shared" si="33"/>
        <v>909</v>
      </c>
      <c r="N346" s="24">
        <f t="shared" si="34"/>
        <v>0.38503850385038502</v>
      </c>
      <c r="O346" s="24">
        <v>0.38503850385038502</v>
      </c>
      <c r="P346" s="24">
        <f t="shared" si="35"/>
        <v>0</v>
      </c>
      <c r="Q346" s="22"/>
    </row>
    <row r="347" spans="1:17" ht="15" customHeight="1" x14ac:dyDescent="0.25">
      <c r="A347" s="22" t="s">
        <v>316</v>
      </c>
      <c r="B347" s="22">
        <v>14</v>
      </c>
      <c r="C347" s="22" t="s">
        <v>468</v>
      </c>
      <c r="D347" s="22">
        <v>-15</v>
      </c>
      <c r="E347" s="22" t="s">
        <v>298</v>
      </c>
      <c r="F347" s="22" t="s">
        <v>183</v>
      </c>
      <c r="G347" s="23">
        <v>35886</v>
      </c>
      <c r="H347" s="22">
        <v>21</v>
      </c>
      <c r="I347" s="22">
        <v>178</v>
      </c>
      <c r="J347" s="22">
        <f t="shared" si="30"/>
        <v>877</v>
      </c>
      <c r="K347" s="22">
        <f t="shared" si="31"/>
        <v>684</v>
      </c>
      <c r="L347" s="22">
        <f t="shared" si="32"/>
        <v>193</v>
      </c>
      <c r="M347" s="22">
        <f t="shared" si="33"/>
        <v>909</v>
      </c>
      <c r="N347" s="24">
        <f t="shared" si="34"/>
        <v>0.21232123212321233</v>
      </c>
      <c r="O347" s="24">
        <v>0.21232123212321199</v>
      </c>
      <c r="P347" s="24">
        <f t="shared" si="35"/>
        <v>3.3306690738754696E-16</v>
      </c>
      <c r="Q347" s="22"/>
    </row>
    <row r="348" spans="1:17" ht="15" customHeight="1" x14ac:dyDescent="0.25">
      <c r="A348" s="22" t="s">
        <v>316</v>
      </c>
      <c r="B348" s="22">
        <v>15</v>
      </c>
      <c r="C348" s="22" t="s">
        <v>469</v>
      </c>
      <c r="D348" s="22">
        <v>0</v>
      </c>
      <c r="E348" s="22" t="s">
        <v>298</v>
      </c>
      <c r="F348" s="22" t="s">
        <v>183</v>
      </c>
      <c r="G348" s="23">
        <v>35886</v>
      </c>
      <c r="H348" s="22">
        <v>22</v>
      </c>
      <c r="I348" s="22">
        <v>138</v>
      </c>
      <c r="J348" s="22">
        <f t="shared" si="30"/>
        <v>899</v>
      </c>
      <c r="K348" s="22">
        <f t="shared" si="31"/>
        <v>822</v>
      </c>
      <c r="L348" s="22">
        <f t="shared" si="32"/>
        <v>77</v>
      </c>
      <c r="M348" s="22">
        <f t="shared" si="33"/>
        <v>909</v>
      </c>
      <c r="N348" s="24">
        <f t="shared" si="34"/>
        <v>8.4708470847084702E-2</v>
      </c>
      <c r="O348" s="24">
        <v>8.4708470847084702E-2</v>
      </c>
      <c r="P348" s="24">
        <f t="shared" si="35"/>
        <v>0</v>
      </c>
      <c r="Q348" s="22"/>
    </row>
    <row r="349" spans="1:17" ht="15" customHeight="1" x14ac:dyDescent="0.25">
      <c r="A349" s="22" t="s">
        <v>316</v>
      </c>
      <c r="B349" s="22">
        <v>16</v>
      </c>
      <c r="C349" s="22" t="s">
        <v>351</v>
      </c>
      <c r="D349" s="22">
        <v>15</v>
      </c>
      <c r="E349" s="22" t="s">
        <v>298</v>
      </c>
      <c r="F349" s="22" t="s">
        <v>183</v>
      </c>
      <c r="G349" s="23">
        <v>35886</v>
      </c>
      <c r="H349" s="22">
        <v>3</v>
      </c>
      <c r="I349" s="22">
        <v>115</v>
      </c>
      <c r="J349" s="22">
        <f t="shared" si="30"/>
        <v>902</v>
      </c>
      <c r="K349" s="22">
        <f t="shared" si="31"/>
        <v>937</v>
      </c>
      <c r="L349" s="22">
        <f t="shared" si="32"/>
        <v>-35</v>
      </c>
      <c r="M349" s="22">
        <f t="shared" si="33"/>
        <v>909</v>
      </c>
      <c r="N349" s="24">
        <f t="shared" si="34"/>
        <v>-3.8503850385038507E-2</v>
      </c>
      <c r="O349" s="24">
        <v>-3.85038503850385E-2</v>
      </c>
      <c r="P349" s="24">
        <f t="shared" si="35"/>
        <v>-6.9388939039072284E-18</v>
      </c>
      <c r="Q349" s="22"/>
    </row>
    <row r="350" spans="1:17" ht="15" customHeight="1" x14ac:dyDescent="0.25">
      <c r="A350" s="22" t="s">
        <v>316</v>
      </c>
      <c r="B350" s="22">
        <v>17</v>
      </c>
      <c r="C350" s="22" t="s">
        <v>311</v>
      </c>
      <c r="D350" s="22">
        <v>30</v>
      </c>
      <c r="E350" s="22" t="s">
        <v>298</v>
      </c>
      <c r="F350" s="22" t="s">
        <v>183</v>
      </c>
      <c r="G350" s="23">
        <v>35886</v>
      </c>
      <c r="H350" s="22">
        <v>4</v>
      </c>
      <c r="I350" s="22">
        <v>122</v>
      </c>
      <c r="J350" s="22">
        <f t="shared" si="30"/>
        <v>906</v>
      </c>
      <c r="K350" s="22">
        <f t="shared" si="31"/>
        <v>1059</v>
      </c>
      <c r="L350" s="22">
        <f t="shared" si="32"/>
        <v>-153</v>
      </c>
      <c r="M350" s="22">
        <f t="shared" si="33"/>
        <v>909</v>
      </c>
      <c r="N350" s="24">
        <f t="shared" si="34"/>
        <v>-0.16831683168316833</v>
      </c>
      <c r="O350" s="24">
        <v>-0.16831683168316799</v>
      </c>
      <c r="P350" s="24">
        <f t="shared" si="35"/>
        <v>-3.3306690738754696E-16</v>
      </c>
      <c r="Q350" s="22"/>
    </row>
    <row r="351" spans="1:17" ht="15" customHeight="1" x14ac:dyDescent="0.25">
      <c r="A351" s="22" t="s">
        <v>316</v>
      </c>
      <c r="B351" s="22">
        <v>18</v>
      </c>
      <c r="C351" s="22" t="s">
        <v>211</v>
      </c>
      <c r="D351" s="22">
        <v>45</v>
      </c>
      <c r="E351" s="22" t="s">
        <v>298</v>
      </c>
      <c r="F351" s="22" t="s">
        <v>183</v>
      </c>
      <c r="G351" s="23">
        <v>35886</v>
      </c>
      <c r="H351" s="22">
        <v>3</v>
      </c>
      <c r="I351" s="22">
        <v>30</v>
      </c>
      <c r="J351" s="22">
        <f t="shared" si="30"/>
        <v>909</v>
      </c>
      <c r="K351" s="22">
        <f t="shared" si="31"/>
        <v>1089</v>
      </c>
      <c r="L351" s="22">
        <f t="shared" si="32"/>
        <v>-180</v>
      </c>
      <c r="M351" s="22">
        <f t="shared" si="33"/>
        <v>909</v>
      </c>
      <c r="N351" s="24">
        <f t="shared" si="34"/>
        <v>-0.19801980198019803</v>
      </c>
      <c r="O351" s="24">
        <v>-0.198019801980198</v>
      </c>
      <c r="P351" s="24">
        <f t="shared" si="35"/>
        <v>-2.7755575615628914E-17</v>
      </c>
      <c r="Q351" s="22"/>
    </row>
    <row r="352" spans="1:17" ht="15" customHeight="1" x14ac:dyDescent="0.25">
      <c r="A352" s="22" t="s">
        <v>318</v>
      </c>
      <c r="B352" s="22">
        <v>0</v>
      </c>
      <c r="C352" s="22" t="s">
        <v>189</v>
      </c>
      <c r="D352" s="22"/>
      <c r="E352" s="22" t="s">
        <v>298</v>
      </c>
      <c r="F352" s="22" t="s">
        <v>183</v>
      </c>
      <c r="G352" s="23">
        <v>35886</v>
      </c>
      <c r="H352" s="22">
        <v>30</v>
      </c>
      <c r="I352" s="22">
        <v>1</v>
      </c>
      <c r="J352" s="22">
        <f t="shared" si="30"/>
        <v>30</v>
      </c>
      <c r="K352" s="22">
        <f t="shared" si="31"/>
        <v>1</v>
      </c>
      <c r="L352" s="22">
        <f t="shared" si="32"/>
        <v>29</v>
      </c>
      <c r="M352" s="22">
        <f t="shared" si="33"/>
        <v>262</v>
      </c>
      <c r="N352" s="24">
        <f t="shared" si="34"/>
        <v>0.11068702290076336</v>
      </c>
      <c r="O352" s="24">
        <v>0.110687022900763</v>
      </c>
      <c r="P352" s="24">
        <f t="shared" si="35"/>
        <v>3.6082248300317588E-16</v>
      </c>
      <c r="Q352" s="22"/>
    </row>
    <row r="353" spans="1:17" ht="15" customHeight="1" x14ac:dyDescent="0.25">
      <c r="A353" s="22" t="s">
        <v>318</v>
      </c>
      <c r="B353" s="22">
        <v>7</v>
      </c>
      <c r="C353" s="22" t="s">
        <v>212</v>
      </c>
      <c r="D353" s="22">
        <v>-120</v>
      </c>
      <c r="E353" s="22" t="s">
        <v>298</v>
      </c>
      <c r="F353" s="22" t="s">
        <v>183</v>
      </c>
      <c r="G353" s="23">
        <v>35886</v>
      </c>
      <c r="H353" s="22">
        <v>54</v>
      </c>
      <c r="I353" s="22">
        <v>2</v>
      </c>
      <c r="J353" s="22">
        <f t="shared" si="30"/>
        <v>84</v>
      </c>
      <c r="K353" s="22">
        <f t="shared" si="31"/>
        <v>3</v>
      </c>
      <c r="L353" s="22">
        <f t="shared" si="32"/>
        <v>81</v>
      </c>
      <c r="M353" s="22">
        <f t="shared" si="33"/>
        <v>262</v>
      </c>
      <c r="N353" s="24">
        <f t="shared" si="34"/>
        <v>0.30916030534351147</v>
      </c>
      <c r="O353" s="24">
        <v>0.30916030534351202</v>
      </c>
      <c r="P353" s="24">
        <f t="shared" si="35"/>
        <v>-5.5511151231257827E-16</v>
      </c>
      <c r="Q353" s="22"/>
    </row>
    <row r="354" spans="1:17" ht="15" customHeight="1" x14ac:dyDescent="0.25">
      <c r="A354" s="22" t="s">
        <v>318</v>
      </c>
      <c r="B354" s="22">
        <v>8</v>
      </c>
      <c r="C354" s="22" t="s">
        <v>226</v>
      </c>
      <c r="D354" s="22">
        <v>-105</v>
      </c>
      <c r="E354" s="22" t="s">
        <v>298</v>
      </c>
      <c r="F354" s="22" t="s">
        <v>183</v>
      </c>
      <c r="G354" s="23">
        <v>35886</v>
      </c>
      <c r="H354" s="22">
        <v>34</v>
      </c>
      <c r="I354" s="22">
        <v>2</v>
      </c>
      <c r="J354" s="22">
        <f t="shared" si="30"/>
        <v>118</v>
      </c>
      <c r="K354" s="22">
        <f t="shared" si="31"/>
        <v>5</v>
      </c>
      <c r="L354" s="22">
        <f t="shared" si="32"/>
        <v>113</v>
      </c>
      <c r="M354" s="22">
        <f t="shared" si="33"/>
        <v>262</v>
      </c>
      <c r="N354" s="24">
        <f t="shared" si="34"/>
        <v>0.43129770992366412</v>
      </c>
      <c r="O354" s="24">
        <v>0.43129770992366401</v>
      </c>
      <c r="P354" s="24">
        <f t="shared" si="35"/>
        <v>1.1102230246251565E-16</v>
      </c>
      <c r="Q354" s="22"/>
    </row>
    <row r="355" spans="1:17" ht="15" customHeight="1" x14ac:dyDescent="0.25">
      <c r="A355" s="22" t="s">
        <v>318</v>
      </c>
      <c r="B355" s="22">
        <v>9</v>
      </c>
      <c r="C355" s="22" t="s">
        <v>264</v>
      </c>
      <c r="D355" s="22">
        <v>-90</v>
      </c>
      <c r="E355" s="22" t="s">
        <v>298</v>
      </c>
      <c r="F355" s="22" t="s">
        <v>183</v>
      </c>
      <c r="G355" s="23">
        <v>35886</v>
      </c>
      <c r="H355" s="22">
        <v>33</v>
      </c>
      <c r="I355" s="22">
        <v>9</v>
      </c>
      <c r="J355" s="22">
        <f t="shared" si="30"/>
        <v>151</v>
      </c>
      <c r="K355" s="22">
        <f t="shared" si="31"/>
        <v>14</v>
      </c>
      <c r="L355" s="22">
        <f t="shared" si="32"/>
        <v>137</v>
      </c>
      <c r="M355" s="22">
        <f t="shared" si="33"/>
        <v>262</v>
      </c>
      <c r="N355" s="24">
        <f t="shared" si="34"/>
        <v>0.52290076335877866</v>
      </c>
      <c r="O355" s="24">
        <v>0.522900763358779</v>
      </c>
      <c r="P355" s="24">
        <f t="shared" si="35"/>
        <v>-3.3306690738754696E-16</v>
      </c>
      <c r="Q355" s="22"/>
    </row>
    <row r="356" spans="1:17" ht="15" customHeight="1" x14ac:dyDescent="0.25">
      <c r="A356" s="22" t="s">
        <v>318</v>
      </c>
      <c r="B356" s="22">
        <v>10</v>
      </c>
      <c r="C356" s="22" t="s">
        <v>191</v>
      </c>
      <c r="D356" s="22">
        <v>-75</v>
      </c>
      <c r="E356" s="22" t="s">
        <v>298</v>
      </c>
      <c r="F356" s="22" t="s">
        <v>183</v>
      </c>
      <c r="G356" s="23">
        <v>35886</v>
      </c>
      <c r="H356" s="22">
        <v>25</v>
      </c>
      <c r="I356" s="22">
        <v>12</v>
      </c>
      <c r="J356" s="22">
        <f t="shared" si="30"/>
        <v>176</v>
      </c>
      <c r="K356" s="22">
        <f t="shared" si="31"/>
        <v>26</v>
      </c>
      <c r="L356" s="22">
        <f t="shared" si="32"/>
        <v>150</v>
      </c>
      <c r="M356" s="22">
        <f t="shared" si="33"/>
        <v>262</v>
      </c>
      <c r="N356" s="24">
        <f t="shared" si="34"/>
        <v>0.5725190839694656</v>
      </c>
      <c r="O356" s="24">
        <v>0.57251908396946605</v>
      </c>
      <c r="P356" s="24">
        <f t="shared" si="35"/>
        <v>-4.4408920985006262E-16</v>
      </c>
      <c r="Q356" s="22"/>
    </row>
    <row r="357" spans="1:17" ht="15" customHeight="1" x14ac:dyDescent="0.25">
      <c r="A357" s="22" t="s">
        <v>318</v>
      </c>
      <c r="B357" s="22">
        <v>11</v>
      </c>
      <c r="C357" s="22" t="s">
        <v>231</v>
      </c>
      <c r="D357" s="22">
        <v>-60</v>
      </c>
      <c r="E357" s="22" t="s">
        <v>298</v>
      </c>
      <c r="F357" s="22" t="s">
        <v>183</v>
      </c>
      <c r="G357" s="23">
        <v>35886</v>
      </c>
      <c r="H357" s="22">
        <v>31</v>
      </c>
      <c r="I357" s="22">
        <v>28</v>
      </c>
      <c r="J357" s="22">
        <f t="shared" si="30"/>
        <v>207</v>
      </c>
      <c r="K357" s="22">
        <f t="shared" si="31"/>
        <v>54</v>
      </c>
      <c r="L357" s="22">
        <f t="shared" si="32"/>
        <v>153</v>
      </c>
      <c r="M357" s="22">
        <f t="shared" si="33"/>
        <v>262</v>
      </c>
      <c r="N357" s="24">
        <f t="shared" si="34"/>
        <v>0.58396946564885499</v>
      </c>
      <c r="O357" s="24">
        <v>0.58396946564885499</v>
      </c>
      <c r="P357" s="24">
        <f t="shared" si="35"/>
        <v>0</v>
      </c>
      <c r="Q357" s="22"/>
    </row>
    <row r="358" spans="1:17" ht="15" customHeight="1" x14ac:dyDescent="0.25">
      <c r="A358" s="22" t="s">
        <v>318</v>
      </c>
      <c r="B358" s="22">
        <v>12</v>
      </c>
      <c r="C358" s="22" t="s">
        <v>239</v>
      </c>
      <c r="D358" s="22">
        <v>-45</v>
      </c>
      <c r="E358" s="22" t="s">
        <v>298</v>
      </c>
      <c r="F358" s="22" t="s">
        <v>183</v>
      </c>
      <c r="G358" s="23">
        <v>35886</v>
      </c>
      <c r="H358" s="22">
        <v>17</v>
      </c>
      <c r="I358" s="22">
        <v>33</v>
      </c>
      <c r="J358" s="22">
        <f t="shared" si="30"/>
        <v>224</v>
      </c>
      <c r="K358" s="22">
        <f t="shared" si="31"/>
        <v>87</v>
      </c>
      <c r="L358" s="22">
        <f t="shared" si="32"/>
        <v>137</v>
      </c>
      <c r="M358" s="22">
        <f t="shared" si="33"/>
        <v>262</v>
      </c>
      <c r="N358" s="24">
        <f t="shared" si="34"/>
        <v>0.52290076335877866</v>
      </c>
      <c r="O358" s="24">
        <v>0.522900763358779</v>
      </c>
      <c r="P358" s="24">
        <f t="shared" si="35"/>
        <v>-3.3306690738754696E-16</v>
      </c>
      <c r="Q358" s="22"/>
    </row>
    <row r="359" spans="1:17" ht="15" customHeight="1" x14ac:dyDescent="0.25">
      <c r="A359" s="22" t="s">
        <v>318</v>
      </c>
      <c r="B359" s="22">
        <v>13</v>
      </c>
      <c r="C359" s="22" t="s">
        <v>387</v>
      </c>
      <c r="D359" s="22">
        <v>-30</v>
      </c>
      <c r="E359" s="22" t="s">
        <v>298</v>
      </c>
      <c r="F359" s="22" t="s">
        <v>183</v>
      </c>
      <c r="G359" s="23">
        <v>35886</v>
      </c>
      <c r="H359" s="22">
        <v>15</v>
      </c>
      <c r="I359" s="22">
        <v>38</v>
      </c>
      <c r="J359" s="22">
        <f t="shared" si="30"/>
        <v>239</v>
      </c>
      <c r="K359" s="22">
        <f t="shared" si="31"/>
        <v>125</v>
      </c>
      <c r="L359" s="22">
        <f t="shared" si="32"/>
        <v>114</v>
      </c>
      <c r="M359" s="22">
        <f t="shared" si="33"/>
        <v>262</v>
      </c>
      <c r="N359" s="24">
        <f t="shared" si="34"/>
        <v>0.4351145038167939</v>
      </c>
      <c r="O359" s="24">
        <v>0.43511450381679401</v>
      </c>
      <c r="P359" s="24">
        <f t="shared" si="35"/>
        <v>-1.1102230246251565E-16</v>
      </c>
      <c r="Q359" s="22"/>
    </row>
    <row r="360" spans="1:17" ht="15" customHeight="1" x14ac:dyDescent="0.25">
      <c r="A360" s="22" t="s">
        <v>318</v>
      </c>
      <c r="B360" s="22">
        <v>14</v>
      </c>
      <c r="C360" s="22" t="s">
        <v>468</v>
      </c>
      <c r="D360" s="22">
        <v>-15</v>
      </c>
      <c r="E360" s="22" t="s">
        <v>298</v>
      </c>
      <c r="F360" s="22" t="s">
        <v>183</v>
      </c>
      <c r="G360" s="23">
        <v>35886</v>
      </c>
      <c r="H360" s="22">
        <v>11</v>
      </c>
      <c r="I360" s="22">
        <v>44</v>
      </c>
      <c r="J360" s="22">
        <f t="shared" si="30"/>
        <v>250</v>
      </c>
      <c r="K360" s="22">
        <f t="shared" si="31"/>
        <v>169</v>
      </c>
      <c r="L360" s="22">
        <f t="shared" si="32"/>
        <v>81</v>
      </c>
      <c r="M360" s="22">
        <f t="shared" si="33"/>
        <v>262</v>
      </c>
      <c r="N360" s="24">
        <f t="shared" si="34"/>
        <v>0.30916030534351147</v>
      </c>
      <c r="O360" s="24">
        <v>0.30916030534351202</v>
      </c>
      <c r="P360" s="24">
        <f t="shared" si="35"/>
        <v>-5.5511151231257827E-16</v>
      </c>
      <c r="Q360" s="22"/>
    </row>
    <row r="361" spans="1:17" ht="15" customHeight="1" x14ac:dyDescent="0.25">
      <c r="A361" s="22" t="s">
        <v>318</v>
      </c>
      <c r="B361" s="22">
        <v>15</v>
      </c>
      <c r="C361" s="22" t="s">
        <v>469</v>
      </c>
      <c r="D361" s="22">
        <v>0</v>
      </c>
      <c r="E361" s="22" t="s">
        <v>298</v>
      </c>
      <c r="F361" s="22" t="s">
        <v>183</v>
      </c>
      <c r="G361" s="23">
        <v>35886</v>
      </c>
      <c r="H361" s="22">
        <v>5</v>
      </c>
      <c r="I361" s="22">
        <v>37</v>
      </c>
      <c r="J361" s="22">
        <f t="shared" si="30"/>
        <v>255</v>
      </c>
      <c r="K361" s="22">
        <f t="shared" si="31"/>
        <v>206</v>
      </c>
      <c r="L361" s="22">
        <f t="shared" si="32"/>
        <v>49</v>
      </c>
      <c r="M361" s="22">
        <f t="shared" si="33"/>
        <v>262</v>
      </c>
      <c r="N361" s="24">
        <f t="shared" si="34"/>
        <v>0.18702290076335878</v>
      </c>
      <c r="O361" s="24">
        <v>0.18702290076335901</v>
      </c>
      <c r="P361" s="24">
        <f t="shared" si="35"/>
        <v>-2.2204460492503131E-16</v>
      </c>
      <c r="Q361" s="22"/>
    </row>
    <row r="362" spans="1:17" ht="15" customHeight="1" x14ac:dyDescent="0.25">
      <c r="A362" s="22" t="s">
        <v>318</v>
      </c>
      <c r="B362" s="22">
        <v>16</v>
      </c>
      <c r="C362" s="22" t="s">
        <v>351</v>
      </c>
      <c r="D362" s="22">
        <v>15</v>
      </c>
      <c r="E362" s="22" t="s">
        <v>298</v>
      </c>
      <c r="F362" s="22" t="s">
        <v>183</v>
      </c>
      <c r="G362" s="23">
        <v>35886</v>
      </c>
      <c r="H362" s="22">
        <v>6</v>
      </c>
      <c r="I362" s="22">
        <v>35</v>
      </c>
      <c r="J362" s="22">
        <f t="shared" si="30"/>
        <v>261</v>
      </c>
      <c r="K362" s="22">
        <f t="shared" si="31"/>
        <v>241</v>
      </c>
      <c r="L362" s="22">
        <f t="shared" si="32"/>
        <v>20</v>
      </c>
      <c r="M362" s="22">
        <f t="shared" si="33"/>
        <v>262</v>
      </c>
      <c r="N362" s="24">
        <f t="shared" si="34"/>
        <v>7.6335877862595422E-2</v>
      </c>
      <c r="O362" s="24">
        <v>7.6335877862595394E-2</v>
      </c>
      <c r="P362" s="24">
        <f t="shared" si="35"/>
        <v>2.7755575615628914E-17</v>
      </c>
      <c r="Q362" s="22"/>
    </row>
    <row r="363" spans="1:17" ht="15" customHeight="1" x14ac:dyDescent="0.25">
      <c r="A363" s="22" t="s">
        <v>318</v>
      </c>
      <c r="B363" s="22">
        <v>17</v>
      </c>
      <c r="C363" s="22" t="s">
        <v>311</v>
      </c>
      <c r="D363" s="22">
        <v>30</v>
      </c>
      <c r="E363" s="22" t="s">
        <v>298</v>
      </c>
      <c r="F363" s="22" t="s">
        <v>183</v>
      </c>
      <c r="G363" s="23">
        <v>35886</v>
      </c>
      <c r="H363" s="22">
        <v>1</v>
      </c>
      <c r="I363" s="22">
        <v>20</v>
      </c>
      <c r="J363" s="22">
        <f t="shared" si="30"/>
        <v>262</v>
      </c>
      <c r="K363" s="22">
        <f t="shared" si="31"/>
        <v>261</v>
      </c>
      <c r="L363" s="22">
        <f t="shared" si="32"/>
        <v>1</v>
      </c>
      <c r="M363" s="22">
        <f t="shared" si="33"/>
        <v>262</v>
      </c>
      <c r="N363" s="24">
        <f t="shared" si="34"/>
        <v>3.8167938931297708E-3</v>
      </c>
      <c r="O363" s="24">
        <v>3.81679389312977E-3</v>
      </c>
      <c r="P363" s="24">
        <f t="shared" si="35"/>
        <v>8.6736173798840355E-19</v>
      </c>
      <c r="Q363" s="22"/>
    </row>
    <row r="364" spans="1:17" ht="15" customHeight="1" x14ac:dyDescent="0.25">
      <c r="A364" s="22" t="s">
        <v>318</v>
      </c>
      <c r="B364" s="22">
        <v>18</v>
      </c>
      <c r="C364" s="22" t="s">
        <v>211</v>
      </c>
      <c r="D364" s="22">
        <v>45</v>
      </c>
      <c r="E364" s="22" t="s">
        <v>298</v>
      </c>
      <c r="F364" s="22" t="s">
        <v>183</v>
      </c>
      <c r="G364" s="23">
        <v>35886</v>
      </c>
      <c r="H364" s="22">
        <v>0</v>
      </c>
      <c r="I364" s="22">
        <v>0</v>
      </c>
      <c r="J364" s="22">
        <f t="shared" si="30"/>
        <v>262</v>
      </c>
      <c r="K364" s="22">
        <f t="shared" si="31"/>
        <v>261</v>
      </c>
      <c r="L364" s="22">
        <f t="shared" si="32"/>
        <v>1</v>
      </c>
      <c r="M364" s="22">
        <f t="shared" si="33"/>
        <v>262</v>
      </c>
      <c r="N364" s="24">
        <f t="shared" si="34"/>
        <v>3.8167938931297708E-3</v>
      </c>
      <c r="O364" s="24">
        <v>3.81679389312977E-3</v>
      </c>
      <c r="P364" s="24">
        <f t="shared" si="35"/>
        <v>8.6736173798840355E-19</v>
      </c>
      <c r="Q364" s="25" t="s">
        <v>470</v>
      </c>
    </row>
    <row r="365" spans="1:17" ht="15" customHeight="1" x14ac:dyDescent="0.25">
      <c r="A365" s="22" t="s">
        <v>320</v>
      </c>
      <c r="B365" s="22">
        <v>2</v>
      </c>
      <c r="C365" s="22" t="s">
        <v>325</v>
      </c>
      <c r="D365" s="22">
        <v>-195</v>
      </c>
      <c r="E365" s="22" t="s">
        <v>298</v>
      </c>
      <c r="F365" s="22" t="s">
        <v>183</v>
      </c>
      <c r="G365" s="23">
        <v>38101</v>
      </c>
      <c r="H365" s="22">
        <v>39</v>
      </c>
      <c r="I365" s="22">
        <v>0</v>
      </c>
      <c r="J365" s="22">
        <f t="shared" si="30"/>
        <v>39</v>
      </c>
      <c r="K365" s="22">
        <f t="shared" si="31"/>
        <v>0</v>
      </c>
      <c r="L365" s="22">
        <f t="shared" si="32"/>
        <v>39</v>
      </c>
      <c r="M365" s="22">
        <f t="shared" si="33"/>
        <v>707</v>
      </c>
      <c r="N365" s="24">
        <f t="shared" si="34"/>
        <v>5.5162659123055166E-2</v>
      </c>
      <c r="O365" s="24"/>
      <c r="P365" s="24" t="str">
        <f t="shared" si="35"/>
        <v/>
      </c>
      <c r="Q365" s="22"/>
    </row>
    <row r="366" spans="1:17" ht="15" customHeight="1" x14ac:dyDescent="0.25">
      <c r="A366" s="22" t="s">
        <v>320</v>
      </c>
      <c r="B366" s="22">
        <v>3</v>
      </c>
      <c r="C366" s="22" t="s">
        <v>464</v>
      </c>
      <c r="D366" s="22">
        <v>-180</v>
      </c>
      <c r="E366" s="22" t="s">
        <v>298</v>
      </c>
      <c r="F366" s="22" t="s">
        <v>183</v>
      </c>
      <c r="G366" s="23">
        <v>38101</v>
      </c>
      <c r="H366" s="22">
        <v>29</v>
      </c>
      <c r="I366" s="22">
        <v>2</v>
      </c>
      <c r="J366" s="22">
        <f t="shared" si="30"/>
        <v>68</v>
      </c>
      <c r="K366" s="22">
        <f t="shared" si="31"/>
        <v>2</v>
      </c>
      <c r="L366" s="22">
        <f t="shared" si="32"/>
        <v>66</v>
      </c>
      <c r="M366" s="22">
        <f t="shared" si="33"/>
        <v>707</v>
      </c>
      <c r="N366" s="24">
        <f t="shared" si="34"/>
        <v>9.3352192362093356E-2</v>
      </c>
      <c r="O366" s="24"/>
      <c r="P366" s="24" t="str">
        <f t="shared" si="35"/>
        <v/>
      </c>
      <c r="Q366" s="22"/>
    </row>
    <row r="367" spans="1:17" ht="15" customHeight="1" x14ac:dyDescent="0.25">
      <c r="A367" s="22" t="s">
        <v>320</v>
      </c>
      <c r="B367" s="22">
        <v>4</v>
      </c>
      <c r="C367" s="22" t="s">
        <v>465</v>
      </c>
      <c r="D367" s="22">
        <v>-165</v>
      </c>
      <c r="E367" s="22" t="s">
        <v>298</v>
      </c>
      <c r="F367" s="22" t="s">
        <v>183</v>
      </c>
      <c r="G367" s="23">
        <v>38101</v>
      </c>
      <c r="H367" s="22">
        <v>47</v>
      </c>
      <c r="I367" s="22">
        <v>1</v>
      </c>
      <c r="J367" s="22">
        <f t="shared" si="30"/>
        <v>115</v>
      </c>
      <c r="K367" s="22">
        <f t="shared" si="31"/>
        <v>3</v>
      </c>
      <c r="L367" s="22">
        <f t="shared" si="32"/>
        <v>112</v>
      </c>
      <c r="M367" s="22">
        <f t="shared" si="33"/>
        <v>707</v>
      </c>
      <c r="N367" s="24">
        <f t="shared" si="34"/>
        <v>0.15841584158415842</v>
      </c>
      <c r="O367" s="24"/>
      <c r="P367" s="24" t="str">
        <f t="shared" si="35"/>
        <v/>
      </c>
      <c r="Q367" s="22"/>
    </row>
    <row r="368" spans="1:17" ht="15" customHeight="1" x14ac:dyDescent="0.25">
      <c r="A368" s="22" t="s">
        <v>320</v>
      </c>
      <c r="B368" s="22">
        <v>5</v>
      </c>
      <c r="C368" s="22" t="s">
        <v>466</v>
      </c>
      <c r="D368" s="22">
        <v>-150</v>
      </c>
      <c r="E368" s="22" t="s">
        <v>298</v>
      </c>
      <c r="F368" s="22" t="s">
        <v>183</v>
      </c>
      <c r="G368" s="23">
        <v>38101</v>
      </c>
      <c r="H368" s="22">
        <v>78</v>
      </c>
      <c r="I368" s="22">
        <v>3</v>
      </c>
      <c r="J368" s="22">
        <f t="shared" si="30"/>
        <v>193</v>
      </c>
      <c r="K368" s="22">
        <f t="shared" si="31"/>
        <v>6</v>
      </c>
      <c r="L368" s="22">
        <f t="shared" si="32"/>
        <v>187</v>
      </c>
      <c r="M368" s="22">
        <f t="shared" si="33"/>
        <v>707</v>
      </c>
      <c r="N368" s="24">
        <f t="shared" si="34"/>
        <v>0.26449787835926447</v>
      </c>
      <c r="O368" s="24"/>
      <c r="P368" s="24" t="str">
        <f t="shared" si="35"/>
        <v/>
      </c>
      <c r="Q368" s="22"/>
    </row>
    <row r="369" spans="1:17" ht="15" customHeight="1" x14ac:dyDescent="0.25">
      <c r="A369" s="22" t="s">
        <v>320</v>
      </c>
      <c r="B369" s="22">
        <v>6</v>
      </c>
      <c r="C369" s="22" t="s">
        <v>467</v>
      </c>
      <c r="D369" s="22">
        <v>-135</v>
      </c>
      <c r="E369" s="22" t="s">
        <v>298</v>
      </c>
      <c r="F369" s="22" t="s">
        <v>183</v>
      </c>
      <c r="G369" s="23">
        <v>38101</v>
      </c>
      <c r="H369" s="22">
        <v>100</v>
      </c>
      <c r="I369" s="22">
        <v>9</v>
      </c>
      <c r="J369" s="22">
        <f t="shared" si="30"/>
        <v>293</v>
      </c>
      <c r="K369" s="22">
        <f t="shared" si="31"/>
        <v>15</v>
      </c>
      <c r="L369" s="22">
        <f t="shared" si="32"/>
        <v>278</v>
      </c>
      <c r="M369" s="22">
        <f t="shared" si="33"/>
        <v>707</v>
      </c>
      <c r="N369" s="24">
        <f t="shared" si="34"/>
        <v>0.39321074964639319</v>
      </c>
      <c r="O369" s="24"/>
      <c r="P369" s="24" t="str">
        <f t="shared" si="35"/>
        <v/>
      </c>
      <c r="Q369" s="22"/>
    </row>
    <row r="370" spans="1:17" ht="15" customHeight="1" x14ac:dyDescent="0.25">
      <c r="A370" s="22" t="s">
        <v>320</v>
      </c>
      <c r="B370" s="22">
        <v>7</v>
      </c>
      <c r="C370" s="22" t="s">
        <v>212</v>
      </c>
      <c r="D370" s="22">
        <v>-120</v>
      </c>
      <c r="E370" s="22" t="s">
        <v>298</v>
      </c>
      <c r="F370" s="22" t="s">
        <v>183</v>
      </c>
      <c r="G370" s="23">
        <v>38101</v>
      </c>
      <c r="H370" s="22">
        <v>90</v>
      </c>
      <c r="I370" s="22">
        <v>10</v>
      </c>
      <c r="J370" s="22">
        <f t="shared" si="30"/>
        <v>383</v>
      </c>
      <c r="K370" s="22">
        <f t="shared" si="31"/>
        <v>25</v>
      </c>
      <c r="L370" s="22">
        <f t="shared" si="32"/>
        <v>358</v>
      </c>
      <c r="M370" s="22">
        <f t="shared" si="33"/>
        <v>707</v>
      </c>
      <c r="N370" s="24">
        <f t="shared" si="34"/>
        <v>0.50636492220650642</v>
      </c>
      <c r="O370" s="24"/>
      <c r="P370" s="24" t="str">
        <f t="shared" si="35"/>
        <v/>
      </c>
      <c r="Q370" s="22"/>
    </row>
    <row r="371" spans="1:17" ht="15" customHeight="1" x14ac:dyDescent="0.25">
      <c r="A371" s="22" t="s">
        <v>320</v>
      </c>
      <c r="B371" s="22">
        <v>8</v>
      </c>
      <c r="C371" s="22" t="s">
        <v>226</v>
      </c>
      <c r="D371" s="22">
        <v>-105</v>
      </c>
      <c r="E371" s="22" t="s">
        <v>298</v>
      </c>
      <c r="F371" s="22" t="s">
        <v>183</v>
      </c>
      <c r="G371" s="23">
        <v>38101</v>
      </c>
      <c r="H371" s="22">
        <v>78</v>
      </c>
      <c r="I371" s="22">
        <v>22</v>
      </c>
      <c r="J371" s="22">
        <f t="shared" si="30"/>
        <v>461</v>
      </c>
      <c r="K371" s="22">
        <f t="shared" si="31"/>
        <v>47</v>
      </c>
      <c r="L371" s="22">
        <f t="shared" si="32"/>
        <v>414</v>
      </c>
      <c r="M371" s="22">
        <f t="shared" si="33"/>
        <v>707</v>
      </c>
      <c r="N371" s="24">
        <f t="shared" si="34"/>
        <v>0.58557284299858559</v>
      </c>
      <c r="O371" s="24"/>
      <c r="P371" s="24" t="str">
        <f t="shared" si="35"/>
        <v/>
      </c>
      <c r="Q371" s="22"/>
    </row>
    <row r="372" spans="1:17" ht="15" customHeight="1" x14ac:dyDescent="0.25">
      <c r="A372" s="22" t="s">
        <v>320</v>
      </c>
      <c r="B372" s="22">
        <v>9</v>
      </c>
      <c r="C372" s="22" t="s">
        <v>264</v>
      </c>
      <c r="D372" s="22">
        <v>-90</v>
      </c>
      <c r="E372" s="22" t="s">
        <v>298</v>
      </c>
      <c r="F372" s="22" t="s">
        <v>183</v>
      </c>
      <c r="G372" s="23">
        <v>38101</v>
      </c>
      <c r="H372" s="22">
        <v>71</v>
      </c>
      <c r="I372" s="22">
        <v>40</v>
      </c>
      <c r="J372" s="22">
        <f t="shared" si="30"/>
        <v>532</v>
      </c>
      <c r="K372" s="22">
        <f t="shared" si="31"/>
        <v>87</v>
      </c>
      <c r="L372" s="22">
        <f t="shared" si="32"/>
        <v>445</v>
      </c>
      <c r="M372" s="22">
        <f t="shared" si="33"/>
        <v>707</v>
      </c>
      <c r="N372" s="24">
        <f t="shared" si="34"/>
        <v>0.62942008486562939</v>
      </c>
      <c r="O372" s="24"/>
      <c r="P372" s="24" t="str">
        <f t="shared" si="35"/>
        <v/>
      </c>
      <c r="Q372" s="22"/>
    </row>
    <row r="373" spans="1:17" ht="15" customHeight="1" x14ac:dyDescent="0.25">
      <c r="A373" s="22" t="s">
        <v>320</v>
      </c>
      <c r="B373" s="22">
        <v>10</v>
      </c>
      <c r="C373" s="22" t="s">
        <v>191</v>
      </c>
      <c r="D373" s="22">
        <v>-75</v>
      </c>
      <c r="E373" s="22" t="s">
        <v>298</v>
      </c>
      <c r="F373" s="22" t="s">
        <v>183</v>
      </c>
      <c r="G373" s="23">
        <v>38101</v>
      </c>
      <c r="H373" s="22">
        <v>46</v>
      </c>
      <c r="I373" s="22">
        <v>60</v>
      </c>
      <c r="J373" s="22">
        <f t="shared" si="30"/>
        <v>578</v>
      </c>
      <c r="K373" s="22">
        <f t="shared" si="31"/>
        <v>147</v>
      </c>
      <c r="L373" s="22">
        <f t="shared" si="32"/>
        <v>431</v>
      </c>
      <c r="M373" s="22">
        <f t="shared" si="33"/>
        <v>707</v>
      </c>
      <c r="N373" s="24">
        <f t="shared" si="34"/>
        <v>0.60961810466760957</v>
      </c>
      <c r="O373" s="24"/>
      <c r="P373" s="24" t="str">
        <f t="shared" si="35"/>
        <v/>
      </c>
      <c r="Q373" s="22"/>
    </row>
    <row r="374" spans="1:17" ht="15" customHeight="1" x14ac:dyDescent="0.25">
      <c r="A374" s="22" t="s">
        <v>320</v>
      </c>
      <c r="B374" s="22">
        <v>11</v>
      </c>
      <c r="C374" s="22" t="s">
        <v>231</v>
      </c>
      <c r="D374" s="22">
        <v>-60</v>
      </c>
      <c r="E374" s="22" t="s">
        <v>298</v>
      </c>
      <c r="F374" s="22" t="s">
        <v>183</v>
      </c>
      <c r="G374" s="23">
        <v>38101</v>
      </c>
      <c r="H374" s="22">
        <v>35</v>
      </c>
      <c r="I374" s="22">
        <v>54</v>
      </c>
      <c r="J374" s="22">
        <f t="shared" si="30"/>
        <v>613</v>
      </c>
      <c r="K374" s="22">
        <f t="shared" si="31"/>
        <v>201</v>
      </c>
      <c r="L374" s="22">
        <f t="shared" si="32"/>
        <v>412</v>
      </c>
      <c r="M374" s="22">
        <f t="shared" si="33"/>
        <v>707</v>
      </c>
      <c r="N374" s="24">
        <f t="shared" si="34"/>
        <v>0.58274398868458277</v>
      </c>
      <c r="O374" s="24"/>
      <c r="P374" s="24" t="str">
        <f t="shared" si="35"/>
        <v/>
      </c>
      <c r="Q374" s="22"/>
    </row>
    <row r="375" spans="1:17" ht="15" customHeight="1" x14ac:dyDescent="0.25">
      <c r="A375" s="22" t="s">
        <v>320</v>
      </c>
      <c r="B375" s="22">
        <v>12</v>
      </c>
      <c r="C375" s="22" t="s">
        <v>239</v>
      </c>
      <c r="D375" s="22">
        <v>-45</v>
      </c>
      <c r="E375" s="22" t="s">
        <v>298</v>
      </c>
      <c r="F375" s="22" t="s">
        <v>183</v>
      </c>
      <c r="G375" s="23">
        <v>38101</v>
      </c>
      <c r="H375" s="22">
        <v>28</v>
      </c>
      <c r="I375" s="22">
        <v>49</v>
      </c>
      <c r="J375" s="22">
        <f t="shared" si="30"/>
        <v>641</v>
      </c>
      <c r="K375" s="22">
        <f t="shared" si="31"/>
        <v>250</v>
      </c>
      <c r="L375" s="22">
        <f t="shared" si="32"/>
        <v>391</v>
      </c>
      <c r="M375" s="22">
        <f t="shared" si="33"/>
        <v>707</v>
      </c>
      <c r="N375" s="24">
        <f t="shared" si="34"/>
        <v>0.55304101838755304</v>
      </c>
      <c r="O375" s="24"/>
      <c r="P375" s="24" t="str">
        <f t="shared" si="35"/>
        <v/>
      </c>
      <c r="Q375" s="22"/>
    </row>
    <row r="376" spans="1:17" ht="15" customHeight="1" x14ac:dyDescent="0.25">
      <c r="A376" s="22" t="s">
        <v>320</v>
      </c>
      <c r="B376" s="22">
        <v>13</v>
      </c>
      <c r="C376" s="22" t="s">
        <v>387</v>
      </c>
      <c r="D376" s="22">
        <v>-30</v>
      </c>
      <c r="E376" s="22" t="s">
        <v>298</v>
      </c>
      <c r="F376" s="22" t="s">
        <v>183</v>
      </c>
      <c r="G376" s="23">
        <v>38101</v>
      </c>
      <c r="H376" s="22">
        <v>12</v>
      </c>
      <c r="I376" s="22">
        <v>64</v>
      </c>
      <c r="J376" s="22">
        <f t="shared" si="30"/>
        <v>653</v>
      </c>
      <c r="K376" s="22">
        <f t="shared" si="31"/>
        <v>314</v>
      </c>
      <c r="L376" s="22">
        <f t="shared" si="32"/>
        <v>339</v>
      </c>
      <c r="M376" s="22">
        <f t="shared" si="33"/>
        <v>707</v>
      </c>
      <c r="N376" s="24">
        <f t="shared" si="34"/>
        <v>0.4794908062234795</v>
      </c>
      <c r="O376" s="24"/>
      <c r="P376" s="24" t="str">
        <f t="shared" si="35"/>
        <v/>
      </c>
      <c r="Q376" s="22"/>
    </row>
    <row r="377" spans="1:17" ht="15" customHeight="1" x14ac:dyDescent="0.25">
      <c r="A377" s="22" t="s">
        <v>320</v>
      </c>
      <c r="B377" s="22">
        <v>14</v>
      </c>
      <c r="C377" s="22" t="s">
        <v>468</v>
      </c>
      <c r="D377" s="22">
        <v>-15</v>
      </c>
      <c r="E377" s="22" t="s">
        <v>298</v>
      </c>
      <c r="F377" s="22" t="s">
        <v>183</v>
      </c>
      <c r="G377" s="23">
        <v>38101</v>
      </c>
      <c r="H377" s="22">
        <v>12</v>
      </c>
      <c r="I377" s="22">
        <v>65</v>
      </c>
      <c r="J377" s="22">
        <f t="shared" si="30"/>
        <v>665</v>
      </c>
      <c r="K377" s="22">
        <f t="shared" si="31"/>
        <v>379</v>
      </c>
      <c r="L377" s="22">
        <f t="shared" si="32"/>
        <v>286</v>
      </c>
      <c r="M377" s="22">
        <f t="shared" si="33"/>
        <v>707</v>
      </c>
      <c r="N377" s="24">
        <f t="shared" si="34"/>
        <v>0.4045261669024045</v>
      </c>
      <c r="O377" s="24"/>
      <c r="P377" s="24" t="str">
        <f t="shared" si="35"/>
        <v/>
      </c>
      <c r="Q377" s="22"/>
    </row>
    <row r="378" spans="1:17" ht="15" customHeight="1" x14ac:dyDescent="0.25">
      <c r="A378" s="22" t="s">
        <v>320</v>
      </c>
      <c r="B378" s="22">
        <v>15</v>
      </c>
      <c r="C378" s="22" t="s">
        <v>469</v>
      </c>
      <c r="D378" s="22">
        <v>0</v>
      </c>
      <c r="E378" s="22" t="s">
        <v>298</v>
      </c>
      <c r="F378" s="22" t="s">
        <v>183</v>
      </c>
      <c r="G378" s="23">
        <v>38101</v>
      </c>
      <c r="H378" s="22">
        <v>15</v>
      </c>
      <c r="I378" s="22">
        <v>63</v>
      </c>
      <c r="J378" s="22">
        <f t="shared" si="30"/>
        <v>680</v>
      </c>
      <c r="K378" s="22">
        <f t="shared" si="31"/>
        <v>442</v>
      </c>
      <c r="L378" s="22">
        <f t="shared" si="32"/>
        <v>238</v>
      </c>
      <c r="M378" s="22">
        <f t="shared" si="33"/>
        <v>707</v>
      </c>
      <c r="N378" s="24">
        <f t="shared" si="34"/>
        <v>0.33663366336633666</v>
      </c>
      <c r="O378" s="24"/>
      <c r="P378" s="24" t="str">
        <f t="shared" si="35"/>
        <v/>
      </c>
      <c r="Q378" s="22"/>
    </row>
    <row r="379" spans="1:17" ht="15" customHeight="1" x14ac:dyDescent="0.25">
      <c r="A379" s="22" t="s">
        <v>320</v>
      </c>
      <c r="B379" s="22">
        <v>16</v>
      </c>
      <c r="C379" s="22" t="s">
        <v>351</v>
      </c>
      <c r="D379" s="22">
        <v>15</v>
      </c>
      <c r="E379" s="22" t="s">
        <v>298</v>
      </c>
      <c r="F379" s="22" t="s">
        <v>183</v>
      </c>
      <c r="G379" s="23">
        <v>38101</v>
      </c>
      <c r="H379" s="22">
        <v>11</v>
      </c>
      <c r="I379" s="22">
        <v>51</v>
      </c>
      <c r="J379" s="22">
        <f t="shared" si="30"/>
        <v>691</v>
      </c>
      <c r="K379" s="22">
        <f t="shared" si="31"/>
        <v>493</v>
      </c>
      <c r="L379" s="22">
        <f t="shared" si="32"/>
        <v>198</v>
      </c>
      <c r="M379" s="22">
        <f t="shared" si="33"/>
        <v>707</v>
      </c>
      <c r="N379" s="24">
        <f t="shared" si="34"/>
        <v>0.28005657708628007</v>
      </c>
      <c r="O379" s="24"/>
      <c r="P379" s="24" t="str">
        <f t="shared" si="35"/>
        <v/>
      </c>
      <c r="Q379" s="22"/>
    </row>
    <row r="380" spans="1:17" ht="15" customHeight="1" x14ac:dyDescent="0.25">
      <c r="A380" s="22" t="s">
        <v>320</v>
      </c>
      <c r="B380" s="22">
        <v>17</v>
      </c>
      <c r="C380" s="22" t="s">
        <v>311</v>
      </c>
      <c r="D380" s="22">
        <v>30</v>
      </c>
      <c r="E380" s="22" t="s">
        <v>298</v>
      </c>
      <c r="F380" s="22" t="s">
        <v>183</v>
      </c>
      <c r="G380" s="23">
        <v>38101</v>
      </c>
      <c r="H380" s="22">
        <v>10</v>
      </c>
      <c r="I380" s="22">
        <v>47</v>
      </c>
      <c r="J380" s="22">
        <f t="shared" si="30"/>
        <v>701</v>
      </c>
      <c r="K380" s="22">
        <f t="shared" si="31"/>
        <v>540</v>
      </c>
      <c r="L380" s="22">
        <f t="shared" si="32"/>
        <v>161</v>
      </c>
      <c r="M380" s="22">
        <f t="shared" si="33"/>
        <v>707</v>
      </c>
      <c r="N380" s="24">
        <f t="shared" si="34"/>
        <v>0.22772277227722773</v>
      </c>
      <c r="O380" s="24"/>
      <c r="P380" s="24" t="str">
        <f t="shared" si="35"/>
        <v/>
      </c>
      <c r="Q380" s="22"/>
    </row>
    <row r="381" spans="1:17" ht="15" customHeight="1" x14ac:dyDescent="0.25">
      <c r="A381" s="22" t="s">
        <v>320</v>
      </c>
      <c r="B381" s="22">
        <v>18</v>
      </c>
      <c r="C381" s="22" t="s">
        <v>211</v>
      </c>
      <c r="D381" s="22">
        <v>45</v>
      </c>
      <c r="E381" s="22" t="s">
        <v>298</v>
      </c>
      <c r="F381" s="22" t="s">
        <v>183</v>
      </c>
      <c r="G381" s="23">
        <v>38101</v>
      </c>
      <c r="H381" s="22">
        <v>6</v>
      </c>
      <c r="I381" s="22">
        <v>22</v>
      </c>
      <c r="J381" s="22">
        <f t="shared" si="30"/>
        <v>707</v>
      </c>
      <c r="K381" s="22">
        <f t="shared" si="31"/>
        <v>562</v>
      </c>
      <c r="L381" s="22">
        <f t="shared" si="32"/>
        <v>145</v>
      </c>
      <c r="M381" s="22">
        <f t="shared" si="33"/>
        <v>707</v>
      </c>
      <c r="N381" s="24">
        <f t="shared" si="34"/>
        <v>0.2050919377652051</v>
      </c>
      <c r="O381" s="24"/>
      <c r="P381" s="24" t="str">
        <f t="shared" si="35"/>
        <v/>
      </c>
      <c r="Q381" s="22"/>
    </row>
    <row r="382" spans="1:17" ht="15" customHeight="1" x14ac:dyDescent="0.25">
      <c r="A382" s="22" t="s">
        <v>330</v>
      </c>
      <c r="B382" s="22">
        <v>0</v>
      </c>
      <c r="C382" s="22" t="s">
        <v>189</v>
      </c>
      <c r="D382" s="22"/>
      <c r="E382" s="22" t="s">
        <v>298</v>
      </c>
      <c r="F382" s="22" t="s">
        <v>183</v>
      </c>
      <c r="G382" s="23">
        <v>38101</v>
      </c>
      <c r="H382" s="22">
        <v>39</v>
      </c>
      <c r="I382" s="22">
        <v>0</v>
      </c>
      <c r="J382" s="22">
        <f t="shared" si="30"/>
        <v>39</v>
      </c>
      <c r="K382" s="22">
        <f t="shared" si="31"/>
        <v>0</v>
      </c>
      <c r="L382" s="22">
        <f t="shared" si="32"/>
        <v>39</v>
      </c>
      <c r="M382" s="22">
        <f t="shared" si="33"/>
        <v>707</v>
      </c>
      <c r="N382" s="24">
        <f t="shared" si="34"/>
        <v>5.5162659123055166E-2</v>
      </c>
      <c r="O382" s="24">
        <v>5.5162659123055201E-2</v>
      </c>
      <c r="P382" s="24">
        <f t="shared" si="35"/>
        <v>-3.4694469519536142E-17</v>
      </c>
      <c r="Q382" s="25" t="s">
        <v>470</v>
      </c>
    </row>
    <row r="383" spans="1:17" ht="15" customHeight="1" x14ac:dyDescent="0.25">
      <c r="A383" s="22" t="s">
        <v>330</v>
      </c>
      <c r="B383" s="22">
        <v>3</v>
      </c>
      <c r="C383" s="22" t="s">
        <v>464</v>
      </c>
      <c r="D383" s="22">
        <v>-180</v>
      </c>
      <c r="E383" s="22" t="s">
        <v>298</v>
      </c>
      <c r="F383" s="22" t="s">
        <v>183</v>
      </c>
      <c r="G383" s="23">
        <v>38101</v>
      </c>
      <c r="H383" s="22">
        <v>29</v>
      </c>
      <c r="I383" s="22">
        <v>2</v>
      </c>
      <c r="J383" s="22">
        <f t="shared" si="30"/>
        <v>68</v>
      </c>
      <c r="K383" s="22">
        <f t="shared" si="31"/>
        <v>2</v>
      </c>
      <c r="L383" s="22">
        <f t="shared" si="32"/>
        <v>66</v>
      </c>
      <c r="M383" s="22">
        <f t="shared" si="33"/>
        <v>707</v>
      </c>
      <c r="N383" s="24">
        <f t="shared" si="34"/>
        <v>9.3352192362093356E-2</v>
      </c>
      <c r="O383" s="24">
        <v>9.3352192362093397E-2</v>
      </c>
      <c r="P383" s="24">
        <f t="shared" si="35"/>
        <v>-4.163336342344337E-17</v>
      </c>
      <c r="Q383" s="22"/>
    </row>
    <row r="384" spans="1:17" ht="15" customHeight="1" x14ac:dyDescent="0.25">
      <c r="A384" s="22" t="s">
        <v>330</v>
      </c>
      <c r="B384" s="22">
        <v>4</v>
      </c>
      <c r="C384" s="22" t="s">
        <v>465</v>
      </c>
      <c r="D384" s="22">
        <v>-165</v>
      </c>
      <c r="E384" s="22" t="s">
        <v>298</v>
      </c>
      <c r="F384" s="22" t="s">
        <v>183</v>
      </c>
      <c r="G384" s="23">
        <v>38101</v>
      </c>
      <c r="H384" s="22">
        <v>47</v>
      </c>
      <c r="I384" s="22">
        <v>1</v>
      </c>
      <c r="J384" s="22">
        <f t="shared" si="30"/>
        <v>115</v>
      </c>
      <c r="K384" s="22">
        <f t="shared" si="31"/>
        <v>3</v>
      </c>
      <c r="L384" s="22">
        <f t="shared" si="32"/>
        <v>112</v>
      </c>
      <c r="M384" s="22">
        <f t="shared" si="33"/>
        <v>707</v>
      </c>
      <c r="N384" s="24">
        <f t="shared" si="34"/>
        <v>0.15841584158415842</v>
      </c>
      <c r="O384" s="24">
        <v>0.158415841584158</v>
      </c>
      <c r="P384" s="24">
        <f t="shared" si="35"/>
        <v>4.163336342344337E-16</v>
      </c>
      <c r="Q384" s="22"/>
    </row>
    <row r="385" spans="1:17" ht="15" customHeight="1" x14ac:dyDescent="0.25">
      <c r="A385" s="22" t="s">
        <v>330</v>
      </c>
      <c r="B385" s="22">
        <v>5</v>
      </c>
      <c r="C385" s="22" t="s">
        <v>466</v>
      </c>
      <c r="D385" s="22">
        <v>-150</v>
      </c>
      <c r="E385" s="22" t="s">
        <v>298</v>
      </c>
      <c r="F385" s="22" t="s">
        <v>183</v>
      </c>
      <c r="G385" s="23">
        <v>38101</v>
      </c>
      <c r="H385" s="22">
        <v>78</v>
      </c>
      <c r="I385" s="22">
        <v>3</v>
      </c>
      <c r="J385" s="22">
        <f t="shared" si="30"/>
        <v>193</v>
      </c>
      <c r="K385" s="22">
        <f t="shared" si="31"/>
        <v>6</v>
      </c>
      <c r="L385" s="22">
        <f t="shared" si="32"/>
        <v>187</v>
      </c>
      <c r="M385" s="22">
        <f t="shared" si="33"/>
        <v>707</v>
      </c>
      <c r="N385" s="24">
        <f t="shared" si="34"/>
        <v>0.26449787835926447</v>
      </c>
      <c r="O385" s="24">
        <v>0.26449787835926503</v>
      </c>
      <c r="P385" s="24">
        <f t="shared" si="35"/>
        <v>-5.5511151231257827E-16</v>
      </c>
      <c r="Q385" s="22"/>
    </row>
    <row r="386" spans="1:17" ht="15" customHeight="1" x14ac:dyDescent="0.25">
      <c r="A386" s="22" t="s">
        <v>330</v>
      </c>
      <c r="B386" s="22">
        <v>6</v>
      </c>
      <c r="C386" s="22" t="s">
        <v>467</v>
      </c>
      <c r="D386" s="22">
        <v>-135</v>
      </c>
      <c r="E386" s="22" t="s">
        <v>298</v>
      </c>
      <c r="F386" s="22" t="s">
        <v>183</v>
      </c>
      <c r="G386" s="23">
        <v>38101</v>
      </c>
      <c r="H386" s="22">
        <v>100</v>
      </c>
      <c r="I386" s="22">
        <v>9</v>
      </c>
      <c r="J386" s="22">
        <f t="shared" ref="J386:J449" si="36">SUMIFS($H$2:$H$1200,$A$2:$A$1200,$A386,$B$2:$B$1200,"&lt;="&amp;$B386)</f>
        <v>293</v>
      </c>
      <c r="K386" s="22">
        <f t="shared" ref="K386:K449" si="37">SUMIFS($I$2:$I$1200,$A$2:$A$1200,$A386,$B$2:$B$1200,"&lt;="&amp;$B386)</f>
        <v>15</v>
      </c>
      <c r="L386" s="22">
        <f t="shared" ref="L386:L449" si="38">J386-K386</f>
        <v>278</v>
      </c>
      <c r="M386" s="22">
        <f t="shared" ref="M386:M449" si="39">SUMIF($A$2:$A$1200,$A386,$H$2:$H$1200)</f>
        <v>707</v>
      </c>
      <c r="N386" s="24">
        <f t="shared" ref="N386:N449" si="40">IF(M386=0,"",L386/M386)</f>
        <v>0.39321074964639319</v>
      </c>
      <c r="O386" s="24">
        <v>0.39321074964639302</v>
      </c>
      <c r="P386" s="24">
        <f t="shared" ref="P386:P449" si="41">IF(OR(N386="",O386=""),"",N386-O386)</f>
        <v>1.6653345369377348E-16</v>
      </c>
      <c r="Q386" s="22"/>
    </row>
    <row r="387" spans="1:17" ht="15" customHeight="1" x14ac:dyDescent="0.25">
      <c r="A387" s="22" t="s">
        <v>330</v>
      </c>
      <c r="B387" s="22">
        <v>7</v>
      </c>
      <c r="C387" s="22" t="s">
        <v>212</v>
      </c>
      <c r="D387" s="22">
        <v>-120</v>
      </c>
      <c r="E387" s="22" t="s">
        <v>298</v>
      </c>
      <c r="F387" s="22" t="s">
        <v>183</v>
      </c>
      <c r="G387" s="23">
        <v>38101</v>
      </c>
      <c r="H387" s="22">
        <v>90</v>
      </c>
      <c r="I387" s="22">
        <v>10</v>
      </c>
      <c r="J387" s="22">
        <f t="shared" si="36"/>
        <v>383</v>
      </c>
      <c r="K387" s="22">
        <f t="shared" si="37"/>
        <v>25</v>
      </c>
      <c r="L387" s="22">
        <f t="shared" si="38"/>
        <v>358</v>
      </c>
      <c r="M387" s="22">
        <f t="shared" si="39"/>
        <v>707</v>
      </c>
      <c r="N387" s="24">
        <f t="shared" si="40"/>
        <v>0.50636492220650642</v>
      </c>
      <c r="O387" s="24">
        <v>0.50636492220650597</v>
      </c>
      <c r="P387" s="24">
        <f t="shared" si="41"/>
        <v>4.4408920985006262E-16</v>
      </c>
      <c r="Q387" s="22"/>
    </row>
    <row r="388" spans="1:17" ht="15" customHeight="1" x14ac:dyDescent="0.25">
      <c r="A388" s="22" t="s">
        <v>330</v>
      </c>
      <c r="B388" s="22">
        <v>8</v>
      </c>
      <c r="C388" s="22" t="s">
        <v>226</v>
      </c>
      <c r="D388" s="22">
        <v>-105</v>
      </c>
      <c r="E388" s="22" t="s">
        <v>298</v>
      </c>
      <c r="F388" s="22" t="s">
        <v>183</v>
      </c>
      <c r="G388" s="23">
        <v>38101</v>
      </c>
      <c r="H388" s="22">
        <v>78</v>
      </c>
      <c r="I388" s="22">
        <v>22</v>
      </c>
      <c r="J388" s="22">
        <f t="shared" si="36"/>
        <v>461</v>
      </c>
      <c r="K388" s="22">
        <f t="shared" si="37"/>
        <v>47</v>
      </c>
      <c r="L388" s="22">
        <f t="shared" si="38"/>
        <v>414</v>
      </c>
      <c r="M388" s="22">
        <f t="shared" si="39"/>
        <v>707</v>
      </c>
      <c r="N388" s="24">
        <f t="shared" si="40"/>
        <v>0.58557284299858559</v>
      </c>
      <c r="O388" s="24">
        <v>0.58557284299858603</v>
      </c>
      <c r="P388" s="24">
        <f t="shared" si="41"/>
        <v>-4.4408920985006262E-16</v>
      </c>
      <c r="Q388" s="22"/>
    </row>
    <row r="389" spans="1:17" ht="15" customHeight="1" x14ac:dyDescent="0.25">
      <c r="A389" s="22" t="s">
        <v>330</v>
      </c>
      <c r="B389" s="22">
        <v>9</v>
      </c>
      <c r="C389" s="22" t="s">
        <v>264</v>
      </c>
      <c r="D389" s="22">
        <v>-90</v>
      </c>
      <c r="E389" s="22" t="s">
        <v>298</v>
      </c>
      <c r="F389" s="22" t="s">
        <v>183</v>
      </c>
      <c r="G389" s="23">
        <v>38101</v>
      </c>
      <c r="H389" s="22">
        <v>71</v>
      </c>
      <c r="I389" s="22">
        <v>40</v>
      </c>
      <c r="J389" s="22">
        <f t="shared" si="36"/>
        <v>532</v>
      </c>
      <c r="K389" s="22">
        <f t="shared" si="37"/>
        <v>87</v>
      </c>
      <c r="L389" s="22">
        <f t="shared" si="38"/>
        <v>445</v>
      </c>
      <c r="M389" s="22">
        <f t="shared" si="39"/>
        <v>707</v>
      </c>
      <c r="N389" s="24">
        <f t="shared" si="40"/>
        <v>0.62942008486562939</v>
      </c>
      <c r="O389" s="24">
        <v>0.62942008486562895</v>
      </c>
      <c r="P389" s="24">
        <f t="shared" si="41"/>
        <v>4.4408920985006262E-16</v>
      </c>
      <c r="Q389" s="22"/>
    </row>
    <row r="390" spans="1:17" ht="15" customHeight="1" x14ac:dyDescent="0.25">
      <c r="A390" s="22" t="s">
        <v>330</v>
      </c>
      <c r="B390" s="22">
        <v>10</v>
      </c>
      <c r="C390" s="22" t="s">
        <v>191</v>
      </c>
      <c r="D390" s="22">
        <v>-75</v>
      </c>
      <c r="E390" s="22" t="s">
        <v>298</v>
      </c>
      <c r="F390" s="22" t="s">
        <v>183</v>
      </c>
      <c r="G390" s="23">
        <v>38101</v>
      </c>
      <c r="H390" s="22">
        <v>46</v>
      </c>
      <c r="I390" s="22">
        <v>60</v>
      </c>
      <c r="J390" s="22">
        <f t="shared" si="36"/>
        <v>578</v>
      </c>
      <c r="K390" s="22">
        <f t="shared" si="37"/>
        <v>147</v>
      </c>
      <c r="L390" s="22">
        <f t="shared" si="38"/>
        <v>431</v>
      </c>
      <c r="M390" s="22">
        <f t="shared" si="39"/>
        <v>707</v>
      </c>
      <c r="N390" s="24">
        <f t="shared" si="40"/>
        <v>0.60961810466760957</v>
      </c>
      <c r="O390" s="24">
        <v>0.60961810466761002</v>
      </c>
      <c r="P390" s="24">
        <f t="shared" si="41"/>
        <v>-4.4408920985006262E-16</v>
      </c>
      <c r="Q390" s="22"/>
    </row>
    <row r="391" spans="1:17" ht="15" customHeight="1" x14ac:dyDescent="0.25">
      <c r="A391" s="22" t="s">
        <v>330</v>
      </c>
      <c r="B391" s="22">
        <v>11</v>
      </c>
      <c r="C391" s="22" t="s">
        <v>231</v>
      </c>
      <c r="D391" s="22">
        <v>-60</v>
      </c>
      <c r="E391" s="22" t="s">
        <v>298</v>
      </c>
      <c r="F391" s="22" t="s">
        <v>183</v>
      </c>
      <c r="G391" s="23">
        <v>38101</v>
      </c>
      <c r="H391" s="22">
        <v>35</v>
      </c>
      <c r="I391" s="22">
        <v>54</v>
      </c>
      <c r="J391" s="22">
        <f t="shared" si="36"/>
        <v>613</v>
      </c>
      <c r="K391" s="22">
        <f t="shared" si="37"/>
        <v>201</v>
      </c>
      <c r="L391" s="22">
        <f t="shared" si="38"/>
        <v>412</v>
      </c>
      <c r="M391" s="22">
        <f t="shared" si="39"/>
        <v>707</v>
      </c>
      <c r="N391" s="24">
        <f t="shared" si="40"/>
        <v>0.58274398868458277</v>
      </c>
      <c r="O391" s="24">
        <v>0.58274398868458299</v>
      </c>
      <c r="P391" s="24">
        <f t="shared" si="41"/>
        <v>-2.2204460492503131E-16</v>
      </c>
      <c r="Q391" s="22"/>
    </row>
    <row r="392" spans="1:17" ht="15" customHeight="1" x14ac:dyDescent="0.25">
      <c r="A392" s="22" t="s">
        <v>330</v>
      </c>
      <c r="B392" s="22">
        <v>12</v>
      </c>
      <c r="C392" s="22" t="s">
        <v>239</v>
      </c>
      <c r="D392" s="22">
        <v>-45</v>
      </c>
      <c r="E392" s="22" t="s">
        <v>298</v>
      </c>
      <c r="F392" s="22" t="s">
        <v>183</v>
      </c>
      <c r="G392" s="23">
        <v>38101</v>
      </c>
      <c r="H392" s="22">
        <v>28</v>
      </c>
      <c r="I392" s="22">
        <v>49</v>
      </c>
      <c r="J392" s="22">
        <f t="shared" si="36"/>
        <v>641</v>
      </c>
      <c r="K392" s="22">
        <f t="shared" si="37"/>
        <v>250</v>
      </c>
      <c r="L392" s="22">
        <f t="shared" si="38"/>
        <v>391</v>
      </c>
      <c r="M392" s="22">
        <f t="shared" si="39"/>
        <v>707</v>
      </c>
      <c r="N392" s="24">
        <f t="shared" si="40"/>
        <v>0.55304101838755304</v>
      </c>
      <c r="O392" s="24">
        <v>0.55304101838755304</v>
      </c>
      <c r="P392" s="24">
        <f t="shared" si="41"/>
        <v>0</v>
      </c>
      <c r="Q392" s="22"/>
    </row>
    <row r="393" spans="1:17" ht="15" customHeight="1" x14ac:dyDescent="0.25">
      <c r="A393" s="22" t="s">
        <v>330</v>
      </c>
      <c r="B393" s="22">
        <v>13</v>
      </c>
      <c r="C393" s="22" t="s">
        <v>387</v>
      </c>
      <c r="D393" s="22">
        <v>-30</v>
      </c>
      <c r="E393" s="22" t="s">
        <v>298</v>
      </c>
      <c r="F393" s="22" t="s">
        <v>183</v>
      </c>
      <c r="G393" s="23">
        <v>38101</v>
      </c>
      <c r="H393" s="22">
        <v>12</v>
      </c>
      <c r="I393" s="22">
        <v>64</v>
      </c>
      <c r="J393" s="22">
        <f t="shared" si="36"/>
        <v>653</v>
      </c>
      <c r="K393" s="22">
        <f t="shared" si="37"/>
        <v>314</v>
      </c>
      <c r="L393" s="22">
        <f t="shared" si="38"/>
        <v>339</v>
      </c>
      <c r="M393" s="22">
        <f t="shared" si="39"/>
        <v>707</v>
      </c>
      <c r="N393" s="24">
        <f t="shared" si="40"/>
        <v>0.4794908062234795</v>
      </c>
      <c r="O393" s="24">
        <v>0.47949080622348</v>
      </c>
      <c r="P393" s="24">
        <f t="shared" si="41"/>
        <v>-4.9960036108132044E-16</v>
      </c>
      <c r="Q393" s="22"/>
    </row>
    <row r="394" spans="1:17" ht="15" customHeight="1" x14ac:dyDescent="0.25">
      <c r="A394" s="22" t="s">
        <v>330</v>
      </c>
      <c r="B394" s="22">
        <v>14</v>
      </c>
      <c r="C394" s="22" t="s">
        <v>468</v>
      </c>
      <c r="D394" s="22">
        <v>-15</v>
      </c>
      <c r="E394" s="22" t="s">
        <v>298</v>
      </c>
      <c r="F394" s="22" t="s">
        <v>183</v>
      </c>
      <c r="G394" s="23">
        <v>38101</v>
      </c>
      <c r="H394" s="22">
        <v>12</v>
      </c>
      <c r="I394" s="22">
        <v>65</v>
      </c>
      <c r="J394" s="22">
        <f t="shared" si="36"/>
        <v>665</v>
      </c>
      <c r="K394" s="22">
        <f t="shared" si="37"/>
        <v>379</v>
      </c>
      <c r="L394" s="22">
        <f t="shared" si="38"/>
        <v>286</v>
      </c>
      <c r="M394" s="22">
        <f t="shared" si="39"/>
        <v>707</v>
      </c>
      <c r="N394" s="24">
        <f t="shared" si="40"/>
        <v>0.4045261669024045</v>
      </c>
      <c r="O394" s="24">
        <v>0.404526166902405</v>
      </c>
      <c r="P394" s="24">
        <f t="shared" si="41"/>
        <v>-4.9960036108132044E-16</v>
      </c>
      <c r="Q394" s="22"/>
    </row>
    <row r="395" spans="1:17" ht="15" customHeight="1" x14ac:dyDescent="0.25">
      <c r="A395" s="22" t="s">
        <v>330</v>
      </c>
      <c r="B395" s="22">
        <v>15</v>
      </c>
      <c r="C395" s="22" t="s">
        <v>469</v>
      </c>
      <c r="D395" s="22">
        <v>0</v>
      </c>
      <c r="E395" s="22" t="s">
        <v>298</v>
      </c>
      <c r="F395" s="22" t="s">
        <v>183</v>
      </c>
      <c r="G395" s="23">
        <v>38101</v>
      </c>
      <c r="H395" s="22">
        <v>15</v>
      </c>
      <c r="I395" s="22">
        <v>63</v>
      </c>
      <c r="J395" s="22">
        <f t="shared" si="36"/>
        <v>680</v>
      </c>
      <c r="K395" s="22">
        <f t="shared" si="37"/>
        <v>442</v>
      </c>
      <c r="L395" s="22">
        <f t="shared" si="38"/>
        <v>238</v>
      </c>
      <c r="M395" s="22">
        <f t="shared" si="39"/>
        <v>707</v>
      </c>
      <c r="N395" s="24">
        <f t="shared" si="40"/>
        <v>0.33663366336633666</v>
      </c>
      <c r="O395" s="24">
        <v>0.33663366336633699</v>
      </c>
      <c r="P395" s="24">
        <f t="shared" si="41"/>
        <v>-3.3306690738754696E-16</v>
      </c>
      <c r="Q395" s="22"/>
    </row>
    <row r="396" spans="1:17" ht="15" customHeight="1" x14ac:dyDescent="0.25">
      <c r="A396" s="22" t="s">
        <v>330</v>
      </c>
      <c r="B396" s="22">
        <v>16</v>
      </c>
      <c r="C396" s="22" t="s">
        <v>351</v>
      </c>
      <c r="D396" s="22">
        <v>15</v>
      </c>
      <c r="E396" s="22" t="s">
        <v>298</v>
      </c>
      <c r="F396" s="22" t="s">
        <v>183</v>
      </c>
      <c r="G396" s="23">
        <v>38101</v>
      </c>
      <c r="H396" s="22">
        <v>11</v>
      </c>
      <c r="I396" s="22">
        <v>51</v>
      </c>
      <c r="J396" s="22">
        <f t="shared" si="36"/>
        <v>691</v>
      </c>
      <c r="K396" s="22">
        <f t="shared" si="37"/>
        <v>493</v>
      </c>
      <c r="L396" s="22">
        <f t="shared" si="38"/>
        <v>198</v>
      </c>
      <c r="M396" s="22">
        <f t="shared" si="39"/>
        <v>707</v>
      </c>
      <c r="N396" s="24">
        <f t="shared" si="40"/>
        <v>0.28005657708628007</v>
      </c>
      <c r="O396" s="24">
        <v>0.28005657708628001</v>
      </c>
      <c r="P396" s="24">
        <f t="shared" si="41"/>
        <v>5.5511151231257827E-17</v>
      </c>
      <c r="Q396" s="22"/>
    </row>
    <row r="397" spans="1:17" ht="15" customHeight="1" x14ac:dyDescent="0.25">
      <c r="A397" s="22" t="s">
        <v>330</v>
      </c>
      <c r="B397" s="22">
        <v>17</v>
      </c>
      <c r="C397" s="22" t="s">
        <v>311</v>
      </c>
      <c r="D397" s="22">
        <v>30</v>
      </c>
      <c r="E397" s="22" t="s">
        <v>298</v>
      </c>
      <c r="F397" s="22" t="s">
        <v>183</v>
      </c>
      <c r="G397" s="23">
        <v>38101</v>
      </c>
      <c r="H397" s="22">
        <v>10</v>
      </c>
      <c r="I397" s="22">
        <v>47</v>
      </c>
      <c r="J397" s="22">
        <f t="shared" si="36"/>
        <v>701</v>
      </c>
      <c r="K397" s="22">
        <f t="shared" si="37"/>
        <v>540</v>
      </c>
      <c r="L397" s="22">
        <f t="shared" si="38"/>
        <v>161</v>
      </c>
      <c r="M397" s="22">
        <f t="shared" si="39"/>
        <v>707</v>
      </c>
      <c r="N397" s="24">
        <f t="shared" si="40"/>
        <v>0.22772277227722773</v>
      </c>
      <c r="O397" s="24">
        <v>0.22772277227722801</v>
      </c>
      <c r="P397" s="24">
        <f t="shared" si="41"/>
        <v>-2.7755575615628914E-16</v>
      </c>
      <c r="Q397" s="22"/>
    </row>
    <row r="398" spans="1:17" ht="15" customHeight="1" x14ac:dyDescent="0.25">
      <c r="A398" s="22" t="s">
        <v>330</v>
      </c>
      <c r="B398" s="22">
        <v>18</v>
      </c>
      <c r="C398" s="22" t="s">
        <v>211</v>
      </c>
      <c r="D398" s="22">
        <v>45</v>
      </c>
      <c r="E398" s="22" t="s">
        <v>298</v>
      </c>
      <c r="F398" s="22" t="s">
        <v>183</v>
      </c>
      <c r="G398" s="23">
        <v>38101</v>
      </c>
      <c r="H398" s="22">
        <v>6</v>
      </c>
      <c r="I398" s="22">
        <v>22</v>
      </c>
      <c r="J398" s="22">
        <f t="shared" si="36"/>
        <v>707</v>
      </c>
      <c r="K398" s="22">
        <f t="shared" si="37"/>
        <v>562</v>
      </c>
      <c r="L398" s="22">
        <f t="shared" si="38"/>
        <v>145</v>
      </c>
      <c r="M398" s="22">
        <f t="shared" si="39"/>
        <v>707</v>
      </c>
      <c r="N398" s="24">
        <f t="shared" si="40"/>
        <v>0.2050919377652051</v>
      </c>
      <c r="O398" s="24">
        <v>0.20509193776520501</v>
      </c>
      <c r="P398" s="24">
        <f t="shared" si="41"/>
        <v>8.3266726846886741E-17</v>
      </c>
      <c r="Q398" s="22"/>
    </row>
    <row r="399" spans="1:17" ht="15" customHeight="1" x14ac:dyDescent="0.25">
      <c r="A399" s="22" t="s">
        <v>337</v>
      </c>
      <c r="B399" s="22">
        <v>2</v>
      </c>
      <c r="C399" s="22" t="s">
        <v>325</v>
      </c>
      <c r="D399" s="22">
        <v>-195</v>
      </c>
      <c r="E399" s="22" t="s">
        <v>298</v>
      </c>
      <c r="F399" s="22" t="s">
        <v>205</v>
      </c>
      <c r="G399" s="23">
        <v>39025</v>
      </c>
      <c r="H399" s="22">
        <v>11</v>
      </c>
      <c r="I399" s="22">
        <v>0</v>
      </c>
      <c r="J399" s="22">
        <f t="shared" si="36"/>
        <v>11</v>
      </c>
      <c r="K399" s="22">
        <f t="shared" si="37"/>
        <v>0</v>
      </c>
      <c r="L399" s="22">
        <f t="shared" si="38"/>
        <v>11</v>
      </c>
      <c r="M399" s="22">
        <f t="shared" si="39"/>
        <v>259</v>
      </c>
      <c r="N399" s="24">
        <f t="shared" si="40"/>
        <v>4.2471042471042469E-2</v>
      </c>
      <c r="O399" s="24"/>
      <c r="P399" s="24" t="str">
        <f t="shared" si="41"/>
        <v/>
      </c>
      <c r="Q399" s="22"/>
    </row>
    <row r="400" spans="1:17" ht="15" customHeight="1" x14ac:dyDescent="0.25">
      <c r="A400" s="22" t="s">
        <v>337</v>
      </c>
      <c r="B400" s="22">
        <v>3</v>
      </c>
      <c r="C400" s="22" t="s">
        <v>464</v>
      </c>
      <c r="D400" s="22">
        <v>-180</v>
      </c>
      <c r="E400" s="22" t="s">
        <v>298</v>
      </c>
      <c r="F400" s="22" t="s">
        <v>205</v>
      </c>
      <c r="G400" s="23">
        <v>39025</v>
      </c>
      <c r="H400" s="22">
        <v>15</v>
      </c>
      <c r="I400" s="22">
        <v>3</v>
      </c>
      <c r="J400" s="22">
        <f t="shared" si="36"/>
        <v>26</v>
      </c>
      <c r="K400" s="22">
        <f t="shared" si="37"/>
        <v>3</v>
      </c>
      <c r="L400" s="22">
        <f t="shared" si="38"/>
        <v>23</v>
      </c>
      <c r="M400" s="22">
        <f t="shared" si="39"/>
        <v>259</v>
      </c>
      <c r="N400" s="24">
        <f t="shared" si="40"/>
        <v>8.8803088803088806E-2</v>
      </c>
      <c r="O400" s="24"/>
      <c r="P400" s="24" t="str">
        <f t="shared" si="41"/>
        <v/>
      </c>
      <c r="Q400" s="22"/>
    </row>
    <row r="401" spans="1:17" ht="15" customHeight="1" x14ac:dyDescent="0.25">
      <c r="A401" s="22" t="s">
        <v>337</v>
      </c>
      <c r="B401" s="22">
        <v>4</v>
      </c>
      <c r="C401" s="22" t="s">
        <v>465</v>
      </c>
      <c r="D401" s="22">
        <v>-165</v>
      </c>
      <c r="E401" s="22" t="s">
        <v>298</v>
      </c>
      <c r="F401" s="22" t="s">
        <v>205</v>
      </c>
      <c r="G401" s="23">
        <v>39025</v>
      </c>
      <c r="H401" s="22">
        <v>20</v>
      </c>
      <c r="I401" s="22">
        <v>1</v>
      </c>
      <c r="J401" s="22">
        <f t="shared" si="36"/>
        <v>46</v>
      </c>
      <c r="K401" s="22">
        <f t="shared" si="37"/>
        <v>4</v>
      </c>
      <c r="L401" s="22">
        <f t="shared" si="38"/>
        <v>42</v>
      </c>
      <c r="M401" s="22">
        <f t="shared" si="39"/>
        <v>259</v>
      </c>
      <c r="N401" s="24">
        <f t="shared" si="40"/>
        <v>0.16216216216216217</v>
      </c>
      <c r="O401" s="24"/>
      <c r="P401" s="24" t="str">
        <f t="shared" si="41"/>
        <v/>
      </c>
      <c r="Q401" s="22"/>
    </row>
    <row r="402" spans="1:17" ht="15" customHeight="1" x14ac:dyDescent="0.25">
      <c r="A402" s="22" t="s">
        <v>337</v>
      </c>
      <c r="B402" s="22">
        <v>5</v>
      </c>
      <c r="C402" s="22" t="s">
        <v>466</v>
      </c>
      <c r="D402" s="22">
        <v>-150</v>
      </c>
      <c r="E402" s="22" t="s">
        <v>298</v>
      </c>
      <c r="F402" s="22" t="s">
        <v>205</v>
      </c>
      <c r="G402" s="23">
        <v>39025</v>
      </c>
      <c r="H402" s="22">
        <v>26</v>
      </c>
      <c r="I402" s="22">
        <v>0</v>
      </c>
      <c r="J402" s="22">
        <f t="shared" si="36"/>
        <v>72</v>
      </c>
      <c r="K402" s="22">
        <f t="shared" si="37"/>
        <v>4</v>
      </c>
      <c r="L402" s="22">
        <f t="shared" si="38"/>
        <v>68</v>
      </c>
      <c r="M402" s="22">
        <f t="shared" si="39"/>
        <v>259</v>
      </c>
      <c r="N402" s="24">
        <f t="shared" si="40"/>
        <v>0.26254826254826252</v>
      </c>
      <c r="O402" s="24"/>
      <c r="P402" s="24" t="str">
        <f t="shared" si="41"/>
        <v/>
      </c>
      <c r="Q402" s="22"/>
    </row>
    <row r="403" spans="1:17" ht="15" customHeight="1" x14ac:dyDescent="0.25">
      <c r="A403" s="22" t="s">
        <v>337</v>
      </c>
      <c r="B403" s="22">
        <v>6</v>
      </c>
      <c r="C403" s="22" t="s">
        <v>467</v>
      </c>
      <c r="D403" s="22">
        <v>-135</v>
      </c>
      <c r="E403" s="22" t="s">
        <v>298</v>
      </c>
      <c r="F403" s="22" t="s">
        <v>205</v>
      </c>
      <c r="G403" s="23">
        <v>39025</v>
      </c>
      <c r="H403" s="22">
        <v>27</v>
      </c>
      <c r="I403" s="22">
        <v>2</v>
      </c>
      <c r="J403" s="22">
        <f t="shared" si="36"/>
        <v>99</v>
      </c>
      <c r="K403" s="22">
        <f t="shared" si="37"/>
        <v>6</v>
      </c>
      <c r="L403" s="22">
        <f t="shared" si="38"/>
        <v>93</v>
      </c>
      <c r="M403" s="22">
        <f t="shared" si="39"/>
        <v>259</v>
      </c>
      <c r="N403" s="24">
        <f t="shared" si="40"/>
        <v>0.35907335907335908</v>
      </c>
      <c r="O403" s="24"/>
      <c r="P403" s="24" t="str">
        <f t="shared" si="41"/>
        <v/>
      </c>
      <c r="Q403" s="22"/>
    </row>
    <row r="404" spans="1:17" ht="15" customHeight="1" x14ac:dyDescent="0.25">
      <c r="A404" s="22" t="s">
        <v>337</v>
      </c>
      <c r="B404" s="22">
        <v>7</v>
      </c>
      <c r="C404" s="22" t="s">
        <v>212</v>
      </c>
      <c r="D404" s="22">
        <v>-120</v>
      </c>
      <c r="E404" s="22" t="s">
        <v>298</v>
      </c>
      <c r="F404" s="22" t="s">
        <v>205</v>
      </c>
      <c r="G404" s="23">
        <v>39025</v>
      </c>
      <c r="H404" s="22">
        <v>38</v>
      </c>
      <c r="I404" s="22">
        <v>0</v>
      </c>
      <c r="J404" s="22">
        <f t="shared" si="36"/>
        <v>137</v>
      </c>
      <c r="K404" s="22">
        <f t="shared" si="37"/>
        <v>6</v>
      </c>
      <c r="L404" s="22">
        <f t="shared" si="38"/>
        <v>131</v>
      </c>
      <c r="M404" s="22">
        <f t="shared" si="39"/>
        <v>259</v>
      </c>
      <c r="N404" s="24">
        <f t="shared" si="40"/>
        <v>0.50579150579150578</v>
      </c>
      <c r="O404" s="24"/>
      <c r="P404" s="24" t="str">
        <f t="shared" si="41"/>
        <v/>
      </c>
      <c r="Q404" s="22"/>
    </row>
    <row r="405" spans="1:17" ht="15" customHeight="1" x14ac:dyDescent="0.25">
      <c r="A405" s="22" t="s">
        <v>337</v>
      </c>
      <c r="B405" s="22">
        <v>8</v>
      </c>
      <c r="C405" s="22" t="s">
        <v>226</v>
      </c>
      <c r="D405" s="22">
        <v>-105</v>
      </c>
      <c r="E405" s="22" t="s">
        <v>298</v>
      </c>
      <c r="F405" s="22" t="s">
        <v>205</v>
      </c>
      <c r="G405" s="23">
        <v>39025</v>
      </c>
      <c r="H405" s="22">
        <v>33</v>
      </c>
      <c r="I405" s="22">
        <v>2</v>
      </c>
      <c r="J405" s="22">
        <f t="shared" si="36"/>
        <v>170</v>
      </c>
      <c r="K405" s="22">
        <f t="shared" si="37"/>
        <v>8</v>
      </c>
      <c r="L405" s="22">
        <f t="shared" si="38"/>
        <v>162</v>
      </c>
      <c r="M405" s="22">
        <f t="shared" si="39"/>
        <v>259</v>
      </c>
      <c r="N405" s="24">
        <f t="shared" si="40"/>
        <v>0.62548262548262545</v>
      </c>
      <c r="O405" s="24"/>
      <c r="P405" s="24" t="str">
        <f t="shared" si="41"/>
        <v/>
      </c>
      <c r="Q405" s="22"/>
    </row>
    <row r="406" spans="1:17" ht="15" customHeight="1" x14ac:dyDescent="0.25">
      <c r="A406" s="22" t="s">
        <v>337</v>
      </c>
      <c r="B406" s="22">
        <v>9</v>
      </c>
      <c r="C406" s="22" t="s">
        <v>264</v>
      </c>
      <c r="D406" s="22">
        <v>-90</v>
      </c>
      <c r="E406" s="22" t="s">
        <v>298</v>
      </c>
      <c r="F406" s="22" t="s">
        <v>205</v>
      </c>
      <c r="G406" s="23">
        <v>39025</v>
      </c>
      <c r="H406" s="22">
        <v>29</v>
      </c>
      <c r="I406" s="22">
        <v>10</v>
      </c>
      <c r="J406" s="22">
        <f t="shared" si="36"/>
        <v>199</v>
      </c>
      <c r="K406" s="22">
        <f t="shared" si="37"/>
        <v>18</v>
      </c>
      <c r="L406" s="22">
        <f t="shared" si="38"/>
        <v>181</v>
      </c>
      <c r="M406" s="22">
        <f t="shared" si="39"/>
        <v>259</v>
      </c>
      <c r="N406" s="24">
        <f t="shared" si="40"/>
        <v>0.69884169884169889</v>
      </c>
      <c r="O406" s="24"/>
      <c r="P406" s="24" t="str">
        <f t="shared" si="41"/>
        <v/>
      </c>
      <c r="Q406" s="22"/>
    </row>
    <row r="407" spans="1:17" ht="15" customHeight="1" x14ac:dyDescent="0.25">
      <c r="A407" s="22" t="s">
        <v>337</v>
      </c>
      <c r="B407" s="22">
        <v>10</v>
      </c>
      <c r="C407" s="22" t="s">
        <v>191</v>
      </c>
      <c r="D407" s="22">
        <v>-75</v>
      </c>
      <c r="E407" s="22" t="s">
        <v>298</v>
      </c>
      <c r="F407" s="22" t="s">
        <v>205</v>
      </c>
      <c r="G407" s="23">
        <v>39025</v>
      </c>
      <c r="H407" s="22">
        <v>11</v>
      </c>
      <c r="I407" s="22">
        <v>7</v>
      </c>
      <c r="J407" s="22">
        <f t="shared" si="36"/>
        <v>210</v>
      </c>
      <c r="K407" s="22">
        <f t="shared" si="37"/>
        <v>25</v>
      </c>
      <c r="L407" s="22">
        <f t="shared" si="38"/>
        <v>185</v>
      </c>
      <c r="M407" s="22">
        <f t="shared" si="39"/>
        <v>259</v>
      </c>
      <c r="N407" s="24">
        <f t="shared" si="40"/>
        <v>0.7142857142857143</v>
      </c>
      <c r="O407" s="24"/>
      <c r="P407" s="24" t="str">
        <f t="shared" si="41"/>
        <v/>
      </c>
      <c r="Q407" s="22"/>
    </row>
    <row r="408" spans="1:17" ht="15" customHeight="1" x14ac:dyDescent="0.25">
      <c r="A408" s="22" t="s">
        <v>337</v>
      </c>
      <c r="B408" s="22">
        <v>11</v>
      </c>
      <c r="C408" s="22" t="s">
        <v>231</v>
      </c>
      <c r="D408" s="22">
        <v>-60</v>
      </c>
      <c r="E408" s="22" t="s">
        <v>298</v>
      </c>
      <c r="F408" s="22" t="s">
        <v>205</v>
      </c>
      <c r="G408" s="23">
        <v>39025</v>
      </c>
      <c r="H408" s="22">
        <v>17</v>
      </c>
      <c r="I408" s="22">
        <v>34</v>
      </c>
      <c r="J408" s="22">
        <f t="shared" si="36"/>
        <v>227</v>
      </c>
      <c r="K408" s="22">
        <f t="shared" si="37"/>
        <v>59</v>
      </c>
      <c r="L408" s="22">
        <f t="shared" si="38"/>
        <v>168</v>
      </c>
      <c r="M408" s="22">
        <f t="shared" si="39"/>
        <v>259</v>
      </c>
      <c r="N408" s="24">
        <f t="shared" si="40"/>
        <v>0.64864864864864868</v>
      </c>
      <c r="O408" s="24"/>
      <c r="P408" s="24" t="str">
        <f t="shared" si="41"/>
        <v/>
      </c>
      <c r="Q408" s="22"/>
    </row>
    <row r="409" spans="1:17" ht="15" customHeight="1" x14ac:dyDescent="0.25">
      <c r="A409" s="22" t="s">
        <v>337</v>
      </c>
      <c r="B409" s="22">
        <v>12</v>
      </c>
      <c r="C409" s="22" t="s">
        <v>239</v>
      </c>
      <c r="D409" s="22">
        <v>-45</v>
      </c>
      <c r="E409" s="22" t="s">
        <v>298</v>
      </c>
      <c r="F409" s="22" t="s">
        <v>205</v>
      </c>
      <c r="G409" s="23">
        <v>39025</v>
      </c>
      <c r="H409" s="22">
        <v>10</v>
      </c>
      <c r="I409" s="22">
        <v>41</v>
      </c>
      <c r="J409" s="22">
        <f t="shared" si="36"/>
        <v>237</v>
      </c>
      <c r="K409" s="22">
        <f t="shared" si="37"/>
        <v>100</v>
      </c>
      <c r="L409" s="22">
        <f t="shared" si="38"/>
        <v>137</v>
      </c>
      <c r="M409" s="22">
        <f t="shared" si="39"/>
        <v>259</v>
      </c>
      <c r="N409" s="24">
        <f t="shared" si="40"/>
        <v>0.52895752895752901</v>
      </c>
      <c r="O409" s="24"/>
      <c r="P409" s="24" t="str">
        <f t="shared" si="41"/>
        <v/>
      </c>
      <c r="Q409" s="22"/>
    </row>
    <row r="410" spans="1:17" ht="15" customHeight="1" x14ac:dyDescent="0.25">
      <c r="A410" s="22" t="s">
        <v>337</v>
      </c>
      <c r="B410" s="22">
        <v>13</v>
      </c>
      <c r="C410" s="22" t="s">
        <v>387</v>
      </c>
      <c r="D410" s="22">
        <v>-30</v>
      </c>
      <c r="E410" s="22" t="s">
        <v>298</v>
      </c>
      <c r="F410" s="22" t="s">
        <v>205</v>
      </c>
      <c r="G410" s="23">
        <v>39025</v>
      </c>
      <c r="H410" s="22">
        <v>5</v>
      </c>
      <c r="I410" s="22">
        <v>46</v>
      </c>
      <c r="J410" s="22">
        <f t="shared" si="36"/>
        <v>242</v>
      </c>
      <c r="K410" s="22">
        <f t="shared" si="37"/>
        <v>146</v>
      </c>
      <c r="L410" s="22">
        <f t="shared" si="38"/>
        <v>96</v>
      </c>
      <c r="M410" s="22">
        <f t="shared" si="39"/>
        <v>259</v>
      </c>
      <c r="N410" s="24">
        <f t="shared" si="40"/>
        <v>0.37065637065637064</v>
      </c>
      <c r="O410" s="24"/>
      <c r="P410" s="24" t="str">
        <f t="shared" si="41"/>
        <v/>
      </c>
      <c r="Q410" s="22"/>
    </row>
    <row r="411" spans="1:17" ht="15" customHeight="1" x14ac:dyDescent="0.25">
      <c r="A411" s="22" t="s">
        <v>337</v>
      </c>
      <c r="B411" s="22">
        <v>14</v>
      </c>
      <c r="C411" s="22" t="s">
        <v>468</v>
      </c>
      <c r="D411" s="22">
        <v>-15</v>
      </c>
      <c r="E411" s="22" t="s">
        <v>298</v>
      </c>
      <c r="F411" s="22" t="s">
        <v>205</v>
      </c>
      <c r="G411" s="23">
        <v>39025</v>
      </c>
      <c r="H411" s="22">
        <v>10</v>
      </c>
      <c r="I411" s="22">
        <v>33</v>
      </c>
      <c r="J411" s="22">
        <f t="shared" si="36"/>
        <v>252</v>
      </c>
      <c r="K411" s="22">
        <f t="shared" si="37"/>
        <v>179</v>
      </c>
      <c r="L411" s="22">
        <f t="shared" si="38"/>
        <v>73</v>
      </c>
      <c r="M411" s="22">
        <f t="shared" si="39"/>
        <v>259</v>
      </c>
      <c r="N411" s="24">
        <f t="shared" si="40"/>
        <v>0.28185328185328185</v>
      </c>
      <c r="O411" s="24"/>
      <c r="P411" s="24" t="str">
        <f t="shared" si="41"/>
        <v/>
      </c>
      <c r="Q411" s="22"/>
    </row>
    <row r="412" spans="1:17" ht="15" customHeight="1" x14ac:dyDescent="0.25">
      <c r="A412" s="22" t="s">
        <v>337</v>
      </c>
      <c r="B412" s="22">
        <v>15</v>
      </c>
      <c r="C412" s="22" t="s">
        <v>469</v>
      </c>
      <c r="D412" s="22">
        <v>0</v>
      </c>
      <c r="E412" s="22" t="s">
        <v>298</v>
      </c>
      <c r="F412" s="22" t="s">
        <v>205</v>
      </c>
      <c r="G412" s="23">
        <v>39025</v>
      </c>
      <c r="H412" s="22">
        <v>3</v>
      </c>
      <c r="I412" s="22">
        <v>26</v>
      </c>
      <c r="J412" s="22">
        <f t="shared" si="36"/>
        <v>255</v>
      </c>
      <c r="K412" s="22">
        <f t="shared" si="37"/>
        <v>205</v>
      </c>
      <c r="L412" s="22">
        <f t="shared" si="38"/>
        <v>50</v>
      </c>
      <c r="M412" s="22">
        <f t="shared" si="39"/>
        <v>259</v>
      </c>
      <c r="N412" s="24">
        <f t="shared" si="40"/>
        <v>0.19305019305019305</v>
      </c>
      <c r="O412" s="24"/>
      <c r="P412" s="24" t="str">
        <f t="shared" si="41"/>
        <v/>
      </c>
      <c r="Q412" s="22"/>
    </row>
    <row r="413" spans="1:17" ht="15" customHeight="1" x14ac:dyDescent="0.25">
      <c r="A413" s="22" t="s">
        <v>337</v>
      </c>
      <c r="B413" s="22">
        <v>16</v>
      </c>
      <c r="C413" s="22" t="s">
        <v>351</v>
      </c>
      <c r="D413" s="22">
        <v>15</v>
      </c>
      <c r="E413" s="22" t="s">
        <v>298</v>
      </c>
      <c r="F413" s="22" t="s">
        <v>205</v>
      </c>
      <c r="G413" s="23">
        <v>39025</v>
      </c>
      <c r="H413" s="22">
        <v>2</v>
      </c>
      <c r="I413" s="22">
        <v>16</v>
      </c>
      <c r="J413" s="22">
        <f t="shared" si="36"/>
        <v>257</v>
      </c>
      <c r="K413" s="22">
        <f t="shared" si="37"/>
        <v>221</v>
      </c>
      <c r="L413" s="22">
        <f t="shared" si="38"/>
        <v>36</v>
      </c>
      <c r="M413" s="22">
        <f t="shared" si="39"/>
        <v>259</v>
      </c>
      <c r="N413" s="24">
        <f t="shared" si="40"/>
        <v>0.138996138996139</v>
      </c>
      <c r="O413" s="24"/>
      <c r="P413" s="24" t="str">
        <f t="shared" si="41"/>
        <v/>
      </c>
      <c r="Q413" s="22"/>
    </row>
    <row r="414" spans="1:17" ht="15" customHeight="1" x14ac:dyDescent="0.25">
      <c r="A414" s="22" t="s">
        <v>337</v>
      </c>
      <c r="B414" s="22">
        <v>17</v>
      </c>
      <c r="C414" s="22" t="s">
        <v>311</v>
      </c>
      <c r="D414" s="22">
        <v>30</v>
      </c>
      <c r="E414" s="22" t="s">
        <v>298</v>
      </c>
      <c r="F414" s="22" t="s">
        <v>205</v>
      </c>
      <c r="G414" s="23">
        <v>39025</v>
      </c>
      <c r="H414" s="22">
        <v>2</v>
      </c>
      <c r="I414" s="22">
        <v>14</v>
      </c>
      <c r="J414" s="22">
        <f t="shared" si="36"/>
        <v>259</v>
      </c>
      <c r="K414" s="22">
        <f t="shared" si="37"/>
        <v>235</v>
      </c>
      <c r="L414" s="22">
        <f t="shared" si="38"/>
        <v>24</v>
      </c>
      <c r="M414" s="22">
        <f t="shared" si="39"/>
        <v>259</v>
      </c>
      <c r="N414" s="24">
        <f t="shared" si="40"/>
        <v>9.2664092664092659E-2</v>
      </c>
      <c r="O414" s="24"/>
      <c r="P414" s="24" t="str">
        <f t="shared" si="41"/>
        <v/>
      </c>
      <c r="Q414" s="22"/>
    </row>
    <row r="415" spans="1:17" ht="15" customHeight="1" x14ac:dyDescent="0.25">
      <c r="A415" s="22" t="s">
        <v>337</v>
      </c>
      <c r="B415" s="22">
        <v>18</v>
      </c>
      <c r="C415" s="22" t="s">
        <v>211</v>
      </c>
      <c r="D415" s="22">
        <v>45</v>
      </c>
      <c r="E415" s="22" t="s">
        <v>298</v>
      </c>
      <c r="F415" s="22" t="s">
        <v>205</v>
      </c>
      <c r="G415" s="23">
        <v>39025</v>
      </c>
      <c r="H415" s="22">
        <v>0</v>
      </c>
      <c r="I415" s="22">
        <v>16</v>
      </c>
      <c r="J415" s="22">
        <f t="shared" si="36"/>
        <v>259</v>
      </c>
      <c r="K415" s="22">
        <f t="shared" si="37"/>
        <v>251</v>
      </c>
      <c r="L415" s="22">
        <f t="shared" si="38"/>
        <v>8</v>
      </c>
      <c r="M415" s="22">
        <f t="shared" si="39"/>
        <v>259</v>
      </c>
      <c r="N415" s="24">
        <f t="shared" si="40"/>
        <v>3.0888030888030889E-2</v>
      </c>
      <c r="O415" s="24"/>
      <c r="P415" s="24" t="str">
        <f t="shared" si="41"/>
        <v/>
      </c>
      <c r="Q415" s="22"/>
    </row>
    <row r="416" spans="1:17" ht="15" customHeight="1" x14ac:dyDescent="0.25">
      <c r="A416" s="22" t="s">
        <v>344</v>
      </c>
      <c r="B416" s="22">
        <v>0</v>
      </c>
      <c r="C416" s="22" t="s">
        <v>189</v>
      </c>
      <c r="D416" s="22"/>
      <c r="E416" s="22" t="s">
        <v>298</v>
      </c>
      <c r="F416" s="22" t="s">
        <v>205</v>
      </c>
      <c r="G416" s="23">
        <v>39025</v>
      </c>
      <c r="H416" s="22">
        <v>11</v>
      </c>
      <c r="I416" s="22">
        <v>0</v>
      </c>
      <c r="J416" s="22">
        <f t="shared" si="36"/>
        <v>11</v>
      </c>
      <c r="K416" s="22">
        <f t="shared" si="37"/>
        <v>0</v>
      </c>
      <c r="L416" s="22">
        <f t="shared" si="38"/>
        <v>11</v>
      </c>
      <c r="M416" s="22">
        <f t="shared" si="39"/>
        <v>259</v>
      </c>
      <c r="N416" s="24">
        <f t="shared" si="40"/>
        <v>4.2471042471042469E-2</v>
      </c>
      <c r="O416" s="24">
        <v>4.2471042471042497E-2</v>
      </c>
      <c r="P416" s="24">
        <f t="shared" si="41"/>
        <v>-2.7755575615628914E-17</v>
      </c>
      <c r="Q416" s="25" t="s">
        <v>470</v>
      </c>
    </row>
    <row r="417" spans="1:17" ht="15" customHeight="1" x14ac:dyDescent="0.25">
      <c r="A417" s="22" t="s">
        <v>344</v>
      </c>
      <c r="B417" s="22">
        <v>3</v>
      </c>
      <c r="C417" s="22" t="s">
        <v>464</v>
      </c>
      <c r="D417" s="22">
        <v>-180</v>
      </c>
      <c r="E417" s="22" t="s">
        <v>298</v>
      </c>
      <c r="F417" s="22" t="s">
        <v>205</v>
      </c>
      <c r="G417" s="23">
        <v>39025</v>
      </c>
      <c r="H417" s="22">
        <v>15</v>
      </c>
      <c r="I417" s="22">
        <v>3</v>
      </c>
      <c r="J417" s="22">
        <f t="shared" si="36"/>
        <v>26</v>
      </c>
      <c r="K417" s="22">
        <f t="shared" si="37"/>
        <v>3</v>
      </c>
      <c r="L417" s="22">
        <f t="shared" si="38"/>
        <v>23</v>
      </c>
      <c r="M417" s="22">
        <f t="shared" si="39"/>
        <v>259</v>
      </c>
      <c r="N417" s="24">
        <f t="shared" si="40"/>
        <v>8.8803088803088806E-2</v>
      </c>
      <c r="O417" s="24">
        <v>8.8803088803088806E-2</v>
      </c>
      <c r="P417" s="24">
        <f t="shared" si="41"/>
        <v>0</v>
      </c>
      <c r="Q417" s="22"/>
    </row>
    <row r="418" spans="1:17" ht="15" customHeight="1" x14ac:dyDescent="0.25">
      <c r="A418" s="22" t="s">
        <v>344</v>
      </c>
      <c r="B418" s="22">
        <v>4</v>
      </c>
      <c r="C418" s="22" t="s">
        <v>465</v>
      </c>
      <c r="D418" s="22">
        <v>-165</v>
      </c>
      <c r="E418" s="22" t="s">
        <v>298</v>
      </c>
      <c r="F418" s="22" t="s">
        <v>205</v>
      </c>
      <c r="G418" s="23">
        <v>39025</v>
      </c>
      <c r="H418" s="22">
        <v>20</v>
      </c>
      <c r="I418" s="22">
        <v>1</v>
      </c>
      <c r="J418" s="22">
        <f t="shared" si="36"/>
        <v>46</v>
      </c>
      <c r="K418" s="22">
        <f t="shared" si="37"/>
        <v>4</v>
      </c>
      <c r="L418" s="22">
        <f t="shared" si="38"/>
        <v>42</v>
      </c>
      <c r="M418" s="22">
        <f t="shared" si="39"/>
        <v>259</v>
      </c>
      <c r="N418" s="24">
        <f t="shared" si="40"/>
        <v>0.16216216216216217</v>
      </c>
      <c r="O418" s="24">
        <v>0.162162162162162</v>
      </c>
      <c r="P418" s="24">
        <f t="shared" si="41"/>
        <v>1.6653345369377348E-16</v>
      </c>
      <c r="Q418" s="22"/>
    </row>
    <row r="419" spans="1:17" ht="15" customHeight="1" x14ac:dyDescent="0.25">
      <c r="A419" s="22" t="s">
        <v>344</v>
      </c>
      <c r="B419" s="22">
        <v>5</v>
      </c>
      <c r="C419" s="22" t="s">
        <v>466</v>
      </c>
      <c r="D419" s="22">
        <v>-150</v>
      </c>
      <c r="E419" s="22" t="s">
        <v>298</v>
      </c>
      <c r="F419" s="22" t="s">
        <v>205</v>
      </c>
      <c r="G419" s="23">
        <v>39025</v>
      </c>
      <c r="H419" s="22">
        <v>26</v>
      </c>
      <c r="I419" s="22">
        <v>0</v>
      </c>
      <c r="J419" s="22">
        <f t="shared" si="36"/>
        <v>72</v>
      </c>
      <c r="K419" s="22">
        <f t="shared" si="37"/>
        <v>4</v>
      </c>
      <c r="L419" s="22">
        <f t="shared" si="38"/>
        <v>68</v>
      </c>
      <c r="M419" s="22">
        <f t="shared" si="39"/>
        <v>259</v>
      </c>
      <c r="N419" s="24">
        <f t="shared" si="40"/>
        <v>0.26254826254826252</v>
      </c>
      <c r="O419" s="24">
        <v>0.26254826254826302</v>
      </c>
      <c r="P419" s="24">
        <f t="shared" si="41"/>
        <v>-4.9960036108132044E-16</v>
      </c>
      <c r="Q419" s="22"/>
    </row>
    <row r="420" spans="1:17" ht="15" customHeight="1" x14ac:dyDescent="0.25">
      <c r="A420" s="22" t="s">
        <v>344</v>
      </c>
      <c r="B420" s="22">
        <v>6</v>
      </c>
      <c r="C420" s="22" t="s">
        <v>467</v>
      </c>
      <c r="D420" s="22">
        <v>-135</v>
      </c>
      <c r="E420" s="22" t="s">
        <v>298</v>
      </c>
      <c r="F420" s="22" t="s">
        <v>205</v>
      </c>
      <c r="G420" s="23">
        <v>39025</v>
      </c>
      <c r="H420" s="22">
        <v>27</v>
      </c>
      <c r="I420" s="22">
        <v>2</v>
      </c>
      <c r="J420" s="22">
        <f t="shared" si="36"/>
        <v>99</v>
      </c>
      <c r="K420" s="22">
        <f t="shared" si="37"/>
        <v>6</v>
      </c>
      <c r="L420" s="22">
        <f t="shared" si="38"/>
        <v>93</v>
      </c>
      <c r="M420" s="22">
        <f t="shared" si="39"/>
        <v>259</v>
      </c>
      <c r="N420" s="24">
        <f t="shared" si="40"/>
        <v>0.35907335907335908</v>
      </c>
      <c r="O420" s="24">
        <v>0.35907335907335902</v>
      </c>
      <c r="P420" s="24">
        <f t="shared" si="41"/>
        <v>5.5511151231257827E-17</v>
      </c>
      <c r="Q420" s="22"/>
    </row>
    <row r="421" spans="1:17" ht="15" customHeight="1" x14ac:dyDescent="0.25">
      <c r="A421" s="22" t="s">
        <v>344</v>
      </c>
      <c r="B421" s="22">
        <v>7</v>
      </c>
      <c r="C421" s="22" t="s">
        <v>212</v>
      </c>
      <c r="D421" s="22">
        <v>-120</v>
      </c>
      <c r="E421" s="22" t="s">
        <v>298</v>
      </c>
      <c r="F421" s="22" t="s">
        <v>205</v>
      </c>
      <c r="G421" s="23">
        <v>39025</v>
      </c>
      <c r="H421" s="22">
        <v>38</v>
      </c>
      <c r="I421" s="22">
        <v>0</v>
      </c>
      <c r="J421" s="22">
        <f t="shared" si="36"/>
        <v>137</v>
      </c>
      <c r="K421" s="22">
        <f t="shared" si="37"/>
        <v>6</v>
      </c>
      <c r="L421" s="22">
        <f t="shared" si="38"/>
        <v>131</v>
      </c>
      <c r="M421" s="22">
        <f t="shared" si="39"/>
        <v>259</v>
      </c>
      <c r="N421" s="24">
        <f t="shared" si="40"/>
        <v>0.50579150579150578</v>
      </c>
      <c r="O421" s="24">
        <v>0.505791505791506</v>
      </c>
      <c r="P421" s="24">
        <f t="shared" si="41"/>
        <v>-2.2204460492503131E-16</v>
      </c>
      <c r="Q421" s="22"/>
    </row>
    <row r="422" spans="1:17" ht="15" customHeight="1" x14ac:dyDescent="0.25">
      <c r="A422" s="22" t="s">
        <v>344</v>
      </c>
      <c r="B422" s="22">
        <v>8</v>
      </c>
      <c r="C422" s="22" t="s">
        <v>226</v>
      </c>
      <c r="D422" s="22">
        <v>-105</v>
      </c>
      <c r="E422" s="22" t="s">
        <v>298</v>
      </c>
      <c r="F422" s="22" t="s">
        <v>205</v>
      </c>
      <c r="G422" s="23">
        <v>39025</v>
      </c>
      <c r="H422" s="22">
        <v>33</v>
      </c>
      <c r="I422" s="22">
        <v>2</v>
      </c>
      <c r="J422" s="22">
        <f t="shared" si="36"/>
        <v>170</v>
      </c>
      <c r="K422" s="22">
        <f t="shared" si="37"/>
        <v>8</v>
      </c>
      <c r="L422" s="22">
        <f t="shared" si="38"/>
        <v>162</v>
      </c>
      <c r="M422" s="22">
        <f t="shared" si="39"/>
        <v>259</v>
      </c>
      <c r="N422" s="24">
        <f t="shared" si="40"/>
        <v>0.62548262548262545</v>
      </c>
      <c r="O422" s="24">
        <v>0.62548262548262601</v>
      </c>
      <c r="P422" s="24">
        <f t="shared" si="41"/>
        <v>-5.5511151231257827E-16</v>
      </c>
      <c r="Q422" s="22"/>
    </row>
    <row r="423" spans="1:17" ht="15" customHeight="1" x14ac:dyDescent="0.25">
      <c r="A423" s="22" t="s">
        <v>344</v>
      </c>
      <c r="B423" s="22">
        <v>9</v>
      </c>
      <c r="C423" s="22" t="s">
        <v>264</v>
      </c>
      <c r="D423" s="22">
        <v>-90</v>
      </c>
      <c r="E423" s="22" t="s">
        <v>298</v>
      </c>
      <c r="F423" s="22" t="s">
        <v>205</v>
      </c>
      <c r="G423" s="23">
        <v>39025</v>
      </c>
      <c r="H423" s="22">
        <v>29</v>
      </c>
      <c r="I423" s="22">
        <v>10</v>
      </c>
      <c r="J423" s="22">
        <f t="shared" si="36"/>
        <v>199</v>
      </c>
      <c r="K423" s="22">
        <f t="shared" si="37"/>
        <v>18</v>
      </c>
      <c r="L423" s="22">
        <f t="shared" si="38"/>
        <v>181</v>
      </c>
      <c r="M423" s="22">
        <f t="shared" si="39"/>
        <v>259</v>
      </c>
      <c r="N423" s="24">
        <f t="shared" si="40"/>
        <v>0.69884169884169889</v>
      </c>
      <c r="O423" s="24">
        <v>0.698841698841699</v>
      </c>
      <c r="P423" s="24">
        <f t="shared" si="41"/>
        <v>-1.1102230246251565E-16</v>
      </c>
      <c r="Q423" s="22"/>
    </row>
    <row r="424" spans="1:17" ht="15" customHeight="1" x14ac:dyDescent="0.25">
      <c r="A424" s="22" t="s">
        <v>344</v>
      </c>
      <c r="B424" s="22">
        <v>10</v>
      </c>
      <c r="C424" s="22" t="s">
        <v>191</v>
      </c>
      <c r="D424" s="22">
        <v>-75</v>
      </c>
      <c r="E424" s="22" t="s">
        <v>298</v>
      </c>
      <c r="F424" s="22" t="s">
        <v>205</v>
      </c>
      <c r="G424" s="23">
        <v>39025</v>
      </c>
      <c r="H424" s="22">
        <v>11</v>
      </c>
      <c r="I424" s="22">
        <v>7</v>
      </c>
      <c r="J424" s="22">
        <f t="shared" si="36"/>
        <v>210</v>
      </c>
      <c r="K424" s="22">
        <f t="shared" si="37"/>
        <v>25</v>
      </c>
      <c r="L424" s="22">
        <f t="shared" si="38"/>
        <v>185</v>
      </c>
      <c r="M424" s="22">
        <f t="shared" si="39"/>
        <v>259</v>
      </c>
      <c r="N424" s="24">
        <f t="shared" si="40"/>
        <v>0.7142857142857143</v>
      </c>
      <c r="O424" s="24">
        <v>0.71428571428571397</v>
      </c>
      <c r="P424" s="24">
        <f t="shared" si="41"/>
        <v>3.3306690738754696E-16</v>
      </c>
      <c r="Q424" s="22"/>
    </row>
    <row r="425" spans="1:17" ht="15" customHeight="1" x14ac:dyDescent="0.25">
      <c r="A425" s="22" t="s">
        <v>344</v>
      </c>
      <c r="B425" s="22">
        <v>11</v>
      </c>
      <c r="C425" s="22" t="s">
        <v>231</v>
      </c>
      <c r="D425" s="22">
        <v>-60</v>
      </c>
      <c r="E425" s="22" t="s">
        <v>298</v>
      </c>
      <c r="F425" s="22" t="s">
        <v>205</v>
      </c>
      <c r="G425" s="23">
        <v>39025</v>
      </c>
      <c r="H425" s="22">
        <v>17</v>
      </c>
      <c r="I425" s="22">
        <v>34</v>
      </c>
      <c r="J425" s="22">
        <f t="shared" si="36"/>
        <v>227</v>
      </c>
      <c r="K425" s="22">
        <f t="shared" si="37"/>
        <v>59</v>
      </c>
      <c r="L425" s="22">
        <f t="shared" si="38"/>
        <v>168</v>
      </c>
      <c r="M425" s="22">
        <f t="shared" si="39"/>
        <v>259</v>
      </c>
      <c r="N425" s="24">
        <f t="shared" si="40"/>
        <v>0.64864864864864868</v>
      </c>
      <c r="O425" s="24">
        <v>0.64864864864864902</v>
      </c>
      <c r="P425" s="24">
        <f t="shared" si="41"/>
        <v>-3.3306690738754696E-16</v>
      </c>
      <c r="Q425" s="22"/>
    </row>
    <row r="426" spans="1:17" ht="15" customHeight="1" x14ac:dyDescent="0.25">
      <c r="A426" s="22" t="s">
        <v>344</v>
      </c>
      <c r="B426" s="22">
        <v>12</v>
      </c>
      <c r="C426" s="22" t="s">
        <v>239</v>
      </c>
      <c r="D426" s="22">
        <v>-45</v>
      </c>
      <c r="E426" s="22" t="s">
        <v>298</v>
      </c>
      <c r="F426" s="22" t="s">
        <v>205</v>
      </c>
      <c r="G426" s="23">
        <v>39025</v>
      </c>
      <c r="H426" s="22">
        <v>10</v>
      </c>
      <c r="I426" s="22">
        <v>41</v>
      </c>
      <c r="J426" s="22">
        <f t="shared" si="36"/>
        <v>237</v>
      </c>
      <c r="K426" s="22">
        <f t="shared" si="37"/>
        <v>100</v>
      </c>
      <c r="L426" s="22">
        <f t="shared" si="38"/>
        <v>137</v>
      </c>
      <c r="M426" s="22">
        <f t="shared" si="39"/>
        <v>259</v>
      </c>
      <c r="N426" s="24">
        <f t="shared" si="40"/>
        <v>0.52895752895752901</v>
      </c>
      <c r="O426" s="24">
        <v>0.52895752895752901</v>
      </c>
      <c r="P426" s="24">
        <f t="shared" si="41"/>
        <v>0</v>
      </c>
      <c r="Q426" s="22"/>
    </row>
    <row r="427" spans="1:17" ht="15" customHeight="1" x14ac:dyDescent="0.25">
      <c r="A427" s="22" t="s">
        <v>344</v>
      </c>
      <c r="B427" s="22">
        <v>13</v>
      </c>
      <c r="C427" s="22" t="s">
        <v>387</v>
      </c>
      <c r="D427" s="22">
        <v>-30</v>
      </c>
      <c r="E427" s="22" t="s">
        <v>298</v>
      </c>
      <c r="F427" s="22" t="s">
        <v>205</v>
      </c>
      <c r="G427" s="23">
        <v>39025</v>
      </c>
      <c r="H427" s="22">
        <v>5</v>
      </c>
      <c r="I427" s="22">
        <v>46</v>
      </c>
      <c r="J427" s="22">
        <f t="shared" si="36"/>
        <v>242</v>
      </c>
      <c r="K427" s="22">
        <f t="shared" si="37"/>
        <v>146</v>
      </c>
      <c r="L427" s="22">
        <f t="shared" si="38"/>
        <v>96</v>
      </c>
      <c r="M427" s="22">
        <f t="shared" si="39"/>
        <v>259</v>
      </c>
      <c r="N427" s="24">
        <f t="shared" si="40"/>
        <v>0.37065637065637064</v>
      </c>
      <c r="O427" s="24">
        <v>0.37065637065637103</v>
      </c>
      <c r="P427" s="24">
        <f t="shared" si="41"/>
        <v>-3.8857805861880479E-16</v>
      </c>
      <c r="Q427" s="22"/>
    </row>
    <row r="428" spans="1:17" ht="15" customHeight="1" x14ac:dyDescent="0.25">
      <c r="A428" s="22" t="s">
        <v>344</v>
      </c>
      <c r="B428" s="22">
        <v>14</v>
      </c>
      <c r="C428" s="22" t="s">
        <v>468</v>
      </c>
      <c r="D428" s="22">
        <v>-15</v>
      </c>
      <c r="E428" s="22" t="s">
        <v>298</v>
      </c>
      <c r="F428" s="22" t="s">
        <v>205</v>
      </c>
      <c r="G428" s="23">
        <v>39025</v>
      </c>
      <c r="H428" s="22">
        <v>10</v>
      </c>
      <c r="I428" s="22">
        <v>33</v>
      </c>
      <c r="J428" s="22">
        <f t="shared" si="36"/>
        <v>252</v>
      </c>
      <c r="K428" s="22">
        <f t="shared" si="37"/>
        <v>179</v>
      </c>
      <c r="L428" s="22">
        <f t="shared" si="38"/>
        <v>73</v>
      </c>
      <c r="M428" s="22">
        <f t="shared" si="39"/>
        <v>259</v>
      </c>
      <c r="N428" s="24">
        <f t="shared" si="40"/>
        <v>0.28185328185328185</v>
      </c>
      <c r="O428" s="24">
        <v>0.28185328185328201</v>
      </c>
      <c r="P428" s="24">
        <f t="shared" si="41"/>
        <v>-1.6653345369377348E-16</v>
      </c>
      <c r="Q428" s="22"/>
    </row>
    <row r="429" spans="1:17" ht="15" customHeight="1" x14ac:dyDescent="0.25">
      <c r="A429" s="22" t="s">
        <v>344</v>
      </c>
      <c r="B429" s="22">
        <v>15</v>
      </c>
      <c r="C429" s="22" t="s">
        <v>469</v>
      </c>
      <c r="D429" s="22">
        <v>0</v>
      </c>
      <c r="E429" s="22" t="s">
        <v>298</v>
      </c>
      <c r="F429" s="22" t="s">
        <v>205</v>
      </c>
      <c r="G429" s="23">
        <v>39025</v>
      </c>
      <c r="H429" s="22">
        <v>3</v>
      </c>
      <c r="I429" s="22">
        <v>26</v>
      </c>
      <c r="J429" s="22">
        <f t="shared" si="36"/>
        <v>255</v>
      </c>
      <c r="K429" s="22">
        <f t="shared" si="37"/>
        <v>205</v>
      </c>
      <c r="L429" s="22">
        <f t="shared" si="38"/>
        <v>50</v>
      </c>
      <c r="M429" s="22">
        <f t="shared" si="39"/>
        <v>259</v>
      </c>
      <c r="N429" s="24">
        <f t="shared" si="40"/>
        <v>0.19305019305019305</v>
      </c>
      <c r="O429" s="24">
        <v>0.193050193050193</v>
      </c>
      <c r="P429" s="24">
        <f t="shared" si="41"/>
        <v>5.5511151231257827E-17</v>
      </c>
      <c r="Q429" s="22"/>
    </row>
    <row r="430" spans="1:17" ht="15" customHeight="1" x14ac:dyDescent="0.25">
      <c r="A430" s="22" t="s">
        <v>344</v>
      </c>
      <c r="B430" s="22">
        <v>16</v>
      </c>
      <c r="C430" s="22" t="s">
        <v>351</v>
      </c>
      <c r="D430" s="22">
        <v>15</v>
      </c>
      <c r="E430" s="22" t="s">
        <v>298</v>
      </c>
      <c r="F430" s="22" t="s">
        <v>205</v>
      </c>
      <c r="G430" s="23">
        <v>39025</v>
      </c>
      <c r="H430" s="22">
        <v>2</v>
      </c>
      <c r="I430" s="22">
        <v>16</v>
      </c>
      <c r="J430" s="22">
        <f t="shared" si="36"/>
        <v>257</v>
      </c>
      <c r="K430" s="22">
        <f t="shared" si="37"/>
        <v>221</v>
      </c>
      <c r="L430" s="22">
        <f t="shared" si="38"/>
        <v>36</v>
      </c>
      <c r="M430" s="22">
        <f t="shared" si="39"/>
        <v>259</v>
      </c>
      <c r="N430" s="24">
        <f t="shared" si="40"/>
        <v>0.138996138996139</v>
      </c>
      <c r="O430" s="24">
        <v>0.138996138996139</v>
      </c>
      <c r="P430" s="24">
        <f t="shared" si="41"/>
        <v>0</v>
      </c>
      <c r="Q430" s="22"/>
    </row>
    <row r="431" spans="1:17" ht="15" customHeight="1" x14ac:dyDescent="0.25">
      <c r="A431" s="22" t="s">
        <v>344</v>
      </c>
      <c r="B431" s="22">
        <v>17</v>
      </c>
      <c r="C431" s="22" t="s">
        <v>311</v>
      </c>
      <c r="D431" s="22">
        <v>30</v>
      </c>
      <c r="E431" s="22" t="s">
        <v>298</v>
      </c>
      <c r="F431" s="22" t="s">
        <v>205</v>
      </c>
      <c r="G431" s="23">
        <v>39025</v>
      </c>
      <c r="H431" s="22">
        <v>2</v>
      </c>
      <c r="I431" s="22">
        <v>14</v>
      </c>
      <c r="J431" s="22">
        <f t="shared" si="36"/>
        <v>259</v>
      </c>
      <c r="K431" s="22">
        <f t="shared" si="37"/>
        <v>235</v>
      </c>
      <c r="L431" s="22">
        <f t="shared" si="38"/>
        <v>24</v>
      </c>
      <c r="M431" s="22">
        <f t="shared" si="39"/>
        <v>259</v>
      </c>
      <c r="N431" s="24">
        <f t="shared" si="40"/>
        <v>9.2664092664092659E-2</v>
      </c>
      <c r="O431" s="24">
        <v>9.2664092664092701E-2</v>
      </c>
      <c r="P431" s="24">
        <f t="shared" si="41"/>
        <v>-4.163336342344337E-17</v>
      </c>
      <c r="Q431" s="22"/>
    </row>
    <row r="432" spans="1:17" ht="15" customHeight="1" x14ac:dyDescent="0.25">
      <c r="A432" s="22" t="s">
        <v>344</v>
      </c>
      <c r="B432" s="22">
        <v>18</v>
      </c>
      <c r="C432" s="22" t="s">
        <v>211</v>
      </c>
      <c r="D432" s="22">
        <v>45</v>
      </c>
      <c r="E432" s="22" t="s">
        <v>298</v>
      </c>
      <c r="F432" s="22" t="s">
        <v>205</v>
      </c>
      <c r="G432" s="23">
        <v>39025</v>
      </c>
      <c r="H432" s="22">
        <v>0</v>
      </c>
      <c r="I432" s="22">
        <v>16</v>
      </c>
      <c r="J432" s="22">
        <f t="shared" si="36"/>
        <v>259</v>
      </c>
      <c r="K432" s="22">
        <f t="shared" si="37"/>
        <v>251</v>
      </c>
      <c r="L432" s="22">
        <f t="shared" si="38"/>
        <v>8</v>
      </c>
      <c r="M432" s="22">
        <f t="shared" si="39"/>
        <v>259</v>
      </c>
      <c r="N432" s="24">
        <f t="shared" si="40"/>
        <v>3.0888030888030889E-2</v>
      </c>
      <c r="O432" s="24">
        <v>3.0888030888030899E-2</v>
      </c>
      <c r="P432" s="24">
        <f t="shared" si="41"/>
        <v>-1.0408340855860843E-17</v>
      </c>
      <c r="Q432" s="22"/>
    </row>
    <row r="433" spans="1:17" ht="15" customHeight="1" x14ac:dyDescent="0.25">
      <c r="A433" s="22" t="s">
        <v>350</v>
      </c>
      <c r="B433" s="22">
        <v>2</v>
      </c>
      <c r="C433" s="22" t="s">
        <v>325</v>
      </c>
      <c r="D433" s="22">
        <v>-195</v>
      </c>
      <c r="E433" s="22" t="s">
        <v>298</v>
      </c>
      <c r="F433" s="22" t="s">
        <v>205</v>
      </c>
      <c r="G433" s="23">
        <v>39765</v>
      </c>
      <c r="H433" s="22">
        <v>27</v>
      </c>
      <c r="I433" s="22">
        <v>0</v>
      </c>
      <c r="J433" s="22">
        <f t="shared" si="36"/>
        <v>27</v>
      </c>
      <c r="K433" s="22">
        <f t="shared" si="37"/>
        <v>0</v>
      </c>
      <c r="L433" s="22">
        <f t="shared" si="38"/>
        <v>27</v>
      </c>
      <c r="M433" s="22">
        <f t="shared" si="39"/>
        <v>194</v>
      </c>
      <c r="N433" s="24">
        <f t="shared" si="40"/>
        <v>0.13917525773195877</v>
      </c>
      <c r="O433" s="24"/>
      <c r="P433" s="24" t="str">
        <f t="shared" si="41"/>
        <v/>
      </c>
      <c r="Q433" s="22"/>
    </row>
    <row r="434" spans="1:17" ht="15" customHeight="1" x14ac:dyDescent="0.25">
      <c r="A434" s="22" t="s">
        <v>350</v>
      </c>
      <c r="B434" s="22">
        <v>3</v>
      </c>
      <c r="C434" s="22" t="s">
        <v>464</v>
      </c>
      <c r="D434" s="22">
        <v>-180</v>
      </c>
      <c r="E434" s="22" t="s">
        <v>298</v>
      </c>
      <c r="F434" s="22" t="s">
        <v>205</v>
      </c>
      <c r="G434" s="23">
        <v>39765</v>
      </c>
      <c r="H434" s="22">
        <v>17</v>
      </c>
      <c r="I434" s="22">
        <v>1</v>
      </c>
      <c r="J434" s="22">
        <f t="shared" si="36"/>
        <v>44</v>
      </c>
      <c r="K434" s="22">
        <f t="shared" si="37"/>
        <v>1</v>
      </c>
      <c r="L434" s="22">
        <f t="shared" si="38"/>
        <v>43</v>
      </c>
      <c r="M434" s="22">
        <f t="shared" si="39"/>
        <v>194</v>
      </c>
      <c r="N434" s="24">
        <f t="shared" si="40"/>
        <v>0.22164948453608246</v>
      </c>
      <c r="O434" s="24"/>
      <c r="P434" s="24" t="str">
        <f t="shared" si="41"/>
        <v/>
      </c>
      <c r="Q434" s="22"/>
    </row>
    <row r="435" spans="1:17" ht="15" customHeight="1" x14ac:dyDescent="0.25">
      <c r="A435" s="22" t="s">
        <v>350</v>
      </c>
      <c r="B435" s="22">
        <v>4</v>
      </c>
      <c r="C435" s="22" t="s">
        <v>465</v>
      </c>
      <c r="D435" s="22">
        <v>-165</v>
      </c>
      <c r="E435" s="22" t="s">
        <v>298</v>
      </c>
      <c r="F435" s="22" t="s">
        <v>205</v>
      </c>
      <c r="G435" s="23">
        <v>39765</v>
      </c>
      <c r="H435" s="22">
        <v>17</v>
      </c>
      <c r="I435" s="22">
        <v>1</v>
      </c>
      <c r="J435" s="22">
        <f t="shared" si="36"/>
        <v>61</v>
      </c>
      <c r="K435" s="22">
        <f t="shared" si="37"/>
        <v>2</v>
      </c>
      <c r="L435" s="22">
        <f t="shared" si="38"/>
        <v>59</v>
      </c>
      <c r="M435" s="22">
        <f t="shared" si="39"/>
        <v>194</v>
      </c>
      <c r="N435" s="24">
        <f t="shared" si="40"/>
        <v>0.30412371134020616</v>
      </c>
      <c r="O435" s="24"/>
      <c r="P435" s="24" t="str">
        <f t="shared" si="41"/>
        <v/>
      </c>
      <c r="Q435" s="22"/>
    </row>
    <row r="436" spans="1:17" ht="15" customHeight="1" x14ac:dyDescent="0.25">
      <c r="A436" s="22" t="s">
        <v>350</v>
      </c>
      <c r="B436" s="22">
        <v>5</v>
      </c>
      <c r="C436" s="22" t="s">
        <v>466</v>
      </c>
      <c r="D436" s="22">
        <v>-150</v>
      </c>
      <c r="E436" s="22" t="s">
        <v>298</v>
      </c>
      <c r="F436" s="22" t="s">
        <v>205</v>
      </c>
      <c r="G436" s="23">
        <v>39765</v>
      </c>
      <c r="H436" s="22">
        <v>18</v>
      </c>
      <c r="I436" s="22">
        <v>0</v>
      </c>
      <c r="J436" s="22">
        <f t="shared" si="36"/>
        <v>79</v>
      </c>
      <c r="K436" s="22">
        <f t="shared" si="37"/>
        <v>2</v>
      </c>
      <c r="L436" s="22">
        <f t="shared" si="38"/>
        <v>77</v>
      </c>
      <c r="M436" s="22">
        <f t="shared" si="39"/>
        <v>194</v>
      </c>
      <c r="N436" s="24">
        <f t="shared" si="40"/>
        <v>0.39690721649484534</v>
      </c>
      <c r="O436" s="24"/>
      <c r="P436" s="24" t="str">
        <f t="shared" si="41"/>
        <v/>
      </c>
      <c r="Q436" s="22"/>
    </row>
    <row r="437" spans="1:17" ht="15" customHeight="1" x14ac:dyDescent="0.25">
      <c r="A437" s="22" t="s">
        <v>350</v>
      </c>
      <c r="B437" s="22">
        <v>6</v>
      </c>
      <c r="C437" s="22" t="s">
        <v>467</v>
      </c>
      <c r="D437" s="22">
        <v>-135</v>
      </c>
      <c r="E437" s="22" t="s">
        <v>298</v>
      </c>
      <c r="F437" s="22" t="s">
        <v>205</v>
      </c>
      <c r="G437" s="23">
        <v>39765</v>
      </c>
      <c r="H437" s="22">
        <v>22</v>
      </c>
      <c r="I437" s="22">
        <v>2</v>
      </c>
      <c r="J437" s="22">
        <f t="shared" si="36"/>
        <v>101</v>
      </c>
      <c r="K437" s="22">
        <f t="shared" si="37"/>
        <v>4</v>
      </c>
      <c r="L437" s="22">
        <f t="shared" si="38"/>
        <v>97</v>
      </c>
      <c r="M437" s="22">
        <f t="shared" si="39"/>
        <v>194</v>
      </c>
      <c r="N437" s="24">
        <f t="shared" si="40"/>
        <v>0.5</v>
      </c>
      <c r="O437" s="24"/>
      <c r="P437" s="24" t="str">
        <f t="shared" si="41"/>
        <v/>
      </c>
      <c r="Q437" s="22"/>
    </row>
    <row r="438" spans="1:17" ht="15" customHeight="1" x14ac:dyDescent="0.25">
      <c r="A438" s="22" t="s">
        <v>350</v>
      </c>
      <c r="B438" s="22">
        <v>7</v>
      </c>
      <c r="C438" s="22" t="s">
        <v>212</v>
      </c>
      <c r="D438" s="22">
        <v>-120</v>
      </c>
      <c r="E438" s="22" t="s">
        <v>298</v>
      </c>
      <c r="F438" s="22" t="s">
        <v>205</v>
      </c>
      <c r="G438" s="23">
        <v>39765</v>
      </c>
      <c r="H438" s="22">
        <v>18</v>
      </c>
      <c r="I438" s="22">
        <v>6</v>
      </c>
      <c r="J438" s="22">
        <f t="shared" si="36"/>
        <v>119</v>
      </c>
      <c r="K438" s="22">
        <f t="shared" si="37"/>
        <v>10</v>
      </c>
      <c r="L438" s="22">
        <f t="shared" si="38"/>
        <v>109</v>
      </c>
      <c r="M438" s="22">
        <f t="shared" si="39"/>
        <v>194</v>
      </c>
      <c r="N438" s="24">
        <f t="shared" si="40"/>
        <v>0.56185567010309279</v>
      </c>
      <c r="O438" s="24"/>
      <c r="P438" s="24" t="str">
        <f t="shared" si="41"/>
        <v/>
      </c>
      <c r="Q438" s="22"/>
    </row>
    <row r="439" spans="1:17" ht="15" customHeight="1" x14ac:dyDescent="0.25">
      <c r="A439" s="22" t="s">
        <v>350</v>
      </c>
      <c r="B439" s="22">
        <v>8</v>
      </c>
      <c r="C439" s="22" t="s">
        <v>226</v>
      </c>
      <c r="D439" s="22">
        <v>-105</v>
      </c>
      <c r="E439" s="22" t="s">
        <v>298</v>
      </c>
      <c r="F439" s="22" t="s">
        <v>205</v>
      </c>
      <c r="G439" s="23">
        <v>39765</v>
      </c>
      <c r="H439" s="22">
        <v>19</v>
      </c>
      <c r="I439" s="22">
        <v>15</v>
      </c>
      <c r="J439" s="22">
        <f t="shared" si="36"/>
        <v>138</v>
      </c>
      <c r="K439" s="22">
        <f t="shared" si="37"/>
        <v>25</v>
      </c>
      <c r="L439" s="22">
        <f t="shared" si="38"/>
        <v>113</v>
      </c>
      <c r="M439" s="22">
        <f t="shared" si="39"/>
        <v>194</v>
      </c>
      <c r="N439" s="24">
        <f t="shared" si="40"/>
        <v>0.58247422680412375</v>
      </c>
      <c r="O439" s="24"/>
      <c r="P439" s="24" t="str">
        <f t="shared" si="41"/>
        <v/>
      </c>
      <c r="Q439" s="22"/>
    </row>
    <row r="440" spans="1:17" ht="15" customHeight="1" x14ac:dyDescent="0.25">
      <c r="A440" s="22" t="s">
        <v>350</v>
      </c>
      <c r="B440" s="22">
        <v>9</v>
      </c>
      <c r="C440" s="22" t="s">
        <v>264</v>
      </c>
      <c r="D440" s="22">
        <v>-90</v>
      </c>
      <c r="E440" s="22" t="s">
        <v>298</v>
      </c>
      <c r="F440" s="22" t="s">
        <v>205</v>
      </c>
      <c r="G440" s="23">
        <v>39765</v>
      </c>
      <c r="H440" s="22">
        <v>11</v>
      </c>
      <c r="I440" s="22">
        <v>20</v>
      </c>
      <c r="J440" s="22">
        <f t="shared" si="36"/>
        <v>149</v>
      </c>
      <c r="K440" s="22">
        <f t="shared" si="37"/>
        <v>45</v>
      </c>
      <c r="L440" s="22">
        <f t="shared" si="38"/>
        <v>104</v>
      </c>
      <c r="M440" s="22">
        <f t="shared" si="39"/>
        <v>194</v>
      </c>
      <c r="N440" s="24">
        <f t="shared" si="40"/>
        <v>0.53608247422680411</v>
      </c>
      <c r="O440" s="24"/>
      <c r="P440" s="24" t="str">
        <f t="shared" si="41"/>
        <v/>
      </c>
      <c r="Q440" s="22"/>
    </row>
    <row r="441" spans="1:17" ht="15" customHeight="1" x14ac:dyDescent="0.25">
      <c r="A441" s="22" t="s">
        <v>350</v>
      </c>
      <c r="B441" s="22">
        <v>10</v>
      </c>
      <c r="C441" s="22" t="s">
        <v>191</v>
      </c>
      <c r="D441" s="22">
        <v>-75</v>
      </c>
      <c r="E441" s="22" t="s">
        <v>298</v>
      </c>
      <c r="F441" s="22" t="s">
        <v>205</v>
      </c>
      <c r="G441" s="23">
        <v>39765</v>
      </c>
      <c r="H441" s="22">
        <v>11</v>
      </c>
      <c r="I441" s="22">
        <v>27</v>
      </c>
      <c r="J441" s="22">
        <f t="shared" si="36"/>
        <v>160</v>
      </c>
      <c r="K441" s="22">
        <f t="shared" si="37"/>
        <v>72</v>
      </c>
      <c r="L441" s="22">
        <f t="shared" si="38"/>
        <v>88</v>
      </c>
      <c r="M441" s="22">
        <f t="shared" si="39"/>
        <v>194</v>
      </c>
      <c r="N441" s="24">
        <f t="shared" si="40"/>
        <v>0.45360824742268041</v>
      </c>
      <c r="O441" s="24"/>
      <c r="P441" s="24" t="str">
        <f t="shared" si="41"/>
        <v/>
      </c>
      <c r="Q441" s="22"/>
    </row>
    <row r="442" spans="1:17" ht="15" customHeight="1" x14ac:dyDescent="0.25">
      <c r="A442" s="22" t="s">
        <v>350</v>
      </c>
      <c r="B442" s="22">
        <v>11</v>
      </c>
      <c r="C442" s="22" t="s">
        <v>231</v>
      </c>
      <c r="D442" s="22">
        <v>-60</v>
      </c>
      <c r="E442" s="22" t="s">
        <v>298</v>
      </c>
      <c r="F442" s="22" t="s">
        <v>205</v>
      </c>
      <c r="G442" s="23">
        <v>39765</v>
      </c>
      <c r="H442" s="22">
        <v>14</v>
      </c>
      <c r="I442" s="22">
        <v>25</v>
      </c>
      <c r="J442" s="22">
        <f t="shared" si="36"/>
        <v>174</v>
      </c>
      <c r="K442" s="22">
        <f t="shared" si="37"/>
        <v>97</v>
      </c>
      <c r="L442" s="22">
        <f t="shared" si="38"/>
        <v>77</v>
      </c>
      <c r="M442" s="22">
        <f t="shared" si="39"/>
        <v>194</v>
      </c>
      <c r="N442" s="24">
        <f t="shared" si="40"/>
        <v>0.39690721649484534</v>
      </c>
      <c r="O442" s="24"/>
      <c r="P442" s="24" t="str">
        <f t="shared" si="41"/>
        <v/>
      </c>
      <c r="Q442" s="22"/>
    </row>
    <row r="443" spans="1:17" ht="15" customHeight="1" x14ac:dyDescent="0.25">
      <c r="A443" s="22" t="s">
        <v>350</v>
      </c>
      <c r="B443" s="22">
        <v>12</v>
      </c>
      <c r="C443" s="22" t="s">
        <v>239</v>
      </c>
      <c r="D443" s="22">
        <v>-45</v>
      </c>
      <c r="E443" s="22" t="s">
        <v>298</v>
      </c>
      <c r="F443" s="22" t="s">
        <v>205</v>
      </c>
      <c r="G443" s="23">
        <v>39765</v>
      </c>
      <c r="H443" s="22">
        <v>5</v>
      </c>
      <c r="I443" s="22">
        <v>19</v>
      </c>
      <c r="J443" s="22">
        <f t="shared" si="36"/>
        <v>179</v>
      </c>
      <c r="K443" s="22">
        <f t="shared" si="37"/>
        <v>116</v>
      </c>
      <c r="L443" s="22">
        <f t="shared" si="38"/>
        <v>63</v>
      </c>
      <c r="M443" s="22">
        <f t="shared" si="39"/>
        <v>194</v>
      </c>
      <c r="N443" s="24">
        <f t="shared" si="40"/>
        <v>0.32474226804123713</v>
      </c>
      <c r="O443" s="24"/>
      <c r="P443" s="24" t="str">
        <f t="shared" si="41"/>
        <v/>
      </c>
      <c r="Q443" s="22"/>
    </row>
    <row r="444" spans="1:17" ht="15" customHeight="1" x14ac:dyDescent="0.25">
      <c r="A444" s="22" t="s">
        <v>350</v>
      </c>
      <c r="B444" s="22">
        <v>13</v>
      </c>
      <c r="C444" s="22" t="s">
        <v>387</v>
      </c>
      <c r="D444" s="22">
        <v>-30</v>
      </c>
      <c r="E444" s="22" t="s">
        <v>298</v>
      </c>
      <c r="F444" s="22" t="s">
        <v>205</v>
      </c>
      <c r="G444" s="23">
        <v>39765</v>
      </c>
      <c r="H444" s="22">
        <v>6</v>
      </c>
      <c r="I444" s="22">
        <v>12</v>
      </c>
      <c r="J444" s="22">
        <f t="shared" si="36"/>
        <v>185</v>
      </c>
      <c r="K444" s="22">
        <f t="shared" si="37"/>
        <v>128</v>
      </c>
      <c r="L444" s="22">
        <f t="shared" si="38"/>
        <v>57</v>
      </c>
      <c r="M444" s="22">
        <f t="shared" si="39"/>
        <v>194</v>
      </c>
      <c r="N444" s="24">
        <f t="shared" si="40"/>
        <v>0.29381443298969073</v>
      </c>
      <c r="O444" s="24"/>
      <c r="P444" s="24" t="str">
        <f t="shared" si="41"/>
        <v/>
      </c>
      <c r="Q444" s="22"/>
    </row>
    <row r="445" spans="1:17" ht="15" customHeight="1" x14ac:dyDescent="0.25">
      <c r="A445" s="22" t="s">
        <v>350</v>
      </c>
      <c r="B445" s="22">
        <v>14</v>
      </c>
      <c r="C445" s="22" t="s">
        <v>468</v>
      </c>
      <c r="D445" s="22">
        <v>-15</v>
      </c>
      <c r="E445" s="22" t="s">
        <v>298</v>
      </c>
      <c r="F445" s="22" t="s">
        <v>205</v>
      </c>
      <c r="G445" s="23">
        <v>39765</v>
      </c>
      <c r="H445" s="22">
        <v>5</v>
      </c>
      <c r="I445" s="22">
        <v>10</v>
      </c>
      <c r="J445" s="22">
        <f t="shared" si="36"/>
        <v>190</v>
      </c>
      <c r="K445" s="22">
        <f t="shared" si="37"/>
        <v>138</v>
      </c>
      <c r="L445" s="22">
        <f t="shared" si="38"/>
        <v>52</v>
      </c>
      <c r="M445" s="22">
        <f t="shared" si="39"/>
        <v>194</v>
      </c>
      <c r="N445" s="24">
        <f t="shared" si="40"/>
        <v>0.26804123711340205</v>
      </c>
      <c r="O445" s="24"/>
      <c r="P445" s="24" t="str">
        <f t="shared" si="41"/>
        <v/>
      </c>
      <c r="Q445" s="22"/>
    </row>
    <row r="446" spans="1:17" ht="15" customHeight="1" x14ac:dyDescent="0.25">
      <c r="A446" s="22" t="s">
        <v>350</v>
      </c>
      <c r="B446" s="22">
        <v>15</v>
      </c>
      <c r="C446" s="22" t="s">
        <v>469</v>
      </c>
      <c r="D446" s="22">
        <v>0</v>
      </c>
      <c r="E446" s="22" t="s">
        <v>298</v>
      </c>
      <c r="F446" s="22" t="s">
        <v>205</v>
      </c>
      <c r="G446" s="23">
        <v>39765</v>
      </c>
      <c r="H446" s="22">
        <v>3</v>
      </c>
      <c r="I446" s="22">
        <v>17</v>
      </c>
      <c r="J446" s="22">
        <f t="shared" si="36"/>
        <v>193</v>
      </c>
      <c r="K446" s="22">
        <f t="shared" si="37"/>
        <v>155</v>
      </c>
      <c r="L446" s="22">
        <f t="shared" si="38"/>
        <v>38</v>
      </c>
      <c r="M446" s="22">
        <f t="shared" si="39"/>
        <v>194</v>
      </c>
      <c r="N446" s="24">
        <f t="shared" si="40"/>
        <v>0.19587628865979381</v>
      </c>
      <c r="O446" s="24"/>
      <c r="P446" s="24" t="str">
        <f t="shared" si="41"/>
        <v/>
      </c>
      <c r="Q446" s="22"/>
    </row>
    <row r="447" spans="1:17" ht="15" customHeight="1" x14ac:dyDescent="0.25">
      <c r="A447" s="22" t="s">
        <v>350</v>
      </c>
      <c r="B447" s="22">
        <v>16</v>
      </c>
      <c r="C447" s="22" t="s">
        <v>351</v>
      </c>
      <c r="D447" s="22">
        <v>15</v>
      </c>
      <c r="E447" s="22" t="s">
        <v>298</v>
      </c>
      <c r="F447" s="22" t="s">
        <v>205</v>
      </c>
      <c r="G447" s="23">
        <v>39765</v>
      </c>
      <c r="H447" s="22">
        <v>1</v>
      </c>
      <c r="I447" s="22">
        <v>7</v>
      </c>
      <c r="J447" s="22">
        <f t="shared" si="36"/>
        <v>194</v>
      </c>
      <c r="K447" s="22">
        <f t="shared" si="37"/>
        <v>162</v>
      </c>
      <c r="L447" s="22">
        <f t="shared" si="38"/>
        <v>32</v>
      </c>
      <c r="M447" s="22">
        <f t="shared" si="39"/>
        <v>194</v>
      </c>
      <c r="N447" s="24">
        <f t="shared" si="40"/>
        <v>0.16494845360824742</v>
      </c>
      <c r="O447" s="24"/>
      <c r="P447" s="24" t="str">
        <f t="shared" si="41"/>
        <v/>
      </c>
      <c r="Q447" s="22"/>
    </row>
    <row r="448" spans="1:17" ht="15" customHeight="1" x14ac:dyDescent="0.25">
      <c r="A448" s="22" t="s">
        <v>355</v>
      </c>
      <c r="B448" s="22">
        <v>0</v>
      </c>
      <c r="C448" s="22" t="s">
        <v>189</v>
      </c>
      <c r="D448" s="22"/>
      <c r="E448" s="22" t="s">
        <v>298</v>
      </c>
      <c r="F448" s="22" t="s">
        <v>205</v>
      </c>
      <c r="G448" s="23">
        <v>39765</v>
      </c>
      <c r="H448" s="22">
        <v>27</v>
      </c>
      <c r="I448" s="22">
        <v>0</v>
      </c>
      <c r="J448" s="22">
        <f t="shared" si="36"/>
        <v>27</v>
      </c>
      <c r="K448" s="22">
        <f t="shared" si="37"/>
        <v>0</v>
      </c>
      <c r="L448" s="22">
        <f t="shared" si="38"/>
        <v>27</v>
      </c>
      <c r="M448" s="22">
        <f t="shared" si="39"/>
        <v>194</v>
      </c>
      <c r="N448" s="24">
        <f t="shared" si="40"/>
        <v>0.13917525773195877</v>
      </c>
      <c r="O448" s="24">
        <v>0.13917525773195899</v>
      </c>
      <c r="P448" s="24">
        <f t="shared" si="41"/>
        <v>-2.2204460492503131E-16</v>
      </c>
      <c r="Q448" s="25" t="s">
        <v>470</v>
      </c>
    </row>
    <row r="449" spans="1:17" ht="15" customHeight="1" x14ac:dyDescent="0.25">
      <c r="A449" s="22" t="s">
        <v>355</v>
      </c>
      <c r="B449" s="22">
        <v>3</v>
      </c>
      <c r="C449" s="22" t="s">
        <v>464</v>
      </c>
      <c r="D449" s="22">
        <v>-180</v>
      </c>
      <c r="E449" s="22" t="s">
        <v>298</v>
      </c>
      <c r="F449" s="22" t="s">
        <v>205</v>
      </c>
      <c r="G449" s="23">
        <v>39765</v>
      </c>
      <c r="H449" s="22">
        <v>17</v>
      </c>
      <c r="I449" s="22">
        <v>1</v>
      </c>
      <c r="J449" s="22">
        <f t="shared" si="36"/>
        <v>44</v>
      </c>
      <c r="K449" s="22">
        <f t="shared" si="37"/>
        <v>1</v>
      </c>
      <c r="L449" s="22">
        <f t="shared" si="38"/>
        <v>43</v>
      </c>
      <c r="M449" s="22">
        <f t="shared" si="39"/>
        <v>194</v>
      </c>
      <c r="N449" s="24">
        <f t="shared" si="40"/>
        <v>0.22164948453608246</v>
      </c>
      <c r="O449" s="24">
        <v>0.22164948453608299</v>
      </c>
      <c r="P449" s="24">
        <f t="shared" si="41"/>
        <v>-5.2735593669694936E-16</v>
      </c>
      <c r="Q449" s="22"/>
    </row>
    <row r="450" spans="1:17" ht="15" customHeight="1" x14ac:dyDescent="0.25">
      <c r="A450" s="22" t="s">
        <v>355</v>
      </c>
      <c r="B450" s="22">
        <v>4</v>
      </c>
      <c r="C450" s="22" t="s">
        <v>465</v>
      </c>
      <c r="D450" s="22">
        <v>-165</v>
      </c>
      <c r="E450" s="22" t="s">
        <v>298</v>
      </c>
      <c r="F450" s="22" t="s">
        <v>205</v>
      </c>
      <c r="G450" s="23">
        <v>39765</v>
      </c>
      <c r="H450" s="22">
        <v>17</v>
      </c>
      <c r="I450" s="22">
        <v>1</v>
      </c>
      <c r="J450" s="22">
        <f t="shared" ref="J450:J513" si="42">SUMIFS($H$2:$H$1200,$A$2:$A$1200,$A450,$B$2:$B$1200,"&lt;="&amp;$B450)</f>
        <v>61</v>
      </c>
      <c r="K450" s="22">
        <f t="shared" ref="K450:K513" si="43">SUMIFS($I$2:$I$1200,$A$2:$A$1200,$A450,$B$2:$B$1200,"&lt;="&amp;$B450)</f>
        <v>2</v>
      </c>
      <c r="L450" s="22">
        <f t="shared" ref="L450:L513" si="44">J450-K450</f>
        <v>59</v>
      </c>
      <c r="M450" s="22">
        <f t="shared" ref="M450:M513" si="45">SUMIF($A$2:$A$1200,$A450,$H$2:$H$1200)</f>
        <v>194</v>
      </c>
      <c r="N450" s="24">
        <f t="shared" ref="N450:N513" si="46">IF(M450=0,"",L450/M450)</f>
        <v>0.30412371134020616</v>
      </c>
      <c r="O450" s="24">
        <v>0.30412371134020599</v>
      </c>
      <c r="P450" s="24">
        <f t="shared" ref="P450:P513" si="47">IF(OR(N450="",O450=""),"",N450-O450)</f>
        <v>1.6653345369377348E-16</v>
      </c>
      <c r="Q450" s="22"/>
    </row>
    <row r="451" spans="1:17" ht="15" customHeight="1" x14ac:dyDescent="0.25">
      <c r="A451" s="22" t="s">
        <v>355</v>
      </c>
      <c r="B451" s="22">
        <v>5</v>
      </c>
      <c r="C451" s="22" t="s">
        <v>466</v>
      </c>
      <c r="D451" s="22">
        <v>-150</v>
      </c>
      <c r="E451" s="22" t="s">
        <v>298</v>
      </c>
      <c r="F451" s="22" t="s">
        <v>205</v>
      </c>
      <c r="G451" s="23">
        <v>39765</v>
      </c>
      <c r="H451" s="22">
        <v>18</v>
      </c>
      <c r="I451" s="22">
        <v>0</v>
      </c>
      <c r="J451" s="22">
        <f t="shared" si="42"/>
        <v>79</v>
      </c>
      <c r="K451" s="22">
        <f t="shared" si="43"/>
        <v>2</v>
      </c>
      <c r="L451" s="22">
        <f t="shared" si="44"/>
        <v>77</v>
      </c>
      <c r="M451" s="22">
        <f t="shared" si="45"/>
        <v>194</v>
      </c>
      <c r="N451" s="24">
        <f t="shared" si="46"/>
        <v>0.39690721649484534</v>
      </c>
      <c r="O451" s="24">
        <v>0.39690721649484501</v>
      </c>
      <c r="P451" s="24">
        <f t="shared" si="47"/>
        <v>3.3306690738754696E-16</v>
      </c>
      <c r="Q451" s="22"/>
    </row>
    <row r="452" spans="1:17" ht="15" customHeight="1" x14ac:dyDescent="0.25">
      <c r="A452" s="22" t="s">
        <v>355</v>
      </c>
      <c r="B452" s="22">
        <v>6</v>
      </c>
      <c r="C452" s="22" t="s">
        <v>467</v>
      </c>
      <c r="D452" s="22">
        <v>-135</v>
      </c>
      <c r="E452" s="22" t="s">
        <v>298</v>
      </c>
      <c r="F452" s="22" t="s">
        <v>205</v>
      </c>
      <c r="G452" s="23">
        <v>39765</v>
      </c>
      <c r="H452" s="22">
        <v>22</v>
      </c>
      <c r="I452" s="22">
        <v>2</v>
      </c>
      <c r="J452" s="22">
        <f t="shared" si="42"/>
        <v>101</v>
      </c>
      <c r="K452" s="22">
        <f t="shared" si="43"/>
        <v>4</v>
      </c>
      <c r="L452" s="22">
        <f t="shared" si="44"/>
        <v>97</v>
      </c>
      <c r="M452" s="22">
        <f t="shared" si="45"/>
        <v>194</v>
      </c>
      <c r="N452" s="24">
        <f t="shared" si="46"/>
        <v>0.5</v>
      </c>
      <c r="O452" s="24">
        <v>0.5</v>
      </c>
      <c r="P452" s="24">
        <f t="shared" si="47"/>
        <v>0</v>
      </c>
      <c r="Q452" s="22"/>
    </row>
    <row r="453" spans="1:17" ht="15" customHeight="1" x14ac:dyDescent="0.25">
      <c r="A453" s="22" t="s">
        <v>355</v>
      </c>
      <c r="B453" s="22">
        <v>7</v>
      </c>
      <c r="C453" s="22" t="s">
        <v>212</v>
      </c>
      <c r="D453" s="22">
        <v>-120</v>
      </c>
      <c r="E453" s="22" t="s">
        <v>298</v>
      </c>
      <c r="F453" s="22" t="s">
        <v>205</v>
      </c>
      <c r="G453" s="23">
        <v>39765</v>
      </c>
      <c r="H453" s="22">
        <v>18</v>
      </c>
      <c r="I453" s="22">
        <v>6</v>
      </c>
      <c r="J453" s="22">
        <f t="shared" si="42"/>
        <v>119</v>
      </c>
      <c r="K453" s="22">
        <f t="shared" si="43"/>
        <v>10</v>
      </c>
      <c r="L453" s="22">
        <f t="shared" si="44"/>
        <v>109</v>
      </c>
      <c r="M453" s="22">
        <f t="shared" si="45"/>
        <v>194</v>
      </c>
      <c r="N453" s="24">
        <f t="shared" si="46"/>
        <v>0.56185567010309279</v>
      </c>
      <c r="O453" s="24">
        <v>0.56185567010309301</v>
      </c>
      <c r="P453" s="24">
        <f t="shared" si="47"/>
        <v>-2.2204460492503131E-16</v>
      </c>
      <c r="Q453" s="22"/>
    </row>
    <row r="454" spans="1:17" ht="15" customHeight="1" x14ac:dyDescent="0.25">
      <c r="A454" s="22" t="s">
        <v>355</v>
      </c>
      <c r="B454" s="22">
        <v>8</v>
      </c>
      <c r="C454" s="22" t="s">
        <v>226</v>
      </c>
      <c r="D454" s="22">
        <v>-105</v>
      </c>
      <c r="E454" s="22" t="s">
        <v>298</v>
      </c>
      <c r="F454" s="22" t="s">
        <v>205</v>
      </c>
      <c r="G454" s="23">
        <v>39765</v>
      </c>
      <c r="H454" s="22">
        <v>19</v>
      </c>
      <c r="I454" s="22">
        <v>15</v>
      </c>
      <c r="J454" s="22">
        <f t="shared" si="42"/>
        <v>138</v>
      </c>
      <c r="K454" s="22">
        <f t="shared" si="43"/>
        <v>25</v>
      </c>
      <c r="L454" s="22">
        <f t="shared" si="44"/>
        <v>113</v>
      </c>
      <c r="M454" s="22">
        <f t="shared" si="45"/>
        <v>194</v>
      </c>
      <c r="N454" s="24">
        <f t="shared" si="46"/>
        <v>0.58247422680412375</v>
      </c>
      <c r="O454" s="24">
        <v>0.58247422680412397</v>
      </c>
      <c r="P454" s="24">
        <f t="shared" si="47"/>
        <v>-2.2204460492503131E-16</v>
      </c>
      <c r="Q454" s="22"/>
    </row>
    <row r="455" spans="1:17" ht="15" customHeight="1" x14ac:dyDescent="0.25">
      <c r="A455" s="22" t="s">
        <v>355</v>
      </c>
      <c r="B455" s="22">
        <v>9</v>
      </c>
      <c r="C455" s="22" t="s">
        <v>264</v>
      </c>
      <c r="D455" s="22">
        <v>-90</v>
      </c>
      <c r="E455" s="22" t="s">
        <v>298</v>
      </c>
      <c r="F455" s="22" t="s">
        <v>205</v>
      </c>
      <c r="G455" s="23">
        <v>39765</v>
      </c>
      <c r="H455" s="22">
        <v>11</v>
      </c>
      <c r="I455" s="22">
        <v>20</v>
      </c>
      <c r="J455" s="22">
        <f t="shared" si="42"/>
        <v>149</v>
      </c>
      <c r="K455" s="22">
        <f t="shared" si="43"/>
        <v>45</v>
      </c>
      <c r="L455" s="22">
        <f t="shared" si="44"/>
        <v>104</v>
      </c>
      <c r="M455" s="22">
        <f t="shared" si="45"/>
        <v>194</v>
      </c>
      <c r="N455" s="24">
        <f t="shared" si="46"/>
        <v>0.53608247422680411</v>
      </c>
      <c r="O455" s="24">
        <v>0.536082474226804</v>
      </c>
      <c r="P455" s="24">
        <f t="shared" si="47"/>
        <v>1.1102230246251565E-16</v>
      </c>
      <c r="Q455" s="22"/>
    </row>
    <row r="456" spans="1:17" ht="15" customHeight="1" x14ac:dyDescent="0.25">
      <c r="A456" s="22" t="s">
        <v>355</v>
      </c>
      <c r="B456" s="22">
        <v>10</v>
      </c>
      <c r="C456" s="22" t="s">
        <v>191</v>
      </c>
      <c r="D456" s="22">
        <v>-75</v>
      </c>
      <c r="E456" s="22" t="s">
        <v>298</v>
      </c>
      <c r="F456" s="22" t="s">
        <v>205</v>
      </c>
      <c r="G456" s="23">
        <v>39765</v>
      </c>
      <c r="H456" s="22">
        <v>11</v>
      </c>
      <c r="I456" s="22">
        <v>27</v>
      </c>
      <c r="J456" s="22">
        <f t="shared" si="42"/>
        <v>160</v>
      </c>
      <c r="K456" s="22">
        <f t="shared" si="43"/>
        <v>72</v>
      </c>
      <c r="L456" s="22">
        <f t="shared" si="44"/>
        <v>88</v>
      </c>
      <c r="M456" s="22">
        <f t="shared" si="45"/>
        <v>194</v>
      </c>
      <c r="N456" s="24">
        <f t="shared" si="46"/>
        <v>0.45360824742268041</v>
      </c>
      <c r="O456" s="24">
        <v>0.45360824742268002</v>
      </c>
      <c r="P456" s="24">
        <f t="shared" si="47"/>
        <v>3.8857805861880479E-16</v>
      </c>
      <c r="Q456" s="22"/>
    </row>
    <row r="457" spans="1:17" ht="15" customHeight="1" x14ac:dyDescent="0.25">
      <c r="A457" s="22" t="s">
        <v>355</v>
      </c>
      <c r="B457" s="22">
        <v>11</v>
      </c>
      <c r="C457" s="22" t="s">
        <v>231</v>
      </c>
      <c r="D457" s="22">
        <v>-60</v>
      </c>
      <c r="E457" s="22" t="s">
        <v>298</v>
      </c>
      <c r="F457" s="22" t="s">
        <v>205</v>
      </c>
      <c r="G457" s="23">
        <v>39765</v>
      </c>
      <c r="H457" s="22">
        <v>14</v>
      </c>
      <c r="I457" s="22">
        <v>25</v>
      </c>
      <c r="J457" s="22">
        <f t="shared" si="42"/>
        <v>174</v>
      </c>
      <c r="K457" s="22">
        <f t="shared" si="43"/>
        <v>97</v>
      </c>
      <c r="L457" s="22">
        <f t="shared" si="44"/>
        <v>77</v>
      </c>
      <c r="M457" s="22">
        <f t="shared" si="45"/>
        <v>194</v>
      </c>
      <c r="N457" s="24">
        <f t="shared" si="46"/>
        <v>0.39690721649484534</v>
      </c>
      <c r="O457" s="24">
        <v>0.39690721649484501</v>
      </c>
      <c r="P457" s="24">
        <f t="shared" si="47"/>
        <v>3.3306690738754696E-16</v>
      </c>
      <c r="Q457" s="22"/>
    </row>
    <row r="458" spans="1:17" ht="15" customHeight="1" x14ac:dyDescent="0.25">
      <c r="A458" s="22" t="s">
        <v>355</v>
      </c>
      <c r="B458" s="22">
        <v>12</v>
      </c>
      <c r="C458" s="22" t="s">
        <v>239</v>
      </c>
      <c r="D458" s="22">
        <v>-45</v>
      </c>
      <c r="E458" s="22" t="s">
        <v>298</v>
      </c>
      <c r="F458" s="22" t="s">
        <v>205</v>
      </c>
      <c r="G458" s="23">
        <v>39765</v>
      </c>
      <c r="H458" s="22">
        <v>5</v>
      </c>
      <c r="I458" s="22">
        <v>19</v>
      </c>
      <c r="J458" s="22">
        <f t="shared" si="42"/>
        <v>179</v>
      </c>
      <c r="K458" s="22">
        <f t="shared" si="43"/>
        <v>116</v>
      </c>
      <c r="L458" s="22">
        <f t="shared" si="44"/>
        <v>63</v>
      </c>
      <c r="M458" s="22">
        <f t="shared" si="45"/>
        <v>194</v>
      </c>
      <c r="N458" s="24">
        <f t="shared" si="46"/>
        <v>0.32474226804123713</v>
      </c>
      <c r="O458" s="24">
        <v>0.32474226804123701</v>
      </c>
      <c r="P458" s="24">
        <f t="shared" si="47"/>
        <v>1.1102230246251565E-16</v>
      </c>
      <c r="Q458" s="22"/>
    </row>
    <row r="459" spans="1:17" ht="15" customHeight="1" x14ac:dyDescent="0.25">
      <c r="A459" s="22" t="s">
        <v>355</v>
      </c>
      <c r="B459" s="22">
        <v>13</v>
      </c>
      <c r="C459" s="22" t="s">
        <v>387</v>
      </c>
      <c r="D459" s="22">
        <v>-30</v>
      </c>
      <c r="E459" s="22" t="s">
        <v>298</v>
      </c>
      <c r="F459" s="22" t="s">
        <v>205</v>
      </c>
      <c r="G459" s="23">
        <v>39765</v>
      </c>
      <c r="H459" s="22">
        <v>6</v>
      </c>
      <c r="I459" s="22">
        <v>12</v>
      </c>
      <c r="J459" s="22">
        <f t="shared" si="42"/>
        <v>185</v>
      </c>
      <c r="K459" s="22">
        <f t="shared" si="43"/>
        <v>128</v>
      </c>
      <c r="L459" s="22">
        <f t="shared" si="44"/>
        <v>57</v>
      </c>
      <c r="M459" s="22">
        <f t="shared" si="45"/>
        <v>194</v>
      </c>
      <c r="N459" s="24">
        <f t="shared" si="46"/>
        <v>0.29381443298969073</v>
      </c>
      <c r="O459" s="24">
        <v>0.29381443298969101</v>
      </c>
      <c r="P459" s="24">
        <f t="shared" si="47"/>
        <v>-2.7755575615628914E-16</v>
      </c>
      <c r="Q459" s="22"/>
    </row>
    <row r="460" spans="1:17" ht="15" customHeight="1" x14ac:dyDescent="0.25">
      <c r="A460" s="22" t="s">
        <v>355</v>
      </c>
      <c r="B460" s="22">
        <v>14</v>
      </c>
      <c r="C460" s="22" t="s">
        <v>468</v>
      </c>
      <c r="D460" s="22">
        <v>-15</v>
      </c>
      <c r="E460" s="22" t="s">
        <v>298</v>
      </c>
      <c r="F460" s="22" t="s">
        <v>205</v>
      </c>
      <c r="G460" s="23">
        <v>39765</v>
      </c>
      <c r="H460" s="22">
        <v>5</v>
      </c>
      <c r="I460" s="22">
        <v>10</v>
      </c>
      <c r="J460" s="22">
        <f t="shared" si="42"/>
        <v>190</v>
      </c>
      <c r="K460" s="22">
        <f t="shared" si="43"/>
        <v>138</v>
      </c>
      <c r="L460" s="22">
        <f t="shared" si="44"/>
        <v>52</v>
      </c>
      <c r="M460" s="22">
        <f t="shared" si="45"/>
        <v>194</v>
      </c>
      <c r="N460" s="24">
        <f t="shared" si="46"/>
        <v>0.26804123711340205</v>
      </c>
      <c r="O460" s="24">
        <v>0.268041237113402</v>
      </c>
      <c r="P460" s="24">
        <f t="shared" si="47"/>
        <v>5.5511151231257827E-17</v>
      </c>
      <c r="Q460" s="22"/>
    </row>
    <row r="461" spans="1:17" ht="15" customHeight="1" x14ac:dyDescent="0.25">
      <c r="A461" s="22" t="s">
        <v>355</v>
      </c>
      <c r="B461" s="22">
        <v>15</v>
      </c>
      <c r="C461" s="22" t="s">
        <v>469</v>
      </c>
      <c r="D461" s="22">
        <v>0</v>
      </c>
      <c r="E461" s="22" t="s">
        <v>298</v>
      </c>
      <c r="F461" s="22" t="s">
        <v>205</v>
      </c>
      <c r="G461" s="23">
        <v>39765</v>
      </c>
      <c r="H461" s="22">
        <v>3</v>
      </c>
      <c r="I461" s="22">
        <v>17</v>
      </c>
      <c r="J461" s="22">
        <f t="shared" si="42"/>
        <v>193</v>
      </c>
      <c r="K461" s="22">
        <f t="shared" si="43"/>
        <v>155</v>
      </c>
      <c r="L461" s="22">
        <f t="shared" si="44"/>
        <v>38</v>
      </c>
      <c r="M461" s="22">
        <f t="shared" si="45"/>
        <v>194</v>
      </c>
      <c r="N461" s="24">
        <f t="shared" si="46"/>
        <v>0.19587628865979381</v>
      </c>
      <c r="O461" s="24">
        <v>0.19587628865979401</v>
      </c>
      <c r="P461" s="24">
        <f t="shared" si="47"/>
        <v>-1.9428902930940239E-16</v>
      </c>
      <c r="Q461" s="22"/>
    </row>
    <row r="462" spans="1:17" ht="15" customHeight="1" x14ac:dyDescent="0.25">
      <c r="A462" s="22" t="s">
        <v>355</v>
      </c>
      <c r="B462" s="22">
        <v>16</v>
      </c>
      <c r="C462" s="22" t="s">
        <v>351</v>
      </c>
      <c r="D462" s="22">
        <v>15</v>
      </c>
      <c r="E462" s="22" t="s">
        <v>298</v>
      </c>
      <c r="F462" s="22" t="s">
        <v>205</v>
      </c>
      <c r="G462" s="23">
        <v>39765</v>
      </c>
      <c r="H462" s="22">
        <v>1</v>
      </c>
      <c r="I462" s="22">
        <v>7</v>
      </c>
      <c r="J462" s="22">
        <f t="shared" si="42"/>
        <v>194</v>
      </c>
      <c r="K462" s="22">
        <f t="shared" si="43"/>
        <v>162</v>
      </c>
      <c r="L462" s="22">
        <f t="shared" si="44"/>
        <v>32</v>
      </c>
      <c r="M462" s="22">
        <f t="shared" si="45"/>
        <v>194</v>
      </c>
      <c r="N462" s="24">
        <f t="shared" si="46"/>
        <v>0.16494845360824742</v>
      </c>
      <c r="O462" s="24">
        <v>0.164948453608247</v>
      </c>
      <c r="P462" s="24">
        <f t="shared" si="47"/>
        <v>4.163336342344337E-16</v>
      </c>
      <c r="Q462" s="22"/>
    </row>
    <row r="463" spans="1:17" ht="15" customHeight="1" x14ac:dyDescent="0.25">
      <c r="A463" s="22" t="s">
        <v>358</v>
      </c>
      <c r="B463" s="22">
        <v>2</v>
      </c>
      <c r="C463" s="22" t="s">
        <v>325</v>
      </c>
      <c r="D463" s="22">
        <v>-195</v>
      </c>
      <c r="E463" s="22" t="s">
        <v>298</v>
      </c>
      <c r="F463" s="22" t="s">
        <v>205</v>
      </c>
      <c r="G463" s="23">
        <v>40460</v>
      </c>
      <c r="H463" s="22">
        <v>55</v>
      </c>
      <c r="I463" s="22">
        <v>8</v>
      </c>
      <c r="J463" s="22">
        <f t="shared" si="42"/>
        <v>55</v>
      </c>
      <c r="K463" s="22">
        <f t="shared" si="43"/>
        <v>8</v>
      </c>
      <c r="L463" s="22">
        <f t="shared" si="44"/>
        <v>47</v>
      </c>
      <c r="M463" s="22">
        <f t="shared" si="45"/>
        <v>190</v>
      </c>
      <c r="N463" s="24">
        <f t="shared" si="46"/>
        <v>0.24736842105263157</v>
      </c>
      <c r="O463" s="24"/>
      <c r="P463" s="24" t="str">
        <f t="shared" si="47"/>
        <v/>
      </c>
      <c r="Q463" s="22"/>
    </row>
    <row r="464" spans="1:17" ht="15" customHeight="1" x14ac:dyDescent="0.25">
      <c r="A464" s="22" t="s">
        <v>358</v>
      </c>
      <c r="B464" s="22">
        <v>3</v>
      </c>
      <c r="C464" s="22" t="s">
        <v>464</v>
      </c>
      <c r="D464" s="22">
        <v>-180</v>
      </c>
      <c r="E464" s="22" t="s">
        <v>298</v>
      </c>
      <c r="F464" s="22" t="s">
        <v>205</v>
      </c>
      <c r="G464" s="23">
        <v>40460</v>
      </c>
      <c r="H464" s="22">
        <v>23</v>
      </c>
      <c r="I464" s="22">
        <v>6</v>
      </c>
      <c r="J464" s="22">
        <f t="shared" si="42"/>
        <v>78</v>
      </c>
      <c r="K464" s="22">
        <f t="shared" si="43"/>
        <v>14</v>
      </c>
      <c r="L464" s="22">
        <f t="shared" si="44"/>
        <v>64</v>
      </c>
      <c r="M464" s="22">
        <f t="shared" si="45"/>
        <v>190</v>
      </c>
      <c r="N464" s="24">
        <f t="shared" si="46"/>
        <v>0.33684210526315789</v>
      </c>
      <c r="O464" s="24"/>
      <c r="P464" s="24" t="str">
        <f t="shared" si="47"/>
        <v/>
      </c>
      <c r="Q464" s="22"/>
    </row>
    <row r="465" spans="1:17" ht="15" customHeight="1" x14ac:dyDescent="0.25">
      <c r="A465" s="22" t="s">
        <v>358</v>
      </c>
      <c r="B465" s="22">
        <v>4</v>
      </c>
      <c r="C465" s="22" t="s">
        <v>465</v>
      </c>
      <c r="D465" s="22">
        <v>-165</v>
      </c>
      <c r="E465" s="22" t="s">
        <v>298</v>
      </c>
      <c r="F465" s="22" t="s">
        <v>205</v>
      </c>
      <c r="G465" s="23">
        <v>40460</v>
      </c>
      <c r="H465" s="22">
        <v>32</v>
      </c>
      <c r="I465" s="22">
        <v>0</v>
      </c>
      <c r="J465" s="22">
        <f t="shared" si="42"/>
        <v>110</v>
      </c>
      <c r="K465" s="22">
        <f t="shared" si="43"/>
        <v>14</v>
      </c>
      <c r="L465" s="22">
        <f t="shared" si="44"/>
        <v>96</v>
      </c>
      <c r="M465" s="22">
        <f t="shared" si="45"/>
        <v>190</v>
      </c>
      <c r="N465" s="24">
        <f t="shared" si="46"/>
        <v>0.50526315789473686</v>
      </c>
      <c r="O465" s="24"/>
      <c r="P465" s="24" t="str">
        <f t="shared" si="47"/>
        <v/>
      </c>
      <c r="Q465" s="22"/>
    </row>
    <row r="466" spans="1:17" ht="15" customHeight="1" x14ac:dyDescent="0.25">
      <c r="A466" s="22" t="s">
        <v>358</v>
      </c>
      <c r="B466" s="22">
        <v>5</v>
      </c>
      <c r="C466" s="22" t="s">
        <v>466</v>
      </c>
      <c r="D466" s="22">
        <v>-150</v>
      </c>
      <c r="E466" s="22" t="s">
        <v>298</v>
      </c>
      <c r="F466" s="22" t="s">
        <v>205</v>
      </c>
      <c r="G466" s="23">
        <v>40460</v>
      </c>
      <c r="H466" s="22">
        <v>20</v>
      </c>
      <c r="I466" s="22">
        <v>2</v>
      </c>
      <c r="J466" s="22">
        <f t="shared" si="42"/>
        <v>130</v>
      </c>
      <c r="K466" s="22">
        <f t="shared" si="43"/>
        <v>16</v>
      </c>
      <c r="L466" s="22">
        <f t="shared" si="44"/>
        <v>114</v>
      </c>
      <c r="M466" s="22">
        <f t="shared" si="45"/>
        <v>190</v>
      </c>
      <c r="N466" s="24">
        <f t="shared" si="46"/>
        <v>0.6</v>
      </c>
      <c r="O466" s="24"/>
      <c r="P466" s="24" t="str">
        <f t="shared" si="47"/>
        <v/>
      </c>
      <c r="Q466" s="22"/>
    </row>
    <row r="467" spans="1:17" ht="15" customHeight="1" x14ac:dyDescent="0.25">
      <c r="A467" s="22" t="s">
        <v>358</v>
      </c>
      <c r="B467" s="22">
        <v>6</v>
      </c>
      <c r="C467" s="22" t="s">
        <v>467</v>
      </c>
      <c r="D467" s="22">
        <v>-135</v>
      </c>
      <c r="E467" s="22" t="s">
        <v>298</v>
      </c>
      <c r="F467" s="22" t="s">
        <v>205</v>
      </c>
      <c r="G467" s="23">
        <v>40460</v>
      </c>
      <c r="H467" s="22">
        <v>15</v>
      </c>
      <c r="I467" s="22">
        <v>4</v>
      </c>
      <c r="J467" s="22">
        <f t="shared" si="42"/>
        <v>145</v>
      </c>
      <c r="K467" s="22">
        <f t="shared" si="43"/>
        <v>20</v>
      </c>
      <c r="L467" s="22">
        <f t="shared" si="44"/>
        <v>125</v>
      </c>
      <c r="M467" s="22">
        <f t="shared" si="45"/>
        <v>190</v>
      </c>
      <c r="N467" s="24">
        <f t="shared" si="46"/>
        <v>0.65789473684210531</v>
      </c>
      <c r="O467" s="24"/>
      <c r="P467" s="24" t="str">
        <f t="shared" si="47"/>
        <v/>
      </c>
      <c r="Q467" s="22"/>
    </row>
    <row r="468" spans="1:17" ht="15" customHeight="1" x14ac:dyDescent="0.25">
      <c r="A468" s="22" t="s">
        <v>358</v>
      </c>
      <c r="B468" s="22">
        <v>7</v>
      </c>
      <c r="C468" s="22" t="s">
        <v>212</v>
      </c>
      <c r="D468" s="22">
        <v>-120</v>
      </c>
      <c r="E468" s="22" t="s">
        <v>298</v>
      </c>
      <c r="F468" s="22" t="s">
        <v>205</v>
      </c>
      <c r="G468" s="23">
        <v>40460</v>
      </c>
      <c r="H468" s="22">
        <v>10</v>
      </c>
      <c r="I468" s="22">
        <v>8</v>
      </c>
      <c r="J468" s="22">
        <f t="shared" si="42"/>
        <v>155</v>
      </c>
      <c r="K468" s="22">
        <f t="shared" si="43"/>
        <v>28</v>
      </c>
      <c r="L468" s="22">
        <f t="shared" si="44"/>
        <v>127</v>
      </c>
      <c r="M468" s="22">
        <f t="shared" si="45"/>
        <v>190</v>
      </c>
      <c r="N468" s="24">
        <f t="shared" si="46"/>
        <v>0.66842105263157892</v>
      </c>
      <c r="O468" s="24"/>
      <c r="P468" s="24" t="str">
        <f t="shared" si="47"/>
        <v/>
      </c>
      <c r="Q468" s="22"/>
    </row>
    <row r="469" spans="1:17" ht="15" customHeight="1" x14ac:dyDescent="0.25">
      <c r="A469" s="22" t="s">
        <v>358</v>
      </c>
      <c r="B469" s="22">
        <v>8</v>
      </c>
      <c r="C469" s="22" t="s">
        <v>226</v>
      </c>
      <c r="D469" s="22">
        <v>-105</v>
      </c>
      <c r="E469" s="22" t="s">
        <v>298</v>
      </c>
      <c r="F469" s="22" t="s">
        <v>205</v>
      </c>
      <c r="G469" s="23">
        <v>40460</v>
      </c>
      <c r="H469" s="22">
        <v>7</v>
      </c>
      <c r="I469" s="22">
        <v>13</v>
      </c>
      <c r="J469" s="22">
        <f t="shared" si="42"/>
        <v>162</v>
      </c>
      <c r="K469" s="22">
        <f t="shared" si="43"/>
        <v>41</v>
      </c>
      <c r="L469" s="22">
        <f t="shared" si="44"/>
        <v>121</v>
      </c>
      <c r="M469" s="22">
        <f t="shared" si="45"/>
        <v>190</v>
      </c>
      <c r="N469" s="24">
        <f t="shared" si="46"/>
        <v>0.63684210526315788</v>
      </c>
      <c r="O469" s="24"/>
      <c r="P469" s="24" t="str">
        <f t="shared" si="47"/>
        <v/>
      </c>
      <c r="Q469" s="22"/>
    </row>
    <row r="470" spans="1:17" ht="15" customHeight="1" x14ac:dyDescent="0.25">
      <c r="A470" s="22" t="s">
        <v>358</v>
      </c>
      <c r="B470" s="22">
        <v>9</v>
      </c>
      <c r="C470" s="22" t="s">
        <v>264</v>
      </c>
      <c r="D470" s="22">
        <v>-90</v>
      </c>
      <c r="E470" s="22" t="s">
        <v>298</v>
      </c>
      <c r="F470" s="22" t="s">
        <v>205</v>
      </c>
      <c r="G470" s="23">
        <v>40460</v>
      </c>
      <c r="H470" s="22">
        <v>13</v>
      </c>
      <c r="I470" s="22">
        <v>18</v>
      </c>
      <c r="J470" s="22">
        <f t="shared" si="42"/>
        <v>175</v>
      </c>
      <c r="K470" s="22">
        <f t="shared" si="43"/>
        <v>59</v>
      </c>
      <c r="L470" s="22">
        <f t="shared" si="44"/>
        <v>116</v>
      </c>
      <c r="M470" s="22">
        <f t="shared" si="45"/>
        <v>190</v>
      </c>
      <c r="N470" s="24">
        <f t="shared" si="46"/>
        <v>0.61052631578947369</v>
      </c>
      <c r="O470" s="24"/>
      <c r="P470" s="24" t="str">
        <f t="shared" si="47"/>
        <v/>
      </c>
      <c r="Q470" s="22"/>
    </row>
    <row r="471" spans="1:17" ht="15" customHeight="1" x14ac:dyDescent="0.25">
      <c r="A471" s="22" t="s">
        <v>358</v>
      </c>
      <c r="B471" s="22">
        <v>10</v>
      </c>
      <c r="C471" s="22" t="s">
        <v>191</v>
      </c>
      <c r="D471" s="22">
        <v>-75</v>
      </c>
      <c r="E471" s="22" t="s">
        <v>298</v>
      </c>
      <c r="F471" s="22" t="s">
        <v>205</v>
      </c>
      <c r="G471" s="23">
        <v>40460</v>
      </c>
      <c r="H471" s="22">
        <v>7</v>
      </c>
      <c r="I471" s="22">
        <v>25</v>
      </c>
      <c r="J471" s="22">
        <f t="shared" si="42"/>
        <v>182</v>
      </c>
      <c r="K471" s="22">
        <f t="shared" si="43"/>
        <v>84</v>
      </c>
      <c r="L471" s="22">
        <f t="shared" si="44"/>
        <v>98</v>
      </c>
      <c r="M471" s="22">
        <f t="shared" si="45"/>
        <v>190</v>
      </c>
      <c r="N471" s="24">
        <f t="shared" si="46"/>
        <v>0.51578947368421058</v>
      </c>
      <c r="O471" s="24"/>
      <c r="P471" s="24" t="str">
        <f t="shared" si="47"/>
        <v/>
      </c>
      <c r="Q471" s="22"/>
    </row>
    <row r="472" spans="1:17" ht="15" customHeight="1" x14ac:dyDescent="0.25">
      <c r="A472" s="22" t="s">
        <v>358</v>
      </c>
      <c r="B472" s="22">
        <v>11</v>
      </c>
      <c r="C472" s="22" t="s">
        <v>231</v>
      </c>
      <c r="D472" s="22">
        <v>-60</v>
      </c>
      <c r="E472" s="22" t="s">
        <v>298</v>
      </c>
      <c r="F472" s="22" t="s">
        <v>205</v>
      </c>
      <c r="G472" s="23">
        <v>40460</v>
      </c>
      <c r="H472" s="22">
        <v>2</v>
      </c>
      <c r="I472" s="22">
        <v>17</v>
      </c>
      <c r="J472" s="22">
        <f t="shared" si="42"/>
        <v>184</v>
      </c>
      <c r="K472" s="22">
        <f t="shared" si="43"/>
        <v>101</v>
      </c>
      <c r="L472" s="22">
        <f t="shared" si="44"/>
        <v>83</v>
      </c>
      <c r="M472" s="22">
        <f t="shared" si="45"/>
        <v>190</v>
      </c>
      <c r="N472" s="24">
        <f t="shared" si="46"/>
        <v>0.43684210526315792</v>
      </c>
      <c r="O472" s="24"/>
      <c r="P472" s="24" t="str">
        <f t="shared" si="47"/>
        <v/>
      </c>
      <c r="Q472" s="22"/>
    </row>
    <row r="473" spans="1:17" ht="15" customHeight="1" x14ac:dyDescent="0.25">
      <c r="A473" s="22" t="s">
        <v>358</v>
      </c>
      <c r="B473" s="22">
        <v>12</v>
      </c>
      <c r="C473" s="22" t="s">
        <v>239</v>
      </c>
      <c r="D473" s="22">
        <v>-45</v>
      </c>
      <c r="E473" s="22" t="s">
        <v>298</v>
      </c>
      <c r="F473" s="22" t="s">
        <v>205</v>
      </c>
      <c r="G473" s="23">
        <v>40460</v>
      </c>
      <c r="H473" s="22">
        <v>1</v>
      </c>
      <c r="I473" s="22">
        <v>15</v>
      </c>
      <c r="J473" s="22">
        <f t="shared" si="42"/>
        <v>185</v>
      </c>
      <c r="K473" s="22">
        <f t="shared" si="43"/>
        <v>116</v>
      </c>
      <c r="L473" s="22">
        <f t="shared" si="44"/>
        <v>69</v>
      </c>
      <c r="M473" s="22">
        <f t="shared" si="45"/>
        <v>190</v>
      </c>
      <c r="N473" s="24">
        <f t="shared" si="46"/>
        <v>0.36315789473684212</v>
      </c>
      <c r="O473" s="24"/>
      <c r="P473" s="24" t="str">
        <f t="shared" si="47"/>
        <v/>
      </c>
      <c r="Q473" s="22"/>
    </row>
    <row r="474" spans="1:17" ht="15" customHeight="1" x14ac:dyDescent="0.25">
      <c r="A474" s="22" t="s">
        <v>358</v>
      </c>
      <c r="B474" s="22">
        <v>13</v>
      </c>
      <c r="C474" s="22" t="s">
        <v>387</v>
      </c>
      <c r="D474" s="22">
        <v>-30</v>
      </c>
      <c r="E474" s="22" t="s">
        <v>298</v>
      </c>
      <c r="F474" s="22" t="s">
        <v>205</v>
      </c>
      <c r="G474" s="23">
        <v>40460</v>
      </c>
      <c r="H474" s="22">
        <v>3</v>
      </c>
      <c r="I474" s="22">
        <v>18</v>
      </c>
      <c r="J474" s="22">
        <f t="shared" si="42"/>
        <v>188</v>
      </c>
      <c r="K474" s="22">
        <f t="shared" si="43"/>
        <v>134</v>
      </c>
      <c r="L474" s="22">
        <f t="shared" si="44"/>
        <v>54</v>
      </c>
      <c r="M474" s="22">
        <f t="shared" si="45"/>
        <v>190</v>
      </c>
      <c r="N474" s="24">
        <f t="shared" si="46"/>
        <v>0.28421052631578947</v>
      </c>
      <c r="O474" s="24"/>
      <c r="P474" s="24" t="str">
        <f t="shared" si="47"/>
        <v/>
      </c>
      <c r="Q474" s="22"/>
    </row>
    <row r="475" spans="1:17" ht="15" customHeight="1" x14ac:dyDescent="0.25">
      <c r="A475" s="22" t="s">
        <v>358</v>
      </c>
      <c r="B475" s="22">
        <v>14</v>
      </c>
      <c r="C475" s="22" t="s">
        <v>468</v>
      </c>
      <c r="D475" s="22">
        <v>-15</v>
      </c>
      <c r="E475" s="22" t="s">
        <v>298</v>
      </c>
      <c r="F475" s="22" t="s">
        <v>205</v>
      </c>
      <c r="G475" s="23">
        <v>40460</v>
      </c>
      <c r="H475" s="22">
        <v>1</v>
      </c>
      <c r="I475" s="22">
        <v>21</v>
      </c>
      <c r="J475" s="22">
        <f t="shared" si="42"/>
        <v>189</v>
      </c>
      <c r="K475" s="22">
        <f t="shared" si="43"/>
        <v>155</v>
      </c>
      <c r="L475" s="22">
        <f t="shared" si="44"/>
        <v>34</v>
      </c>
      <c r="M475" s="22">
        <f t="shared" si="45"/>
        <v>190</v>
      </c>
      <c r="N475" s="24">
        <f t="shared" si="46"/>
        <v>0.17894736842105263</v>
      </c>
      <c r="O475" s="24"/>
      <c r="P475" s="24" t="str">
        <f t="shared" si="47"/>
        <v/>
      </c>
      <c r="Q475" s="22"/>
    </row>
    <row r="476" spans="1:17" ht="15" customHeight="1" x14ac:dyDescent="0.25">
      <c r="A476" s="22" t="s">
        <v>358</v>
      </c>
      <c r="B476" s="22">
        <v>15</v>
      </c>
      <c r="C476" s="22" t="s">
        <v>469</v>
      </c>
      <c r="D476" s="22">
        <v>0</v>
      </c>
      <c r="E476" s="22" t="s">
        <v>298</v>
      </c>
      <c r="F476" s="22" t="s">
        <v>205</v>
      </c>
      <c r="G476" s="23">
        <v>40460</v>
      </c>
      <c r="H476" s="22">
        <v>1</v>
      </c>
      <c r="I476" s="22">
        <v>11</v>
      </c>
      <c r="J476" s="22">
        <f t="shared" si="42"/>
        <v>190</v>
      </c>
      <c r="K476" s="22">
        <f t="shared" si="43"/>
        <v>166</v>
      </c>
      <c r="L476" s="22">
        <f t="shared" si="44"/>
        <v>24</v>
      </c>
      <c r="M476" s="22">
        <f t="shared" si="45"/>
        <v>190</v>
      </c>
      <c r="N476" s="24">
        <f t="shared" si="46"/>
        <v>0.12631578947368421</v>
      </c>
      <c r="O476" s="24"/>
      <c r="P476" s="24" t="str">
        <f t="shared" si="47"/>
        <v/>
      </c>
      <c r="Q476" s="22"/>
    </row>
    <row r="477" spans="1:17" ht="15" customHeight="1" x14ac:dyDescent="0.25">
      <c r="A477" s="22" t="s">
        <v>358</v>
      </c>
      <c r="B477" s="22">
        <v>16</v>
      </c>
      <c r="C477" s="22" t="s">
        <v>351</v>
      </c>
      <c r="D477" s="22">
        <v>15</v>
      </c>
      <c r="E477" s="22" t="s">
        <v>298</v>
      </c>
      <c r="F477" s="22" t="s">
        <v>205</v>
      </c>
      <c r="G477" s="23">
        <v>40460</v>
      </c>
      <c r="H477" s="22">
        <v>0</v>
      </c>
      <c r="I477" s="22">
        <v>7</v>
      </c>
      <c r="J477" s="22">
        <f t="shared" si="42"/>
        <v>190</v>
      </c>
      <c r="K477" s="22">
        <f t="shared" si="43"/>
        <v>173</v>
      </c>
      <c r="L477" s="22">
        <f t="shared" si="44"/>
        <v>17</v>
      </c>
      <c r="M477" s="22">
        <f t="shared" si="45"/>
        <v>190</v>
      </c>
      <c r="N477" s="24">
        <f t="shared" si="46"/>
        <v>8.9473684210526316E-2</v>
      </c>
      <c r="O477" s="24"/>
      <c r="P477" s="24" t="str">
        <f t="shared" si="47"/>
        <v/>
      </c>
      <c r="Q477" s="22"/>
    </row>
    <row r="478" spans="1:17" ht="15" customHeight="1" x14ac:dyDescent="0.25">
      <c r="A478" s="22" t="s">
        <v>358</v>
      </c>
      <c r="B478" s="22">
        <v>17</v>
      </c>
      <c r="C478" s="22" t="s">
        <v>311</v>
      </c>
      <c r="D478" s="22">
        <v>30</v>
      </c>
      <c r="E478" s="22" t="s">
        <v>298</v>
      </c>
      <c r="F478" s="22" t="s">
        <v>205</v>
      </c>
      <c r="G478" s="23">
        <v>40460</v>
      </c>
      <c r="H478" s="22">
        <v>0</v>
      </c>
      <c r="I478" s="22">
        <v>4</v>
      </c>
      <c r="J478" s="22">
        <f t="shared" si="42"/>
        <v>190</v>
      </c>
      <c r="K478" s="22">
        <f t="shared" si="43"/>
        <v>177</v>
      </c>
      <c r="L478" s="22">
        <f t="shared" si="44"/>
        <v>13</v>
      </c>
      <c r="M478" s="22">
        <f t="shared" si="45"/>
        <v>190</v>
      </c>
      <c r="N478" s="24">
        <f t="shared" si="46"/>
        <v>6.8421052631578952E-2</v>
      </c>
      <c r="O478" s="24"/>
      <c r="P478" s="24" t="str">
        <f t="shared" si="47"/>
        <v/>
      </c>
      <c r="Q478" s="22"/>
    </row>
    <row r="479" spans="1:17" ht="15" customHeight="1" x14ac:dyDescent="0.25">
      <c r="A479" s="22" t="s">
        <v>364</v>
      </c>
      <c r="B479" s="22">
        <v>2</v>
      </c>
      <c r="C479" s="22" t="s">
        <v>325</v>
      </c>
      <c r="D479" s="22">
        <v>-195</v>
      </c>
      <c r="E479" s="22" t="s">
        <v>298</v>
      </c>
      <c r="F479" s="22" t="s">
        <v>183</v>
      </c>
      <c r="G479" s="23">
        <v>40654</v>
      </c>
      <c r="H479" s="22">
        <v>6</v>
      </c>
      <c r="I479" s="22">
        <v>0</v>
      </c>
      <c r="J479" s="22">
        <f t="shared" si="42"/>
        <v>6</v>
      </c>
      <c r="K479" s="22">
        <f t="shared" si="43"/>
        <v>0</v>
      </c>
      <c r="L479" s="22">
        <f t="shared" si="44"/>
        <v>6</v>
      </c>
      <c r="M479" s="22">
        <f t="shared" si="45"/>
        <v>185</v>
      </c>
      <c r="N479" s="24">
        <f t="shared" si="46"/>
        <v>3.2432432432432434E-2</v>
      </c>
      <c r="O479" s="24"/>
      <c r="P479" s="24" t="str">
        <f t="shared" si="47"/>
        <v/>
      </c>
      <c r="Q479" s="22"/>
    </row>
    <row r="480" spans="1:17" ht="15" customHeight="1" x14ac:dyDescent="0.25">
      <c r="A480" s="22" t="s">
        <v>364</v>
      </c>
      <c r="B480" s="22">
        <v>3</v>
      </c>
      <c r="C480" s="22" t="s">
        <v>464</v>
      </c>
      <c r="D480" s="22">
        <v>-180</v>
      </c>
      <c r="E480" s="22" t="s">
        <v>298</v>
      </c>
      <c r="F480" s="22" t="s">
        <v>183</v>
      </c>
      <c r="G480" s="23">
        <v>40654</v>
      </c>
      <c r="H480" s="22">
        <v>9</v>
      </c>
      <c r="I480" s="22">
        <v>0</v>
      </c>
      <c r="J480" s="22">
        <f t="shared" si="42"/>
        <v>15</v>
      </c>
      <c r="K480" s="22">
        <f t="shared" si="43"/>
        <v>0</v>
      </c>
      <c r="L480" s="22">
        <f t="shared" si="44"/>
        <v>15</v>
      </c>
      <c r="M480" s="22">
        <f t="shared" si="45"/>
        <v>185</v>
      </c>
      <c r="N480" s="24">
        <f t="shared" si="46"/>
        <v>8.1081081081081086E-2</v>
      </c>
      <c r="O480" s="24"/>
      <c r="P480" s="24" t="str">
        <f t="shared" si="47"/>
        <v/>
      </c>
      <c r="Q480" s="22"/>
    </row>
    <row r="481" spans="1:17" ht="15" customHeight="1" x14ac:dyDescent="0.25">
      <c r="A481" s="22" t="s">
        <v>364</v>
      </c>
      <c r="B481" s="22">
        <v>4</v>
      </c>
      <c r="C481" s="22" t="s">
        <v>465</v>
      </c>
      <c r="D481" s="22">
        <v>-165</v>
      </c>
      <c r="E481" s="22" t="s">
        <v>298</v>
      </c>
      <c r="F481" s="22" t="s">
        <v>183</v>
      </c>
      <c r="G481" s="23">
        <v>40654</v>
      </c>
      <c r="H481" s="22">
        <v>6</v>
      </c>
      <c r="I481" s="22">
        <v>1</v>
      </c>
      <c r="J481" s="22">
        <f t="shared" si="42"/>
        <v>21</v>
      </c>
      <c r="K481" s="22">
        <f t="shared" si="43"/>
        <v>1</v>
      </c>
      <c r="L481" s="22">
        <f t="shared" si="44"/>
        <v>20</v>
      </c>
      <c r="M481" s="22">
        <f t="shared" si="45"/>
        <v>185</v>
      </c>
      <c r="N481" s="24">
        <f t="shared" si="46"/>
        <v>0.10810810810810811</v>
      </c>
      <c r="O481" s="24"/>
      <c r="P481" s="24" t="str">
        <f t="shared" si="47"/>
        <v/>
      </c>
      <c r="Q481" s="22"/>
    </row>
    <row r="482" spans="1:17" ht="15" customHeight="1" x14ac:dyDescent="0.25">
      <c r="A482" s="22" t="s">
        <v>364</v>
      </c>
      <c r="B482" s="22">
        <v>5</v>
      </c>
      <c r="C482" s="22" t="s">
        <v>466</v>
      </c>
      <c r="D482" s="22">
        <v>-150</v>
      </c>
      <c r="E482" s="22" t="s">
        <v>298</v>
      </c>
      <c r="F482" s="22" t="s">
        <v>183</v>
      </c>
      <c r="G482" s="23">
        <v>40654</v>
      </c>
      <c r="H482" s="22">
        <v>14</v>
      </c>
      <c r="I482" s="22">
        <v>0</v>
      </c>
      <c r="J482" s="22">
        <f t="shared" si="42"/>
        <v>35</v>
      </c>
      <c r="K482" s="22">
        <f t="shared" si="43"/>
        <v>1</v>
      </c>
      <c r="L482" s="22">
        <f t="shared" si="44"/>
        <v>34</v>
      </c>
      <c r="M482" s="22">
        <f t="shared" si="45"/>
        <v>185</v>
      </c>
      <c r="N482" s="24">
        <f t="shared" si="46"/>
        <v>0.18378378378378379</v>
      </c>
      <c r="O482" s="24"/>
      <c r="P482" s="24" t="str">
        <f t="shared" si="47"/>
        <v/>
      </c>
      <c r="Q482" s="22"/>
    </row>
    <row r="483" spans="1:17" ht="15" customHeight="1" x14ac:dyDescent="0.25">
      <c r="A483" s="22" t="s">
        <v>364</v>
      </c>
      <c r="B483" s="22">
        <v>6</v>
      </c>
      <c r="C483" s="22" t="s">
        <v>467</v>
      </c>
      <c r="D483" s="22">
        <v>-135</v>
      </c>
      <c r="E483" s="22" t="s">
        <v>298</v>
      </c>
      <c r="F483" s="22" t="s">
        <v>183</v>
      </c>
      <c r="G483" s="23">
        <v>40654</v>
      </c>
      <c r="H483" s="22">
        <v>14</v>
      </c>
      <c r="I483" s="22">
        <v>3</v>
      </c>
      <c r="J483" s="22">
        <f t="shared" si="42"/>
        <v>49</v>
      </c>
      <c r="K483" s="22">
        <f t="shared" si="43"/>
        <v>4</v>
      </c>
      <c r="L483" s="22">
        <f t="shared" si="44"/>
        <v>45</v>
      </c>
      <c r="M483" s="22">
        <f t="shared" si="45"/>
        <v>185</v>
      </c>
      <c r="N483" s="24">
        <f t="shared" si="46"/>
        <v>0.24324324324324326</v>
      </c>
      <c r="O483" s="24"/>
      <c r="P483" s="24" t="str">
        <f t="shared" si="47"/>
        <v/>
      </c>
      <c r="Q483" s="22"/>
    </row>
    <row r="484" spans="1:17" ht="15" customHeight="1" x14ac:dyDescent="0.25">
      <c r="A484" s="22" t="s">
        <v>364</v>
      </c>
      <c r="B484" s="22">
        <v>7</v>
      </c>
      <c r="C484" s="22" t="s">
        <v>212</v>
      </c>
      <c r="D484" s="22">
        <v>-120</v>
      </c>
      <c r="E484" s="22" t="s">
        <v>298</v>
      </c>
      <c r="F484" s="22" t="s">
        <v>183</v>
      </c>
      <c r="G484" s="23">
        <v>40654</v>
      </c>
      <c r="H484" s="22">
        <v>28</v>
      </c>
      <c r="I484" s="22">
        <v>3</v>
      </c>
      <c r="J484" s="22">
        <f t="shared" si="42"/>
        <v>77</v>
      </c>
      <c r="K484" s="22">
        <f t="shared" si="43"/>
        <v>7</v>
      </c>
      <c r="L484" s="22">
        <f t="shared" si="44"/>
        <v>70</v>
      </c>
      <c r="M484" s="22">
        <f t="shared" si="45"/>
        <v>185</v>
      </c>
      <c r="N484" s="24">
        <f t="shared" si="46"/>
        <v>0.3783783783783784</v>
      </c>
      <c r="O484" s="24"/>
      <c r="P484" s="24" t="str">
        <f t="shared" si="47"/>
        <v/>
      </c>
      <c r="Q484" s="22"/>
    </row>
    <row r="485" spans="1:17" ht="15" customHeight="1" x14ac:dyDescent="0.25">
      <c r="A485" s="22" t="s">
        <v>364</v>
      </c>
      <c r="B485" s="22">
        <v>8</v>
      </c>
      <c r="C485" s="22" t="s">
        <v>226</v>
      </c>
      <c r="D485" s="22">
        <v>-105</v>
      </c>
      <c r="E485" s="22" t="s">
        <v>298</v>
      </c>
      <c r="F485" s="22" t="s">
        <v>183</v>
      </c>
      <c r="G485" s="23">
        <v>40654</v>
      </c>
      <c r="H485" s="22">
        <v>26</v>
      </c>
      <c r="I485" s="22">
        <v>5</v>
      </c>
      <c r="J485" s="22">
        <f t="shared" si="42"/>
        <v>103</v>
      </c>
      <c r="K485" s="22">
        <f t="shared" si="43"/>
        <v>12</v>
      </c>
      <c r="L485" s="22">
        <f t="shared" si="44"/>
        <v>91</v>
      </c>
      <c r="M485" s="22">
        <f t="shared" si="45"/>
        <v>185</v>
      </c>
      <c r="N485" s="24">
        <f t="shared" si="46"/>
        <v>0.49189189189189192</v>
      </c>
      <c r="O485" s="24"/>
      <c r="P485" s="24" t="str">
        <f t="shared" si="47"/>
        <v/>
      </c>
      <c r="Q485" s="22"/>
    </row>
    <row r="486" spans="1:17" ht="15" customHeight="1" x14ac:dyDescent="0.25">
      <c r="A486" s="22" t="s">
        <v>364</v>
      </c>
      <c r="B486" s="22">
        <v>9</v>
      </c>
      <c r="C486" s="22" t="s">
        <v>264</v>
      </c>
      <c r="D486" s="22">
        <v>-90</v>
      </c>
      <c r="E486" s="22" t="s">
        <v>298</v>
      </c>
      <c r="F486" s="22" t="s">
        <v>183</v>
      </c>
      <c r="G486" s="23">
        <v>40654</v>
      </c>
      <c r="H486" s="22">
        <v>23</v>
      </c>
      <c r="I486" s="22">
        <v>6</v>
      </c>
      <c r="J486" s="22">
        <f t="shared" si="42"/>
        <v>126</v>
      </c>
      <c r="K486" s="22">
        <f t="shared" si="43"/>
        <v>18</v>
      </c>
      <c r="L486" s="22">
        <f t="shared" si="44"/>
        <v>108</v>
      </c>
      <c r="M486" s="22">
        <f t="shared" si="45"/>
        <v>185</v>
      </c>
      <c r="N486" s="24">
        <f t="shared" si="46"/>
        <v>0.58378378378378382</v>
      </c>
      <c r="O486" s="24"/>
      <c r="P486" s="24" t="str">
        <f t="shared" si="47"/>
        <v/>
      </c>
      <c r="Q486" s="22"/>
    </row>
    <row r="487" spans="1:17" ht="15" customHeight="1" x14ac:dyDescent="0.25">
      <c r="A487" s="22" t="s">
        <v>364</v>
      </c>
      <c r="B487" s="22">
        <v>10</v>
      </c>
      <c r="C487" s="22" t="s">
        <v>191</v>
      </c>
      <c r="D487" s="22">
        <v>-75</v>
      </c>
      <c r="E487" s="22" t="s">
        <v>298</v>
      </c>
      <c r="F487" s="22" t="s">
        <v>183</v>
      </c>
      <c r="G487" s="23">
        <v>40654</v>
      </c>
      <c r="H487" s="22">
        <v>20</v>
      </c>
      <c r="I487" s="22">
        <v>8</v>
      </c>
      <c r="J487" s="22">
        <f t="shared" si="42"/>
        <v>146</v>
      </c>
      <c r="K487" s="22">
        <f t="shared" si="43"/>
        <v>26</v>
      </c>
      <c r="L487" s="22">
        <f t="shared" si="44"/>
        <v>120</v>
      </c>
      <c r="M487" s="22">
        <f t="shared" si="45"/>
        <v>185</v>
      </c>
      <c r="N487" s="24">
        <f t="shared" si="46"/>
        <v>0.64864864864864868</v>
      </c>
      <c r="O487" s="24"/>
      <c r="P487" s="24" t="str">
        <f t="shared" si="47"/>
        <v/>
      </c>
      <c r="Q487" s="22"/>
    </row>
    <row r="488" spans="1:17" ht="15" customHeight="1" x14ac:dyDescent="0.25">
      <c r="A488" s="22" t="s">
        <v>364</v>
      </c>
      <c r="B488" s="22">
        <v>11</v>
      </c>
      <c r="C488" s="22" t="s">
        <v>231</v>
      </c>
      <c r="D488" s="22">
        <v>-60</v>
      </c>
      <c r="E488" s="22" t="s">
        <v>298</v>
      </c>
      <c r="F488" s="22" t="s">
        <v>183</v>
      </c>
      <c r="G488" s="23">
        <v>40654</v>
      </c>
      <c r="H488" s="22">
        <v>3</v>
      </c>
      <c r="I488" s="22">
        <v>16</v>
      </c>
      <c r="J488" s="22">
        <f t="shared" si="42"/>
        <v>149</v>
      </c>
      <c r="K488" s="22">
        <f t="shared" si="43"/>
        <v>42</v>
      </c>
      <c r="L488" s="22">
        <f t="shared" si="44"/>
        <v>107</v>
      </c>
      <c r="M488" s="22">
        <f t="shared" si="45"/>
        <v>185</v>
      </c>
      <c r="N488" s="24">
        <f t="shared" si="46"/>
        <v>0.57837837837837835</v>
      </c>
      <c r="O488" s="24"/>
      <c r="P488" s="24" t="str">
        <f t="shared" si="47"/>
        <v/>
      </c>
      <c r="Q488" s="22"/>
    </row>
    <row r="489" spans="1:17" ht="15" customHeight="1" x14ac:dyDescent="0.25">
      <c r="A489" s="22" t="s">
        <v>364</v>
      </c>
      <c r="B489" s="22">
        <v>12</v>
      </c>
      <c r="C489" s="22" t="s">
        <v>239</v>
      </c>
      <c r="D489" s="22">
        <v>-45</v>
      </c>
      <c r="E489" s="22" t="s">
        <v>298</v>
      </c>
      <c r="F489" s="22" t="s">
        <v>183</v>
      </c>
      <c r="G489" s="23">
        <v>40654</v>
      </c>
      <c r="H489" s="22">
        <v>8</v>
      </c>
      <c r="I489" s="22">
        <v>15</v>
      </c>
      <c r="J489" s="22">
        <f t="shared" si="42"/>
        <v>157</v>
      </c>
      <c r="K489" s="22">
        <f t="shared" si="43"/>
        <v>57</v>
      </c>
      <c r="L489" s="22">
        <f t="shared" si="44"/>
        <v>100</v>
      </c>
      <c r="M489" s="22">
        <f t="shared" si="45"/>
        <v>185</v>
      </c>
      <c r="N489" s="24">
        <f t="shared" si="46"/>
        <v>0.54054054054054057</v>
      </c>
      <c r="O489" s="24"/>
      <c r="P489" s="24" t="str">
        <f t="shared" si="47"/>
        <v/>
      </c>
      <c r="Q489" s="22"/>
    </row>
    <row r="490" spans="1:17" ht="15" customHeight="1" x14ac:dyDescent="0.25">
      <c r="A490" s="22" t="s">
        <v>364</v>
      </c>
      <c r="B490" s="22">
        <v>13</v>
      </c>
      <c r="C490" s="22" t="s">
        <v>387</v>
      </c>
      <c r="D490" s="22">
        <v>-30</v>
      </c>
      <c r="E490" s="22" t="s">
        <v>298</v>
      </c>
      <c r="F490" s="22" t="s">
        <v>183</v>
      </c>
      <c r="G490" s="23">
        <v>40654</v>
      </c>
      <c r="H490" s="22">
        <v>6</v>
      </c>
      <c r="I490" s="22">
        <v>13</v>
      </c>
      <c r="J490" s="22">
        <f t="shared" si="42"/>
        <v>163</v>
      </c>
      <c r="K490" s="22">
        <f t="shared" si="43"/>
        <v>70</v>
      </c>
      <c r="L490" s="22">
        <f t="shared" si="44"/>
        <v>93</v>
      </c>
      <c r="M490" s="22">
        <f t="shared" si="45"/>
        <v>185</v>
      </c>
      <c r="N490" s="24">
        <f t="shared" si="46"/>
        <v>0.50270270270270268</v>
      </c>
      <c r="O490" s="24"/>
      <c r="P490" s="24" t="str">
        <f t="shared" si="47"/>
        <v/>
      </c>
      <c r="Q490" s="22"/>
    </row>
    <row r="491" spans="1:17" ht="15" customHeight="1" x14ac:dyDescent="0.25">
      <c r="A491" s="22" t="s">
        <v>364</v>
      </c>
      <c r="B491" s="22">
        <v>14</v>
      </c>
      <c r="C491" s="22" t="s">
        <v>468</v>
      </c>
      <c r="D491" s="22">
        <v>-15</v>
      </c>
      <c r="E491" s="22" t="s">
        <v>298</v>
      </c>
      <c r="F491" s="22" t="s">
        <v>183</v>
      </c>
      <c r="G491" s="23">
        <v>40654</v>
      </c>
      <c r="H491" s="22">
        <v>6</v>
      </c>
      <c r="I491" s="22">
        <v>25</v>
      </c>
      <c r="J491" s="22">
        <f t="shared" si="42"/>
        <v>169</v>
      </c>
      <c r="K491" s="22">
        <f t="shared" si="43"/>
        <v>95</v>
      </c>
      <c r="L491" s="22">
        <f t="shared" si="44"/>
        <v>74</v>
      </c>
      <c r="M491" s="22">
        <f t="shared" si="45"/>
        <v>185</v>
      </c>
      <c r="N491" s="24">
        <f t="shared" si="46"/>
        <v>0.4</v>
      </c>
      <c r="O491" s="24"/>
      <c r="P491" s="24" t="str">
        <f t="shared" si="47"/>
        <v/>
      </c>
      <c r="Q491" s="22"/>
    </row>
    <row r="492" spans="1:17" ht="15" customHeight="1" x14ac:dyDescent="0.25">
      <c r="A492" s="22" t="s">
        <v>364</v>
      </c>
      <c r="B492" s="22">
        <v>15</v>
      </c>
      <c r="C492" s="22" t="s">
        <v>469</v>
      </c>
      <c r="D492" s="22">
        <v>0</v>
      </c>
      <c r="E492" s="22" t="s">
        <v>298</v>
      </c>
      <c r="F492" s="22" t="s">
        <v>183</v>
      </c>
      <c r="G492" s="23">
        <v>40654</v>
      </c>
      <c r="H492" s="22">
        <v>5</v>
      </c>
      <c r="I492" s="22">
        <v>37</v>
      </c>
      <c r="J492" s="22">
        <f t="shared" si="42"/>
        <v>174</v>
      </c>
      <c r="K492" s="22">
        <f t="shared" si="43"/>
        <v>132</v>
      </c>
      <c r="L492" s="22">
        <f t="shared" si="44"/>
        <v>42</v>
      </c>
      <c r="M492" s="22">
        <f t="shared" si="45"/>
        <v>185</v>
      </c>
      <c r="N492" s="24">
        <f t="shared" si="46"/>
        <v>0.22702702702702704</v>
      </c>
      <c r="O492" s="24"/>
      <c r="P492" s="24" t="str">
        <f t="shared" si="47"/>
        <v/>
      </c>
      <c r="Q492" s="22"/>
    </row>
    <row r="493" spans="1:17" ht="15" customHeight="1" x14ac:dyDescent="0.25">
      <c r="A493" s="22" t="s">
        <v>364</v>
      </c>
      <c r="B493" s="22">
        <v>16</v>
      </c>
      <c r="C493" s="22" t="s">
        <v>351</v>
      </c>
      <c r="D493" s="22">
        <v>15</v>
      </c>
      <c r="E493" s="22" t="s">
        <v>298</v>
      </c>
      <c r="F493" s="22" t="s">
        <v>183</v>
      </c>
      <c r="G493" s="23">
        <v>40654</v>
      </c>
      <c r="H493" s="22">
        <v>5</v>
      </c>
      <c r="I493" s="22">
        <v>21</v>
      </c>
      <c r="J493" s="22">
        <f t="shared" si="42"/>
        <v>179</v>
      </c>
      <c r="K493" s="22">
        <f t="shared" si="43"/>
        <v>153</v>
      </c>
      <c r="L493" s="22">
        <f t="shared" si="44"/>
        <v>26</v>
      </c>
      <c r="M493" s="22">
        <f t="shared" si="45"/>
        <v>185</v>
      </c>
      <c r="N493" s="24">
        <f t="shared" si="46"/>
        <v>0.14054054054054055</v>
      </c>
      <c r="O493" s="24"/>
      <c r="P493" s="24" t="str">
        <f t="shared" si="47"/>
        <v/>
      </c>
      <c r="Q493" s="22"/>
    </row>
    <row r="494" spans="1:17" ht="15" customHeight="1" x14ac:dyDescent="0.25">
      <c r="A494" s="22" t="s">
        <v>364</v>
      </c>
      <c r="B494" s="22">
        <v>17</v>
      </c>
      <c r="C494" s="22" t="s">
        <v>311</v>
      </c>
      <c r="D494" s="22">
        <v>30</v>
      </c>
      <c r="E494" s="22" t="s">
        <v>298</v>
      </c>
      <c r="F494" s="22" t="s">
        <v>183</v>
      </c>
      <c r="G494" s="23">
        <v>40654</v>
      </c>
      <c r="H494" s="22">
        <v>3</v>
      </c>
      <c r="I494" s="22">
        <v>12</v>
      </c>
      <c r="J494" s="22">
        <f t="shared" si="42"/>
        <v>182</v>
      </c>
      <c r="K494" s="22">
        <f t="shared" si="43"/>
        <v>165</v>
      </c>
      <c r="L494" s="22">
        <f t="shared" si="44"/>
        <v>17</v>
      </c>
      <c r="M494" s="22">
        <f t="shared" si="45"/>
        <v>185</v>
      </c>
      <c r="N494" s="24">
        <f t="shared" si="46"/>
        <v>9.1891891891891897E-2</v>
      </c>
      <c r="O494" s="24"/>
      <c r="P494" s="24" t="str">
        <f t="shared" si="47"/>
        <v/>
      </c>
      <c r="Q494" s="22"/>
    </row>
    <row r="495" spans="1:17" ht="15" customHeight="1" x14ac:dyDescent="0.25">
      <c r="A495" s="22" t="s">
        <v>364</v>
      </c>
      <c r="B495" s="22">
        <v>18</v>
      </c>
      <c r="C495" s="22" t="s">
        <v>211</v>
      </c>
      <c r="D495" s="22">
        <v>45</v>
      </c>
      <c r="E495" s="22" t="s">
        <v>298</v>
      </c>
      <c r="F495" s="22" t="s">
        <v>183</v>
      </c>
      <c r="G495" s="23">
        <v>40654</v>
      </c>
      <c r="H495" s="22">
        <v>3</v>
      </c>
      <c r="I495" s="22">
        <v>8</v>
      </c>
      <c r="J495" s="22">
        <f t="shared" si="42"/>
        <v>185</v>
      </c>
      <c r="K495" s="22">
        <f t="shared" si="43"/>
        <v>173</v>
      </c>
      <c r="L495" s="22">
        <f t="shared" si="44"/>
        <v>12</v>
      </c>
      <c r="M495" s="22">
        <f t="shared" si="45"/>
        <v>185</v>
      </c>
      <c r="N495" s="24">
        <f t="shared" si="46"/>
        <v>6.4864864864864868E-2</v>
      </c>
      <c r="O495" s="24"/>
      <c r="P495" s="24" t="str">
        <f t="shared" si="47"/>
        <v/>
      </c>
      <c r="Q495" s="22"/>
    </row>
    <row r="496" spans="1:17" ht="15" customHeight="1" x14ac:dyDescent="0.25">
      <c r="A496" s="22" t="s">
        <v>367</v>
      </c>
      <c r="B496" s="22">
        <v>0</v>
      </c>
      <c r="C496" s="22" t="s">
        <v>189</v>
      </c>
      <c r="D496" s="22"/>
      <c r="E496" s="22" t="s">
        <v>298</v>
      </c>
      <c r="F496" s="22" t="s">
        <v>183</v>
      </c>
      <c r="G496" s="23">
        <v>44654</v>
      </c>
      <c r="H496" s="22">
        <v>2</v>
      </c>
      <c r="I496" s="22">
        <v>0</v>
      </c>
      <c r="J496" s="22">
        <f t="shared" si="42"/>
        <v>2</v>
      </c>
      <c r="K496" s="22">
        <f t="shared" si="43"/>
        <v>0</v>
      </c>
      <c r="L496" s="22">
        <f t="shared" si="44"/>
        <v>2</v>
      </c>
      <c r="M496" s="22">
        <f t="shared" si="45"/>
        <v>239</v>
      </c>
      <c r="N496" s="24">
        <f t="shared" si="46"/>
        <v>8.368200836820083E-3</v>
      </c>
      <c r="O496" s="24">
        <v>8.3682008368200795E-3</v>
      </c>
      <c r="P496" s="24">
        <f t="shared" si="47"/>
        <v>3.4694469519536142E-18</v>
      </c>
      <c r="Q496" s="22"/>
    </row>
    <row r="497" spans="1:17" ht="15" customHeight="1" x14ac:dyDescent="0.25">
      <c r="A497" s="22" t="s">
        <v>367</v>
      </c>
      <c r="B497" s="22">
        <v>3</v>
      </c>
      <c r="C497" s="22" t="s">
        <v>464</v>
      </c>
      <c r="D497" s="22">
        <v>-180</v>
      </c>
      <c r="E497" s="22" t="s">
        <v>298</v>
      </c>
      <c r="F497" s="22" t="s">
        <v>183</v>
      </c>
      <c r="G497" s="23">
        <v>44654</v>
      </c>
      <c r="H497" s="22">
        <v>0</v>
      </c>
      <c r="I497" s="22">
        <v>0</v>
      </c>
      <c r="J497" s="22">
        <f t="shared" si="42"/>
        <v>2</v>
      </c>
      <c r="K497" s="22">
        <f t="shared" si="43"/>
        <v>0</v>
      </c>
      <c r="L497" s="22">
        <f t="shared" si="44"/>
        <v>2</v>
      </c>
      <c r="M497" s="22">
        <f t="shared" si="45"/>
        <v>239</v>
      </c>
      <c r="N497" s="24">
        <f t="shared" si="46"/>
        <v>8.368200836820083E-3</v>
      </c>
      <c r="O497" s="24">
        <v>8.3682008368200795E-3</v>
      </c>
      <c r="P497" s="24">
        <f t="shared" si="47"/>
        <v>3.4694469519536142E-18</v>
      </c>
      <c r="Q497" s="22"/>
    </row>
    <row r="498" spans="1:17" ht="15" customHeight="1" x14ac:dyDescent="0.25">
      <c r="A498" s="22" t="s">
        <v>367</v>
      </c>
      <c r="B498" s="22">
        <v>4</v>
      </c>
      <c r="C498" s="22" t="s">
        <v>465</v>
      </c>
      <c r="D498" s="22">
        <v>-165</v>
      </c>
      <c r="E498" s="22" t="s">
        <v>298</v>
      </c>
      <c r="F498" s="22" t="s">
        <v>183</v>
      </c>
      <c r="G498" s="23">
        <v>44654</v>
      </c>
      <c r="H498" s="22">
        <v>1</v>
      </c>
      <c r="I498" s="22">
        <v>0</v>
      </c>
      <c r="J498" s="22">
        <f t="shared" si="42"/>
        <v>3</v>
      </c>
      <c r="K498" s="22">
        <f t="shared" si="43"/>
        <v>0</v>
      </c>
      <c r="L498" s="22">
        <f t="shared" si="44"/>
        <v>3</v>
      </c>
      <c r="M498" s="22">
        <f t="shared" si="45"/>
        <v>239</v>
      </c>
      <c r="N498" s="24">
        <f t="shared" si="46"/>
        <v>1.2552301255230125E-2</v>
      </c>
      <c r="O498" s="24">
        <v>1.2552301255230099E-2</v>
      </c>
      <c r="P498" s="24">
        <f t="shared" si="47"/>
        <v>2.6020852139652106E-17</v>
      </c>
      <c r="Q498" s="22"/>
    </row>
    <row r="499" spans="1:17" ht="15" customHeight="1" x14ac:dyDescent="0.25">
      <c r="A499" s="22" t="s">
        <v>367</v>
      </c>
      <c r="B499" s="22">
        <v>5</v>
      </c>
      <c r="C499" s="22" t="s">
        <v>466</v>
      </c>
      <c r="D499" s="22">
        <v>-150</v>
      </c>
      <c r="E499" s="22" t="s">
        <v>298</v>
      </c>
      <c r="F499" s="22" t="s">
        <v>183</v>
      </c>
      <c r="G499" s="23">
        <v>44654</v>
      </c>
      <c r="H499" s="22">
        <v>6</v>
      </c>
      <c r="I499" s="22">
        <v>0</v>
      </c>
      <c r="J499" s="22">
        <f t="shared" si="42"/>
        <v>9</v>
      </c>
      <c r="K499" s="22">
        <f t="shared" si="43"/>
        <v>0</v>
      </c>
      <c r="L499" s="22">
        <f t="shared" si="44"/>
        <v>9</v>
      </c>
      <c r="M499" s="22">
        <f t="shared" si="45"/>
        <v>239</v>
      </c>
      <c r="N499" s="24">
        <f t="shared" si="46"/>
        <v>3.7656903765690378E-2</v>
      </c>
      <c r="O499" s="24">
        <v>3.7656903765690398E-2</v>
      </c>
      <c r="P499" s="24">
        <f t="shared" si="47"/>
        <v>-2.0816681711721685E-17</v>
      </c>
      <c r="Q499" s="22"/>
    </row>
    <row r="500" spans="1:17" ht="15" customHeight="1" x14ac:dyDescent="0.25">
      <c r="A500" s="22" t="s">
        <v>367</v>
      </c>
      <c r="B500" s="22">
        <v>6</v>
      </c>
      <c r="C500" s="22" t="s">
        <v>467</v>
      </c>
      <c r="D500" s="22">
        <v>-135</v>
      </c>
      <c r="E500" s="22" t="s">
        <v>298</v>
      </c>
      <c r="F500" s="22" t="s">
        <v>183</v>
      </c>
      <c r="G500" s="23">
        <v>44654</v>
      </c>
      <c r="H500" s="22">
        <v>15</v>
      </c>
      <c r="I500" s="22">
        <v>1</v>
      </c>
      <c r="J500" s="22">
        <f t="shared" si="42"/>
        <v>24</v>
      </c>
      <c r="K500" s="22">
        <f t="shared" si="43"/>
        <v>1</v>
      </c>
      <c r="L500" s="22">
        <f t="shared" si="44"/>
        <v>23</v>
      </c>
      <c r="M500" s="22">
        <f t="shared" si="45"/>
        <v>239</v>
      </c>
      <c r="N500" s="24">
        <f t="shared" si="46"/>
        <v>9.6234309623430964E-2</v>
      </c>
      <c r="O500" s="24">
        <v>9.6234309623431005E-2</v>
      </c>
      <c r="P500" s="24">
        <f t="shared" si="47"/>
        <v>-4.163336342344337E-17</v>
      </c>
      <c r="Q500" s="22"/>
    </row>
    <row r="501" spans="1:17" ht="15" customHeight="1" x14ac:dyDescent="0.25">
      <c r="A501" s="22" t="s">
        <v>367</v>
      </c>
      <c r="B501" s="22">
        <v>7</v>
      </c>
      <c r="C501" s="22" t="s">
        <v>212</v>
      </c>
      <c r="D501" s="22">
        <v>-120</v>
      </c>
      <c r="E501" s="22" t="s">
        <v>298</v>
      </c>
      <c r="F501" s="22" t="s">
        <v>183</v>
      </c>
      <c r="G501" s="23">
        <v>44654</v>
      </c>
      <c r="H501" s="22">
        <v>25</v>
      </c>
      <c r="I501" s="22">
        <v>0</v>
      </c>
      <c r="J501" s="22">
        <f t="shared" si="42"/>
        <v>49</v>
      </c>
      <c r="K501" s="22">
        <f t="shared" si="43"/>
        <v>1</v>
      </c>
      <c r="L501" s="22">
        <f t="shared" si="44"/>
        <v>48</v>
      </c>
      <c r="M501" s="22">
        <f t="shared" si="45"/>
        <v>239</v>
      </c>
      <c r="N501" s="24">
        <f t="shared" si="46"/>
        <v>0.20083682008368201</v>
      </c>
      <c r="O501" s="24">
        <v>0.20083682008368201</v>
      </c>
      <c r="P501" s="24">
        <f t="shared" si="47"/>
        <v>0</v>
      </c>
      <c r="Q501" s="22"/>
    </row>
    <row r="502" spans="1:17" ht="15" customHeight="1" x14ac:dyDescent="0.25">
      <c r="A502" s="22" t="s">
        <v>367</v>
      </c>
      <c r="B502" s="22">
        <v>8</v>
      </c>
      <c r="C502" s="22" t="s">
        <v>226</v>
      </c>
      <c r="D502" s="22">
        <v>-105</v>
      </c>
      <c r="E502" s="22" t="s">
        <v>298</v>
      </c>
      <c r="F502" s="22" t="s">
        <v>183</v>
      </c>
      <c r="G502" s="23">
        <v>44654</v>
      </c>
      <c r="H502" s="22">
        <v>31</v>
      </c>
      <c r="I502" s="22">
        <v>0</v>
      </c>
      <c r="J502" s="22">
        <f t="shared" si="42"/>
        <v>80</v>
      </c>
      <c r="K502" s="22">
        <f t="shared" si="43"/>
        <v>1</v>
      </c>
      <c r="L502" s="22">
        <f t="shared" si="44"/>
        <v>79</v>
      </c>
      <c r="M502" s="22">
        <f t="shared" si="45"/>
        <v>239</v>
      </c>
      <c r="N502" s="24">
        <f t="shared" si="46"/>
        <v>0.33054393305439328</v>
      </c>
      <c r="O502" s="24">
        <v>0.330543933054393</v>
      </c>
      <c r="P502" s="24">
        <f t="shared" si="47"/>
        <v>2.7755575615628914E-16</v>
      </c>
      <c r="Q502" s="22"/>
    </row>
    <row r="503" spans="1:17" ht="15" customHeight="1" x14ac:dyDescent="0.25">
      <c r="A503" s="22" t="s">
        <v>367</v>
      </c>
      <c r="B503" s="22">
        <v>9</v>
      </c>
      <c r="C503" s="22" t="s">
        <v>264</v>
      </c>
      <c r="D503" s="22">
        <v>-90</v>
      </c>
      <c r="E503" s="22" t="s">
        <v>298</v>
      </c>
      <c r="F503" s="22" t="s">
        <v>183</v>
      </c>
      <c r="G503" s="23">
        <v>44654</v>
      </c>
      <c r="H503" s="22">
        <v>38</v>
      </c>
      <c r="I503" s="22">
        <v>1</v>
      </c>
      <c r="J503" s="22">
        <f t="shared" si="42"/>
        <v>118</v>
      </c>
      <c r="K503" s="22">
        <f t="shared" si="43"/>
        <v>2</v>
      </c>
      <c r="L503" s="22">
        <f t="shared" si="44"/>
        <v>116</v>
      </c>
      <c r="M503" s="22">
        <f t="shared" si="45"/>
        <v>239</v>
      </c>
      <c r="N503" s="24">
        <f t="shared" si="46"/>
        <v>0.48535564853556484</v>
      </c>
      <c r="O503" s="24">
        <v>0.48535564853556501</v>
      </c>
      <c r="P503" s="24">
        <f t="shared" si="47"/>
        <v>-1.6653345369377348E-16</v>
      </c>
      <c r="Q503" s="22"/>
    </row>
    <row r="504" spans="1:17" ht="15" customHeight="1" x14ac:dyDescent="0.25">
      <c r="A504" s="22" t="s">
        <v>367</v>
      </c>
      <c r="B504" s="22">
        <v>10</v>
      </c>
      <c r="C504" s="22" t="s">
        <v>191</v>
      </c>
      <c r="D504" s="22">
        <v>-75</v>
      </c>
      <c r="E504" s="22" t="s">
        <v>298</v>
      </c>
      <c r="F504" s="22" t="s">
        <v>183</v>
      </c>
      <c r="G504" s="23">
        <v>44654</v>
      </c>
      <c r="H504" s="22">
        <v>27</v>
      </c>
      <c r="I504" s="22">
        <v>8</v>
      </c>
      <c r="J504" s="22">
        <f t="shared" si="42"/>
        <v>145</v>
      </c>
      <c r="K504" s="22">
        <f t="shared" si="43"/>
        <v>10</v>
      </c>
      <c r="L504" s="22">
        <f t="shared" si="44"/>
        <v>135</v>
      </c>
      <c r="M504" s="22">
        <f t="shared" si="45"/>
        <v>239</v>
      </c>
      <c r="N504" s="24">
        <f t="shared" si="46"/>
        <v>0.56485355648535562</v>
      </c>
      <c r="O504" s="24">
        <v>0.56485355648535596</v>
      </c>
      <c r="P504" s="24">
        <f t="shared" si="47"/>
        <v>-3.3306690738754696E-16</v>
      </c>
      <c r="Q504" s="22"/>
    </row>
    <row r="505" spans="1:17" ht="15" customHeight="1" x14ac:dyDescent="0.25">
      <c r="A505" s="22" t="s">
        <v>367</v>
      </c>
      <c r="B505" s="22">
        <v>11</v>
      </c>
      <c r="C505" s="22" t="s">
        <v>231</v>
      </c>
      <c r="D505" s="22">
        <v>-60</v>
      </c>
      <c r="E505" s="22" t="s">
        <v>298</v>
      </c>
      <c r="F505" s="22" t="s">
        <v>183</v>
      </c>
      <c r="G505" s="23">
        <v>44654</v>
      </c>
      <c r="H505" s="22">
        <v>28</v>
      </c>
      <c r="I505" s="22">
        <v>10</v>
      </c>
      <c r="J505" s="22">
        <f t="shared" si="42"/>
        <v>173</v>
      </c>
      <c r="K505" s="22">
        <f t="shared" si="43"/>
        <v>20</v>
      </c>
      <c r="L505" s="22">
        <f t="shared" si="44"/>
        <v>153</v>
      </c>
      <c r="M505" s="22">
        <f t="shared" si="45"/>
        <v>239</v>
      </c>
      <c r="N505" s="24">
        <f t="shared" si="46"/>
        <v>0.64016736401673635</v>
      </c>
      <c r="O505" s="24">
        <v>0.64016736401673602</v>
      </c>
      <c r="P505" s="24">
        <f t="shared" si="47"/>
        <v>3.3306690738754696E-16</v>
      </c>
      <c r="Q505" s="22"/>
    </row>
    <row r="506" spans="1:17" ht="15" customHeight="1" x14ac:dyDescent="0.25">
      <c r="A506" s="22" t="s">
        <v>367</v>
      </c>
      <c r="B506" s="22">
        <v>12</v>
      </c>
      <c r="C506" s="22" t="s">
        <v>239</v>
      </c>
      <c r="D506" s="22">
        <v>-45</v>
      </c>
      <c r="E506" s="22" t="s">
        <v>298</v>
      </c>
      <c r="F506" s="22" t="s">
        <v>183</v>
      </c>
      <c r="G506" s="23">
        <v>44654</v>
      </c>
      <c r="H506" s="22">
        <v>23</v>
      </c>
      <c r="I506" s="22">
        <v>19</v>
      </c>
      <c r="J506" s="22">
        <f t="shared" si="42"/>
        <v>196</v>
      </c>
      <c r="K506" s="22">
        <f t="shared" si="43"/>
        <v>39</v>
      </c>
      <c r="L506" s="22">
        <f t="shared" si="44"/>
        <v>157</v>
      </c>
      <c r="M506" s="22">
        <f t="shared" si="45"/>
        <v>239</v>
      </c>
      <c r="N506" s="24">
        <f t="shared" si="46"/>
        <v>0.65690376569037656</v>
      </c>
      <c r="O506" s="24">
        <v>0.65690376569037701</v>
      </c>
      <c r="P506" s="24">
        <f t="shared" si="47"/>
        <v>-4.4408920985006262E-16</v>
      </c>
      <c r="Q506" s="22"/>
    </row>
    <row r="507" spans="1:17" ht="15" customHeight="1" x14ac:dyDescent="0.25">
      <c r="A507" s="22" t="s">
        <v>367</v>
      </c>
      <c r="B507" s="22">
        <v>13</v>
      </c>
      <c r="C507" s="22" t="s">
        <v>387</v>
      </c>
      <c r="D507" s="22">
        <v>-30</v>
      </c>
      <c r="E507" s="22" t="s">
        <v>298</v>
      </c>
      <c r="F507" s="22" t="s">
        <v>183</v>
      </c>
      <c r="G507" s="23">
        <v>44654</v>
      </c>
      <c r="H507" s="22">
        <v>20</v>
      </c>
      <c r="I507" s="22">
        <v>22</v>
      </c>
      <c r="J507" s="22">
        <f t="shared" si="42"/>
        <v>216</v>
      </c>
      <c r="K507" s="22">
        <f t="shared" si="43"/>
        <v>61</v>
      </c>
      <c r="L507" s="22">
        <f t="shared" si="44"/>
        <v>155</v>
      </c>
      <c r="M507" s="22">
        <f t="shared" si="45"/>
        <v>239</v>
      </c>
      <c r="N507" s="24">
        <f t="shared" si="46"/>
        <v>0.64853556485355646</v>
      </c>
      <c r="O507" s="24">
        <v>0.64853556485355701</v>
      </c>
      <c r="P507" s="24">
        <f t="shared" si="47"/>
        <v>-5.5511151231257827E-16</v>
      </c>
      <c r="Q507" s="22"/>
    </row>
    <row r="508" spans="1:17" ht="15" customHeight="1" x14ac:dyDescent="0.25">
      <c r="A508" s="22" t="s">
        <v>367</v>
      </c>
      <c r="B508" s="22">
        <v>14</v>
      </c>
      <c r="C508" s="22" t="s">
        <v>468</v>
      </c>
      <c r="D508" s="22">
        <v>-15</v>
      </c>
      <c r="E508" s="22" t="s">
        <v>298</v>
      </c>
      <c r="F508" s="22" t="s">
        <v>183</v>
      </c>
      <c r="G508" s="23">
        <v>44654</v>
      </c>
      <c r="H508" s="22">
        <v>6</v>
      </c>
      <c r="I508" s="22">
        <v>17</v>
      </c>
      <c r="J508" s="22">
        <f t="shared" si="42"/>
        <v>222</v>
      </c>
      <c r="K508" s="22">
        <f t="shared" si="43"/>
        <v>78</v>
      </c>
      <c r="L508" s="22">
        <f t="shared" si="44"/>
        <v>144</v>
      </c>
      <c r="M508" s="22">
        <f t="shared" si="45"/>
        <v>239</v>
      </c>
      <c r="N508" s="24">
        <f t="shared" si="46"/>
        <v>0.60251046025104604</v>
      </c>
      <c r="O508" s="24">
        <v>0.60251046025104604</v>
      </c>
      <c r="P508" s="24">
        <f t="shared" si="47"/>
        <v>0</v>
      </c>
      <c r="Q508" s="22"/>
    </row>
    <row r="509" spans="1:17" ht="15" customHeight="1" x14ac:dyDescent="0.25">
      <c r="A509" s="22" t="s">
        <v>367</v>
      </c>
      <c r="B509" s="22">
        <v>15</v>
      </c>
      <c r="C509" s="22" t="s">
        <v>469</v>
      </c>
      <c r="D509" s="22">
        <v>0</v>
      </c>
      <c r="E509" s="22" t="s">
        <v>298</v>
      </c>
      <c r="F509" s="22" t="s">
        <v>183</v>
      </c>
      <c r="G509" s="23">
        <v>44654</v>
      </c>
      <c r="H509" s="22">
        <v>5</v>
      </c>
      <c r="I509" s="22">
        <v>34</v>
      </c>
      <c r="J509" s="22">
        <f t="shared" si="42"/>
        <v>227</v>
      </c>
      <c r="K509" s="22">
        <f t="shared" si="43"/>
        <v>112</v>
      </c>
      <c r="L509" s="22">
        <f t="shared" si="44"/>
        <v>115</v>
      </c>
      <c r="M509" s="22">
        <f t="shared" si="45"/>
        <v>239</v>
      </c>
      <c r="N509" s="24">
        <f t="shared" si="46"/>
        <v>0.48117154811715479</v>
      </c>
      <c r="O509" s="24">
        <v>0.48117154811715501</v>
      </c>
      <c r="P509" s="24">
        <f t="shared" si="47"/>
        <v>-2.2204460492503131E-16</v>
      </c>
      <c r="Q509" s="22"/>
    </row>
    <row r="510" spans="1:17" ht="15" customHeight="1" x14ac:dyDescent="0.25">
      <c r="A510" s="22" t="s">
        <v>367</v>
      </c>
      <c r="B510" s="22">
        <v>16</v>
      </c>
      <c r="C510" s="22" t="s">
        <v>351</v>
      </c>
      <c r="D510" s="22">
        <v>15</v>
      </c>
      <c r="E510" s="22" t="s">
        <v>298</v>
      </c>
      <c r="F510" s="22" t="s">
        <v>183</v>
      </c>
      <c r="G510" s="23">
        <v>44654</v>
      </c>
      <c r="H510" s="22">
        <v>6</v>
      </c>
      <c r="I510" s="22">
        <v>44</v>
      </c>
      <c r="J510" s="22">
        <f t="shared" si="42"/>
        <v>233</v>
      </c>
      <c r="K510" s="22">
        <f t="shared" si="43"/>
        <v>156</v>
      </c>
      <c r="L510" s="22">
        <f t="shared" si="44"/>
        <v>77</v>
      </c>
      <c r="M510" s="22">
        <f t="shared" si="45"/>
        <v>239</v>
      </c>
      <c r="N510" s="24">
        <f t="shared" si="46"/>
        <v>0.32217573221757323</v>
      </c>
      <c r="O510" s="24">
        <v>0.32217573221757301</v>
      </c>
      <c r="P510" s="24">
        <f t="shared" si="47"/>
        <v>2.2204460492503131E-16</v>
      </c>
      <c r="Q510" s="22"/>
    </row>
    <row r="511" spans="1:17" ht="15" customHeight="1" x14ac:dyDescent="0.25">
      <c r="A511" s="22" t="s">
        <v>367</v>
      </c>
      <c r="B511" s="22">
        <v>17</v>
      </c>
      <c r="C511" s="22" t="s">
        <v>311</v>
      </c>
      <c r="D511" s="22">
        <v>30</v>
      </c>
      <c r="E511" s="22" t="s">
        <v>298</v>
      </c>
      <c r="F511" s="22" t="s">
        <v>183</v>
      </c>
      <c r="G511" s="23">
        <v>44654</v>
      </c>
      <c r="H511" s="22">
        <v>6</v>
      </c>
      <c r="I511" s="22">
        <v>21</v>
      </c>
      <c r="J511" s="22">
        <f t="shared" si="42"/>
        <v>239</v>
      </c>
      <c r="K511" s="22">
        <f t="shared" si="43"/>
        <v>177</v>
      </c>
      <c r="L511" s="22">
        <f t="shared" si="44"/>
        <v>62</v>
      </c>
      <c r="M511" s="22">
        <f t="shared" si="45"/>
        <v>239</v>
      </c>
      <c r="N511" s="24">
        <f t="shared" si="46"/>
        <v>0.2594142259414226</v>
      </c>
      <c r="O511" s="24">
        <v>0.25941422594142299</v>
      </c>
      <c r="P511" s="24">
        <f t="shared" si="47"/>
        <v>-3.8857805861880479E-16</v>
      </c>
      <c r="Q511" s="22"/>
    </row>
    <row r="512" spans="1:17" ht="15" customHeight="1" x14ac:dyDescent="0.25">
      <c r="A512" s="22" t="s">
        <v>367</v>
      </c>
      <c r="B512" s="22">
        <v>18</v>
      </c>
      <c r="C512" s="22" t="s">
        <v>211</v>
      </c>
      <c r="D512" s="22">
        <v>45</v>
      </c>
      <c r="E512" s="22" t="s">
        <v>298</v>
      </c>
      <c r="F512" s="22" t="s">
        <v>183</v>
      </c>
      <c r="G512" s="23">
        <v>44654</v>
      </c>
      <c r="H512" s="22">
        <v>0</v>
      </c>
      <c r="I512" s="22">
        <v>21</v>
      </c>
      <c r="J512" s="22">
        <f t="shared" si="42"/>
        <v>239</v>
      </c>
      <c r="K512" s="22">
        <f t="shared" si="43"/>
        <v>198</v>
      </c>
      <c r="L512" s="22">
        <f t="shared" si="44"/>
        <v>41</v>
      </c>
      <c r="M512" s="22">
        <f t="shared" si="45"/>
        <v>239</v>
      </c>
      <c r="N512" s="24">
        <f t="shared" si="46"/>
        <v>0.17154811715481172</v>
      </c>
      <c r="O512" s="24">
        <v>0.171548117154812</v>
      </c>
      <c r="P512" s="24">
        <f t="shared" si="47"/>
        <v>-2.7755575615628914E-16</v>
      </c>
      <c r="Q512" s="22"/>
    </row>
    <row r="513" spans="1:17" ht="15" customHeight="1" x14ac:dyDescent="0.25">
      <c r="A513" s="22" t="s">
        <v>373</v>
      </c>
      <c r="B513" s="22">
        <v>0</v>
      </c>
      <c r="C513" s="22" t="s">
        <v>189</v>
      </c>
      <c r="D513" s="22"/>
      <c r="E513" s="22" t="s">
        <v>298</v>
      </c>
      <c r="F513" s="22" t="s">
        <v>183</v>
      </c>
      <c r="G513" s="23">
        <v>45041</v>
      </c>
      <c r="H513" s="22">
        <v>0</v>
      </c>
      <c r="I513" s="22">
        <v>0</v>
      </c>
      <c r="J513" s="22">
        <f t="shared" si="42"/>
        <v>0</v>
      </c>
      <c r="K513" s="22">
        <f t="shared" si="43"/>
        <v>0</v>
      </c>
      <c r="L513" s="22">
        <f t="shared" si="44"/>
        <v>0</v>
      </c>
      <c r="M513" s="22">
        <f t="shared" si="45"/>
        <v>219</v>
      </c>
      <c r="N513" s="24">
        <f t="shared" si="46"/>
        <v>0</v>
      </c>
      <c r="O513" s="24">
        <v>0</v>
      </c>
      <c r="P513" s="24">
        <f t="shared" si="47"/>
        <v>0</v>
      </c>
      <c r="Q513" s="22"/>
    </row>
    <row r="514" spans="1:17" ht="15" customHeight="1" x14ac:dyDescent="0.25">
      <c r="A514" s="22" t="s">
        <v>373</v>
      </c>
      <c r="B514" s="22">
        <v>3</v>
      </c>
      <c r="C514" s="22" t="s">
        <v>464</v>
      </c>
      <c r="D514" s="22">
        <v>-180</v>
      </c>
      <c r="E514" s="22" t="s">
        <v>298</v>
      </c>
      <c r="F514" s="22" t="s">
        <v>183</v>
      </c>
      <c r="G514" s="23">
        <v>45041</v>
      </c>
      <c r="H514" s="22">
        <v>0</v>
      </c>
      <c r="I514" s="22">
        <v>0</v>
      </c>
      <c r="J514" s="22">
        <f t="shared" ref="J514:J577" si="48">SUMIFS($H$2:$H$1200,$A$2:$A$1200,$A514,$B$2:$B$1200,"&lt;="&amp;$B514)</f>
        <v>0</v>
      </c>
      <c r="K514" s="22">
        <f t="shared" ref="K514:K577" si="49">SUMIFS($I$2:$I$1200,$A$2:$A$1200,$A514,$B$2:$B$1200,"&lt;="&amp;$B514)</f>
        <v>0</v>
      </c>
      <c r="L514" s="22">
        <f t="shared" ref="L514:L577" si="50">J514-K514</f>
        <v>0</v>
      </c>
      <c r="M514" s="22">
        <f t="shared" ref="M514:M577" si="51">SUMIF($A$2:$A$1200,$A514,$H$2:$H$1200)</f>
        <v>219</v>
      </c>
      <c r="N514" s="24">
        <f t="shared" ref="N514:N577" si="52">IF(M514=0,"",L514/M514)</f>
        <v>0</v>
      </c>
      <c r="O514" s="24">
        <v>0</v>
      </c>
      <c r="P514" s="24">
        <f t="shared" ref="P514:P577" si="53">IF(OR(N514="",O514=""),"",N514-O514)</f>
        <v>0</v>
      </c>
      <c r="Q514" s="22"/>
    </row>
    <row r="515" spans="1:17" ht="15" customHeight="1" x14ac:dyDescent="0.25">
      <c r="A515" s="22" t="s">
        <v>373</v>
      </c>
      <c r="B515" s="22">
        <v>4</v>
      </c>
      <c r="C515" s="22" t="s">
        <v>465</v>
      </c>
      <c r="D515" s="22">
        <v>-165</v>
      </c>
      <c r="E515" s="22" t="s">
        <v>298</v>
      </c>
      <c r="F515" s="22" t="s">
        <v>183</v>
      </c>
      <c r="G515" s="23">
        <v>45041</v>
      </c>
      <c r="H515" s="22">
        <v>0</v>
      </c>
      <c r="I515" s="22">
        <v>0</v>
      </c>
      <c r="J515" s="22">
        <f t="shared" si="48"/>
        <v>0</v>
      </c>
      <c r="K515" s="22">
        <f t="shared" si="49"/>
        <v>0</v>
      </c>
      <c r="L515" s="22">
        <f t="shared" si="50"/>
        <v>0</v>
      </c>
      <c r="M515" s="22">
        <f t="shared" si="51"/>
        <v>219</v>
      </c>
      <c r="N515" s="24">
        <f t="shared" si="52"/>
        <v>0</v>
      </c>
      <c r="O515" s="24">
        <v>0</v>
      </c>
      <c r="P515" s="24">
        <f t="shared" si="53"/>
        <v>0</v>
      </c>
      <c r="Q515" s="22"/>
    </row>
    <row r="516" spans="1:17" ht="15" customHeight="1" x14ac:dyDescent="0.25">
      <c r="A516" s="22" t="s">
        <v>373</v>
      </c>
      <c r="B516" s="22">
        <v>5</v>
      </c>
      <c r="C516" s="22" t="s">
        <v>466</v>
      </c>
      <c r="D516" s="22">
        <v>-150</v>
      </c>
      <c r="E516" s="22" t="s">
        <v>298</v>
      </c>
      <c r="F516" s="22" t="s">
        <v>183</v>
      </c>
      <c r="G516" s="23">
        <v>45041</v>
      </c>
      <c r="H516" s="22">
        <v>19</v>
      </c>
      <c r="I516" s="22">
        <v>0</v>
      </c>
      <c r="J516" s="22">
        <f t="shared" si="48"/>
        <v>19</v>
      </c>
      <c r="K516" s="22">
        <f t="shared" si="49"/>
        <v>0</v>
      </c>
      <c r="L516" s="22">
        <f t="shared" si="50"/>
        <v>19</v>
      </c>
      <c r="M516" s="22">
        <f t="shared" si="51"/>
        <v>219</v>
      </c>
      <c r="N516" s="24">
        <f t="shared" si="52"/>
        <v>8.6757990867579904E-2</v>
      </c>
      <c r="O516" s="24">
        <v>8.6757990867579904E-2</v>
      </c>
      <c r="P516" s="24">
        <f t="shared" si="53"/>
        <v>0</v>
      </c>
      <c r="Q516" s="22"/>
    </row>
    <row r="517" spans="1:17" ht="15" customHeight="1" x14ac:dyDescent="0.25">
      <c r="A517" s="22" t="s">
        <v>373</v>
      </c>
      <c r="B517" s="22">
        <v>6</v>
      </c>
      <c r="C517" s="22" t="s">
        <v>467</v>
      </c>
      <c r="D517" s="22">
        <v>-135</v>
      </c>
      <c r="E517" s="22" t="s">
        <v>298</v>
      </c>
      <c r="F517" s="22" t="s">
        <v>183</v>
      </c>
      <c r="G517" s="23">
        <v>45041</v>
      </c>
      <c r="H517" s="22">
        <v>17</v>
      </c>
      <c r="I517" s="22">
        <v>1</v>
      </c>
      <c r="J517" s="22">
        <f t="shared" si="48"/>
        <v>36</v>
      </c>
      <c r="K517" s="22">
        <f t="shared" si="49"/>
        <v>1</v>
      </c>
      <c r="L517" s="22">
        <f t="shared" si="50"/>
        <v>35</v>
      </c>
      <c r="M517" s="22">
        <f t="shared" si="51"/>
        <v>219</v>
      </c>
      <c r="N517" s="24">
        <f t="shared" si="52"/>
        <v>0.15981735159817351</v>
      </c>
      <c r="O517" s="24">
        <v>0.15981735159817401</v>
      </c>
      <c r="P517" s="24">
        <f t="shared" si="53"/>
        <v>-4.9960036108132044E-16</v>
      </c>
      <c r="Q517" s="22"/>
    </row>
    <row r="518" spans="1:17" ht="15" customHeight="1" x14ac:dyDescent="0.25">
      <c r="A518" s="22" t="s">
        <v>373</v>
      </c>
      <c r="B518" s="22">
        <v>7</v>
      </c>
      <c r="C518" s="22" t="s">
        <v>212</v>
      </c>
      <c r="D518" s="22">
        <v>-120</v>
      </c>
      <c r="E518" s="22" t="s">
        <v>298</v>
      </c>
      <c r="F518" s="22" t="s">
        <v>183</v>
      </c>
      <c r="G518" s="23">
        <v>45041</v>
      </c>
      <c r="H518" s="22">
        <v>33</v>
      </c>
      <c r="I518" s="22">
        <v>0</v>
      </c>
      <c r="J518" s="22">
        <f t="shared" si="48"/>
        <v>69</v>
      </c>
      <c r="K518" s="22">
        <f t="shared" si="49"/>
        <v>1</v>
      </c>
      <c r="L518" s="22">
        <f t="shared" si="50"/>
        <v>68</v>
      </c>
      <c r="M518" s="22">
        <f t="shared" si="51"/>
        <v>219</v>
      </c>
      <c r="N518" s="24">
        <f t="shared" si="52"/>
        <v>0.31050228310502281</v>
      </c>
      <c r="O518" s="24">
        <v>0.31050228310502298</v>
      </c>
      <c r="P518" s="24">
        <f t="shared" si="53"/>
        <v>-1.6653345369377348E-16</v>
      </c>
      <c r="Q518" s="22"/>
    </row>
    <row r="519" spans="1:17" ht="15" customHeight="1" x14ac:dyDescent="0.25">
      <c r="A519" s="22" t="s">
        <v>373</v>
      </c>
      <c r="B519" s="22">
        <v>8</v>
      </c>
      <c r="C519" s="22" t="s">
        <v>226</v>
      </c>
      <c r="D519" s="22">
        <v>-105</v>
      </c>
      <c r="E519" s="22" t="s">
        <v>298</v>
      </c>
      <c r="F519" s="22" t="s">
        <v>183</v>
      </c>
      <c r="G519" s="23">
        <v>45041</v>
      </c>
      <c r="H519" s="22">
        <v>34</v>
      </c>
      <c r="I519" s="22">
        <v>3</v>
      </c>
      <c r="J519" s="22">
        <f t="shared" si="48"/>
        <v>103</v>
      </c>
      <c r="K519" s="22">
        <f t="shared" si="49"/>
        <v>4</v>
      </c>
      <c r="L519" s="22">
        <f t="shared" si="50"/>
        <v>99</v>
      </c>
      <c r="M519" s="22">
        <f t="shared" si="51"/>
        <v>219</v>
      </c>
      <c r="N519" s="24">
        <f t="shared" si="52"/>
        <v>0.45205479452054792</v>
      </c>
      <c r="O519" s="24">
        <v>0.45205479452054798</v>
      </c>
      <c r="P519" s="24">
        <f t="shared" si="53"/>
        <v>-5.5511151231257827E-17</v>
      </c>
      <c r="Q519" s="22"/>
    </row>
    <row r="520" spans="1:17" ht="15" customHeight="1" x14ac:dyDescent="0.25">
      <c r="A520" s="22" t="s">
        <v>373</v>
      </c>
      <c r="B520" s="22">
        <v>9</v>
      </c>
      <c r="C520" s="22" t="s">
        <v>264</v>
      </c>
      <c r="D520" s="22">
        <v>-90</v>
      </c>
      <c r="E520" s="22" t="s">
        <v>298</v>
      </c>
      <c r="F520" s="22" t="s">
        <v>183</v>
      </c>
      <c r="G520" s="23">
        <v>45041</v>
      </c>
      <c r="H520" s="22">
        <v>38</v>
      </c>
      <c r="I520" s="22">
        <v>5</v>
      </c>
      <c r="J520" s="22">
        <f t="shared" si="48"/>
        <v>141</v>
      </c>
      <c r="K520" s="22">
        <f t="shared" si="49"/>
        <v>9</v>
      </c>
      <c r="L520" s="22">
        <f t="shared" si="50"/>
        <v>132</v>
      </c>
      <c r="M520" s="22">
        <f t="shared" si="51"/>
        <v>219</v>
      </c>
      <c r="N520" s="24">
        <f t="shared" si="52"/>
        <v>0.60273972602739723</v>
      </c>
      <c r="O520" s="24">
        <v>0.602739726027397</v>
      </c>
      <c r="P520" s="24">
        <f t="shared" si="53"/>
        <v>2.2204460492503131E-16</v>
      </c>
      <c r="Q520" s="22"/>
    </row>
    <row r="521" spans="1:17" ht="15" customHeight="1" x14ac:dyDescent="0.25">
      <c r="A521" s="22" t="s">
        <v>373</v>
      </c>
      <c r="B521" s="22">
        <v>10</v>
      </c>
      <c r="C521" s="22" t="s">
        <v>191</v>
      </c>
      <c r="D521" s="22">
        <v>-75</v>
      </c>
      <c r="E521" s="22" t="s">
        <v>298</v>
      </c>
      <c r="F521" s="22" t="s">
        <v>183</v>
      </c>
      <c r="G521" s="23">
        <v>45041</v>
      </c>
      <c r="H521" s="22">
        <v>26</v>
      </c>
      <c r="I521" s="22">
        <v>5</v>
      </c>
      <c r="J521" s="22">
        <f t="shared" si="48"/>
        <v>167</v>
      </c>
      <c r="K521" s="22">
        <f t="shared" si="49"/>
        <v>14</v>
      </c>
      <c r="L521" s="22">
        <f t="shared" si="50"/>
        <v>153</v>
      </c>
      <c r="M521" s="22">
        <f t="shared" si="51"/>
        <v>219</v>
      </c>
      <c r="N521" s="24">
        <f t="shared" si="52"/>
        <v>0.69863013698630139</v>
      </c>
      <c r="O521" s="24">
        <v>0.69863013698630105</v>
      </c>
      <c r="P521" s="24">
        <f t="shared" si="53"/>
        <v>3.3306690738754696E-16</v>
      </c>
      <c r="Q521" s="22"/>
    </row>
    <row r="522" spans="1:17" ht="15" customHeight="1" x14ac:dyDescent="0.25">
      <c r="A522" s="22" t="s">
        <v>373</v>
      </c>
      <c r="B522" s="22">
        <v>11</v>
      </c>
      <c r="C522" s="22" t="s">
        <v>231</v>
      </c>
      <c r="D522" s="22">
        <v>-60</v>
      </c>
      <c r="E522" s="22" t="s">
        <v>298</v>
      </c>
      <c r="F522" s="22" t="s">
        <v>183</v>
      </c>
      <c r="G522" s="23">
        <v>45041</v>
      </c>
      <c r="H522" s="22">
        <v>23</v>
      </c>
      <c r="I522" s="22">
        <v>15</v>
      </c>
      <c r="J522" s="22">
        <f t="shared" si="48"/>
        <v>190</v>
      </c>
      <c r="K522" s="22">
        <f t="shared" si="49"/>
        <v>29</v>
      </c>
      <c r="L522" s="22">
        <f t="shared" si="50"/>
        <v>161</v>
      </c>
      <c r="M522" s="22">
        <f t="shared" si="51"/>
        <v>219</v>
      </c>
      <c r="N522" s="24">
        <f t="shared" si="52"/>
        <v>0.73515981735159819</v>
      </c>
      <c r="O522" s="24">
        <v>0.73515981735159797</v>
      </c>
      <c r="P522" s="24">
        <f t="shared" si="53"/>
        <v>2.2204460492503131E-16</v>
      </c>
      <c r="Q522" s="22"/>
    </row>
    <row r="523" spans="1:17" ht="15" customHeight="1" x14ac:dyDescent="0.25">
      <c r="A523" s="22" t="s">
        <v>373</v>
      </c>
      <c r="B523" s="22">
        <v>12</v>
      </c>
      <c r="C523" s="22" t="s">
        <v>239</v>
      </c>
      <c r="D523" s="22">
        <v>-45</v>
      </c>
      <c r="E523" s="22" t="s">
        <v>298</v>
      </c>
      <c r="F523" s="22" t="s">
        <v>183</v>
      </c>
      <c r="G523" s="23">
        <v>45041</v>
      </c>
      <c r="H523" s="22">
        <v>11</v>
      </c>
      <c r="I523" s="22">
        <v>17</v>
      </c>
      <c r="J523" s="22">
        <f t="shared" si="48"/>
        <v>201</v>
      </c>
      <c r="K523" s="22">
        <f t="shared" si="49"/>
        <v>46</v>
      </c>
      <c r="L523" s="22">
        <f t="shared" si="50"/>
        <v>155</v>
      </c>
      <c r="M523" s="22">
        <f t="shared" si="51"/>
        <v>219</v>
      </c>
      <c r="N523" s="24">
        <f t="shared" si="52"/>
        <v>0.70776255707762559</v>
      </c>
      <c r="O523" s="24">
        <v>0.70776255707762603</v>
      </c>
      <c r="P523" s="24">
        <f t="shared" si="53"/>
        <v>-4.4408920985006262E-16</v>
      </c>
      <c r="Q523" s="22"/>
    </row>
    <row r="524" spans="1:17" ht="15" customHeight="1" x14ac:dyDescent="0.25">
      <c r="A524" s="22" t="s">
        <v>373</v>
      </c>
      <c r="B524" s="22">
        <v>13</v>
      </c>
      <c r="C524" s="22" t="s">
        <v>387</v>
      </c>
      <c r="D524" s="22">
        <v>-30</v>
      </c>
      <c r="E524" s="22" t="s">
        <v>298</v>
      </c>
      <c r="F524" s="22" t="s">
        <v>183</v>
      </c>
      <c r="G524" s="23">
        <v>45041</v>
      </c>
      <c r="H524" s="22">
        <v>5</v>
      </c>
      <c r="I524" s="22">
        <v>25</v>
      </c>
      <c r="J524" s="22">
        <f t="shared" si="48"/>
        <v>206</v>
      </c>
      <c r="K524" s="22">
        <f t="shared" si="49"/>
        <v>71</v>
      </c>
      <c r="L524" s="22">
        <f t="shared" si="50"/>
        <v>135</v>
      </c>
      <c r="M524" s="22">
        <f t="shared" si="51"/>
        <v>219</v>
      </c>
      <c r="N524" s="24">
        <f t="shared" si="52"/>
        <v>0.61643835616438358</v>
      </c>
      <c r="O524" s="24">
        <v>0.61643835616438403</v>
      </c>
      <c r="P524" s="24">
        <f t="shared" si="53"/>
        <v>-4.4408920985006262E-16</v>
      </c>
      <c r="Q524" s="22"/>
    </row>
    <row r="525" spans="1:17" ht="15" customHeight="1" x14ac:dyDescent="0.25">
      <c r="A525" s="22" t="s">
        <v>373</v>
      </c>
      <c r="B525" s="22">
        <v>14</v>
      </c>
      <c r="C525" s="22" t="s">
        <v>468</v>
      </c>
      <c r="D525" s="22">
        <v>-15</v>
      </c>
      <c r="E525" s="22" t="s">
        <v>298</v>
      </c>
      <c r="F525" s="22" t="s">
        <v>183</v>
      </c>
      <c r="G525" s="23">
        <v>45041</v>
      </c>
      <c r="H525" s="22">
        <v>3</v>
      </c>
      <c r="I525" s="22">
        <v>25</v>
      </c>
      <c r="J525" s="22">
        <f t="shared" si="48"/>
        <v>209</v>
      </c>
      <c r="K525" s="22">
        <f t="shared" si="49"/>
        <v>96</v>
      </c>
      <c r="L525" s="22">
        <f t="shared" si="50"/>
        <v>113</v>
      </c>
      <c r="M525" s="22">
        <f t="shared" si="51"/>
        <v>219</v>
      </c>
      <c r="N525" s="24">
        <f t="shared" si="52"/>
        <v>0.51598173515981738</v>
      </c>
      <c r="O525" s="24">
        <v>0.51598173515981705</v>
      </c>
      <c r="P525" s="24">
        <f t="shared" si="53"/>
        <v>3.3306690738754696E-16</v>
      </c>
      <c r="Q525" s="22"/>
    </row>
    <row r="526" spans="1:17" ht="15" customHeight="1" x14ac:dyDescent="0.25">
      <c r="A526" s="22" t="s">
        <v>373</v>
      </c>
      <c r="B526" s="22">
        <v>15</v>
      </c>
      <c r="C526" s="22" t="s">
        <v>469</v>
      </c>
      <c r="D526" s="22">
        <v>0</v>
      </c>
      <c r="E526" s="22" t="s">
        <v>298</v>
      </c>
      <c r="F526" s="22" t="s">
        <v>183</v>
      </c>
      <c r="G526" s="23">
        <v>45041</v>
      </c>
      <c r="H526" s="22">
        <v>2</v>
      </c>
      <c r="I526" s="22">
        <v>19</v>
      </c>
      <c r="J526" s="22">
        <f t="shared" si="48"/>
        <v>211</v>
      </c>
      <c r="K526" s="22">
        <f t="shared" si="49"/>
        <v>115</v>
      </c>
      <c r="L526" s="22">
        <f t="shared" si="50"/>
        <v>96</v>
      </c>
      <c r="M526" s="22">
        <f t="shared" si="51"/>
        <v>219</v>
      </c>
      <c r="N526" s="24">
        <f t="shared" si="52"/>
        <v>0.43835616438356162</v>
      </c>
      <c r="O526" s="24">
        <v>0.43835616438356201</v>
      </c>
      <c r="P526" s="24">
        <f t="shared" si="53"/>
        <v>-3.8857805861880479E-16</v>
      </c>
      <c r="Q526" s="22"/>
    </row>
    <row r="527" spans="1:17" ht="15" customHeight="1" x14ac:dyDescent="0.25">
      <c r="A527" s="22" t="s">
        <v>373</v>
      </c>
      <c r="B527" s="22">
        <v>16</v>
      </c>
      <c r="C527" s="22" t="s">
        <v>351</v>
      </c>
      <c r="D527" s="22">
        <v>15</v>
      </c>
      <c r="E527" s="22" t="s">
        <v>298</v>
      </c>
      <c r="F527" s="22" t="s">
        <v>183</v>
      </c>
      <c r="G527" s="23">
        <v>45041</v>
      </c>
      <c r="H527" s="22">
        <v>4</v>
      </c>
      <c r="I527" s="22">
        <v>26</v>
      </c>
      <c r="J527" s="22">
        <f t="shared" si="48"/>
        <v>215</v>
      </c>
      <c r="K527" s="22">
        <f t="shared" si="49"/>
        <v>141</v>
      </c>
      <c r="L527" s="22">
        <f t="shared" si="50"/>
        <v>74</v>
      </c>
      <c r="M527" s="22">
        <f t="shared" si="51"/>
        <v>219</v>
      </c>
      <c r="N527" s="24">
        <f t="shared" si="52"/>
        <v>0.33789954337899542</v>
      </c>
      <c r="O527" s="24">
        <v>0.33789954337899503</v>
      </c>
      <c r="P527" s="24">
        <f t="shared" si="53"/>
        <v>3.8857805861880479E-16</v>
      </c>
      <c r="Q527" s="22"/>
    </row>
    <row r="528" spans="1:17" ht="15" customHeight="1" x14ac:dyDescent="0.25">
      <c r="A528" s="22" t="s">
        <v>373</v>
      </c>
      <c r="B528" s="22">
        <v>17</v>
      </c>
      <c r="C528" s="22" t="s">
        <v>311</v>
      </c>
      <c r="D528" s="22">
        <v>30</v>
      </c>
      <c r="E528" s="22" t="s">
        <v>298</v>
      </c>
      <c r="F528" s="22" t="s">
        <v>183</v>
      </c>
      <c r="G528" s="23">
        <v>45041</v>
      </c>
      <c r="H528" s="22">
        <v>2</v>
      </c>
      <c r="I528" s="22">
        <v>30</v>
      </c>
      <c r="J528" s="22">
        <f t="shared" si="48"/>
        <v>217</v>
      </c>
      <c r="K528" s="22">
        <f t="shared" si="49"/>
        <v>171</v>
      </c>
      <c r="L528" s="22">
        <f t="shared" si="50"/>
        <v>46</v>
      </c>
      <c r="M528" s="22">
        <f t="shared" si="51"/>
        <v>219</v>
      </c>
      <c r="N528" s="24">
        <f t="shared" si="52"/>
        <v>0.21004566210045661</v>
      </c>
      <c r="O528" s="24">
        <v>0.210045662100457</v>
      </c>
      <c r="P528" s="24">
        <f t="shared" si="53"/>
        <v>-3.8857805861880479E-16</v>
      </c>
      <c r="Q528" s="22"/>
    </row>
    <row r="529" spans="1:17" ht="15" customHeight="1" x14ac:dyDescent="0.25">
      <c r="A529" s="22" t="s">
        <v>373</v>
      </c>
      <c r="B529" s="22">
        <v>18</v>
      </c>
      <c r="C529" s="22" t="s">
        <v>211</v>
      </c>
      <c r="D529" s="22">
        <v>45</v>
      </c>
      <c r="E529" s="22" t="s">
        <v>298</v>
      </c>
      <c r="F529" s="22" t="s">
        <v>183</v>
      </c>
      <c r="G529" s="23">
        <v>45041</v>
      </c>
      <c r="H529" s="22">
        <v>2</v>
      </c>
      <c r="I529" s="22">
        <v>17</v>
      </c>
      <c r="J529" s="22">
        <f t="shared" si="48"/>
        <v>219</v>
      </c>
      <c r="K529" s="22">
        <f t="shared" si="49"/>
        <v>188</v>
      </c>
      <c r="L529" s="22">
        <f t="shared" si="50"/>
        <v>31</v>
      </c>
      <c r="M529" s="22">
        <f t="shared" si="51"/>
        <v>219</v>
      </c>
      <c r="N529" s="24">
        <f t="shared" si="52"/>
        <v>0.14155251141552511</v>
      </c>
      <c r="O529" s="24">
        <v>0.141552511415525</v>
      </c>
      <c r="P529" s="24">
        <f t="shared" si="53"/>
        <v>1.1102230246251565E-16</v>
      </c>
      <c r="Q529" s="22"/>
    </row>
    <row r="530" spans="1:17" ht="15" customHeight="1" x14ac:dyDescent="0.25">
      <c r="A530" s="22" t="s">
        <v>377</v>
      </c>
      <c r="B530" s="22">
        <v>0</v>
      </c>
      <c r="C530" s="22" t="s">
        <v>189</v>
      </c>
      <c r="D530" s="22"/>
      <c r="E530" s="22" t="s">
        <v>378</v>
      </c>
      <c r="F530" s="22" t="s">
        <v>183</v>
      </c>
      <c r="G530" s="23">
        <v>35885</v>
      </c>
      <c r="H530" s="22">
        <v>581</v>
      </c>
      <c r="I530" s="22">
        <v>21</v>
      </c>
      <c r="J530" s="22">
        <f t="shared" si="48"/>
        <v>581</v>
      </c>
      <c r="K530" s="22">
        <f t="shared" si="49"/>
        <v>21</v>
      </c>
      <c r="L530" s="22">
        <f t="shared" si="50"/>
        <v>560</v>
      </c>
      <c r="M530" s="22">
        <f t="shared" si="51"/>
        <v>2133</v>
      </c>
      <c r="N530" s="24">
        <f t="shared" si="52"/>
        <v>0.26254102203469293</v>
      </c>
      <c r="O530" s="24">
        <v>0.26291079812206603</v>
      </c>
      <c r="P530" s="24">
        <f t="shared" si="53"/>
        <v>-3.6977608737309708E-4</v>
      </c>
      <c r="Q530" s="22"/>
    </row>
    <row r="531" spans="1:17" ht="15" customHeight="1" x14ac:dyDescent="0.25">
      <c r="A531" s="22" t="s">
        <v>377</v>
      </c>
      <c r="B531" s="22">
        <v>7</v>
      </c>
      <c r="C531" s="22" t="s">
        <v>212</v>
      </c>
      <c r="D531" s="22">
        <v>-120</v>
      </c>
      <c r="E531" s="22" t="s">
        <v>378</v>
      </c>
      <c r="F531" s="22" t="s">
        <v>183</v>
      </c>
      <c r="G531" s="23">
        <v>35885</v>
      </c>
      <c r="H531" s="22">
        <v>296</v>
      </c>
      <c r="I531" s="22">
        <v>35</v>
      </c>
      <c r="J531" s="22">
        <f t="shared" si="48"/>
        <v>877</v>
      </c>
      <c r="K531" s="22">
        <f t="shared" si="49"/>
        <v>56</v>
      </c>
      <c r="L531" s="22">
        <f t="shared" si="50"/>
        <v>821</v>
      </c>
      <c r="M531" s="22">
        <f t="shared" si="51"/>
        <v>2133</v>
      </c>
      <c r="N531" s="24">
        <f t="shared" si="52"/>
        <v>0.38490389123300517</v>
      </c>
      <c r="O531" s="24">
        <v>0.385446009389671</v>
      </c>
      <c r="P531" s="24">
        <f t="shared" si="53"/>
        <v>-5.421181566658273E-4</v>
      </c>
      <c r="Q531" s="22"/>
    </row>
    <row r="532" spans="1:17" ht="15" customHeight="1" x14ac:dyDescent="0.25">
      <c r="A532" s="22" t="s">
        <v>377</v>
      </c>
      <c r="B532" s="22">
        <v>8</v>
      </c>
      <c r="C532" s="22" t="s">
        <v>226</v>
      </c>
      <c r="D532" s="22">
        <v>-105</v>
      </c>
      <c r="E532" s="22" t="s">
        <v>378</v>
      </c>
      <c r="F532" s="22" t="s">
        <v>183</v>
      </c>
      <c r="G532" s="23">
        <v>35885</v>
      </c>
      <c r="H532" s="22">
        <v>295</v>
      </c>
      <c r="I532" s="22">
        <v>75</v>
      </c>
      <c r="J532" s="22">
        <f t="shared" si="48"/>
        <v>1172</v>
      </c>
      <c r="K532" s="22">
        <f t="shared" si="49"/>
        <v>131</v>
      </c>
      <c r="L532" s="22">
        <f t="shared" si="50"/>
        <v>1041</v>
      </c>
      <c r="M532" s="22">
        <f t="shared" si="51"/>
        <v>2133</v>
      </c>
      <c r="N532" s="24">
        <f t="shared" si="52"/>
        <v>0.48804500703234882</v>
      </c>
      <c r="O532" s="24">
        <v>0.48873239436619698</v>
      </c>
      <c r="P532" s="24">
        <f t="shared" si="53"/>
        <v>-6.8738733384815509E-4</v>
      </c>
      <c r="Q532" s="22"/>
    </row>
    <row r="533" spans="1:17" ht="15" customHeight="1" x14ac:dyDescent="0.25">
      <c r="A533" s="22" t="s">
        <v>377</v>
      </c>
      <c r="B533" s="22">
        <v>9</v>
      </c>
      <c r="C533" s="22" t="s">
        <v>264</v>
      </c>
      <c r="D533" s="22">
        <v>-90</v>
      </c>
      <c r="E533" s="22" t="s">
        <v>378</v>
      </c>
      <c r="F533" s="22" t="s">
        <v>183</v>
      </c>
      <c r="G533" s="23">
        <v>35885</v>
      </c>
      <c r="H533" s="22">
        <v>271</v>
      </c>
      <c r="I533" s="22">
        <v>79</v>
      </c>
      <c r="J533" s="22">
        <f t="shared" si="48"/>
        <v>1443</v>
      </c>
      <c r="K533" s="22">
        <f t="shared" si="49"/>
        <v>210</v>
      </c>
      <c r="L533" s="22">
        <f t="shared" si="50"/>
        <v>1233</v>
      </c>
      <c r="M533" s="22">
        <f t="shared" si="51"/>
        <v>2133</v>
      </c>
      <c r="N533" s="24">
        <f t="shared" si="52"/>
        <v>0.57805907172995785</v>
      </c>
      <c r="O533" s="24">
        <v>0.57887323943661995</v>
      </c>
      <c r="P533" s="24">
        <f t="shared" si="53"/>
        <v>-8.1416770666209448E-4</v>
      </c>
      <c r="Q533" s="22"/>
    </row>
    <row r="534" spans="1:17" ht="15" customHeight="1" x14ac:dyDescent="0.25">
      <c r="A534" s="22" t="s">
        <v>377</v>
      </c>
      <c r="B534" s="22">
        <v>10</v>
      </c>
      <c r="C534" s="22" t="s">
        <v>191</v>
      </c>
      <c r="D534" s="22">
        <v>-75</v>
      </c>
      <c r="E534" s="22" t="s">
        <v>378</v>
      </c>
      <c r="F534" s="22" t="s">
        <v>183</v>
      </c>
      <c r="G534" s="23">
        <v>35885</v>
      </c>
      <c r="H534" s="22">
        <v>193</v>
      </c>
      <c r="I534" s="22">
        <v>107</v>
      </c>
      <c r="J534" s="22">
        <f t="shared" si="48"/>
        <v>1636</v>
      </c>
      <c r="K534" s="22">
        <f t="shared" si="49"/>
        <v>317</v>
      </c>
      <c r="L534" s="22">
        <f t="shared" si="50"/>
        <v>1319</v>
      </c>
      <c r="M534" s="22">
        <f t="shared" si="51"/>
        <v>2133</v>
      </c>
      <c r="N534" s="24">
        <f t="shared" si="52"/>
        <v>0.61837787154242851</v>
      </c>
      <c r="O534" s="24">
        <v>0.61924882629108002</v>
      </c>
      <c r="P534" s="24">
        <f t="shared" si="53"/>
        <v>-8.7095474865150901E-4</v>
      </c>
      <c r="Q534" s="22"/>
    </row>
    <row r="535" spans="1:17" ht="15" customHeight="1" x14ac:dyDescent="0.25">
      <c r="A535" s="22" t="s">
        <v>377</v>
      </c>
      <c r="B535" s="22">
        <v>11</v>
      </c>
      <c r="C535" s="22" t="s">
        <v>231</v>
      </c>
      <c r="D535" s="22">
        <v>-60</v>
      </c>
      <c r="E535" s="22" t="s">
        <v>378</v>
      </c>
      <c r="F535" s="22" t="s">
        <v>183</v>
      </c>
      <c r="G535" s="23">
        <v>35885</v>
      </c>
      <c r="H535" s="22">
        <v>153</v>
      </c>
      <c r="I535" s="22">
        <v>155</v>
      </c>
      <c r="J535" s="22">
        <f t="shared" si="48"/>
        <v>1789</v>
      </c>
      <c r="K535" s="22">
        <f t="shared" si="49"/>
        <v>472</v>
      </c>
      <c r="L535" s="22">
        <f t="shared" si="50"/>
        <v>1317</v>
      </c>
      <c r="M535" s="22">
        <f t="shared" si="51"/>
        <v>2133</v>
      </c>
      <c r="N535" s="24">
        <f t="shared" si="52"/>
        <v>0.61744022503516172</v>
      </c>
      <c r="O535" s="24">
        <v>0.61830985915492997</v>
      </c>
      <c r="P535" s="24">
        <f t="shared" si="53"/>
        <v>-8.6963411976825888E-4</v>
      </c>
      <c r="Q535" s="22"/>
    </row>
    <row r="536" spans="1:17" ht="15" customHeight="1" x14ac:dyDescent="0.25">
      <c r="A536" s="22" t="s">
        <v>377</v>
      </c>
      <c r="B536" s="22">
        <v>12</v>
      </c>
      <c r="C536" s="22" t="s">
        <v>239</v>
      </c>
      <c r="D536" s="22">
        <v>-45</v>
      </c>
      <c r="E536" s="22" t="s">
        <v>378</v>
      </c>
      <c r="F536" s="22" t="s">
        <v>183</v>
      </c>
      <c r="G536" s="23">
        <v>35885</v>
      </c>
      <c r="H536" s="22">
        <v>108</v>
      </c>
      <c r="I536" s="22">
        <v>168</v>
      </c>
      <c r="J536" s="22">
        <f t="shared" si="48"/>
        <v>1897</v>
      </c>
      <c r="K536" s="22">
        <f t="shared" si="49"/>
        <v>640</v>
      </c>
      <c r="L536" s="22">
        <f t="shared" si="50"/>
        <v>1257</v>
      </c>
      <c r="M536" s="22">
        <f t="shared" si="51"/>
        <v>2133</v>
      </c>
      <c r="N536" s="24">
        <f t="shared" si="52"/>
        <v>0.58931082981715888</v>
      </c>
      <c r="O536" s="24">
        <v>0.59014084507042297</v>
      </c>
      <c r="P536" s="24">
        <f t="shared" si="53"/>
        <v>-8.3001525326409364E-4</v>
      </c>
      <c r="Q536" s="22"/>
    </row>
    <row r="537" spans="1:17" ht="15" customHeight="1" x14ac:dyDescent="0.25">
      <c r="A537" s="22" t="s">
        <v>377</v>
      </c>
      <c r="B537" s="22">
        <v>13</v>
      </c>
      <c r="C537" s="22" t="s">
        <v>387</v>
      </c>
      <c r="D537" s="22">
        <v>-30</v>
      </c>
      <c r="E537" s="22" t="s">
        <v>378</v>
      </c>
      <c r="F537" s="22" t="s">
        <v>183</v>
      </c>
      <c r="G537" s="23">
        <v>35885</v>
      </c>
      <c r="H537" s="22">
        <v>80</v>
      </c>
      <c r="I537" s="22">
        <v>213</v>
      </c>
      <c r="J537" s="22">
        <f t="shared" si="48"/>
        <v>1977</v>
      </c>
      <c r="K537" s="22">
        <f t="shared" si="49"/>
        <v>853</v>
      </c>
      <c r="L537" s="22">
        <f t="shared" si="50"/>
        <v>1124</v>
      </c>
      <c r="M537" s="22">
        <f t="shared" si="51"/>
        <v>2133</v>
      </c>
      <c r="N537" s="24">
        <f t="shared" si="52"/>
        <v>0.52695733708391934</v>
      </c>
      <c r="O537" s="24">
        <v>0.52769953051643204</v>
      </c>
      <c r="P537" s="24">
        <f t="shared" si="53"/>
        <v>-7.4219343251269443E-4</v>
      </c>
      <c r="Q537" s="22"/>
    </row>
    <row r="538" spans="1:17" ht="15" customHeight="1" x14ac:dyDescent="0.25">
      <c r="A538" s="22" t="s">
        <v>377</v>
      </c>
      <c r="B538" s="22">
        <v>14</v>
      </c>
      <c r="C538" s="22" t="s">
        <v>468</v>
      </c>
      <c r="D538" s="22">
        <v>-15</v>
      </c>
      <c r="E538" s="22" t="s">
        <v>378</v>
      </c>
      <c r="F538" s="22" t="s">
        <v>183</v>
      </c>
      <c r="G538" s="23">
        <v>35885</v>
      </c>
      <c r="H538" s="22">
        <v>56</v>
      </c>
      <c r="I538" s="22">
        <v>200</v>
      </c>
      <c r="J538" s="22">
        <f t="shared" si="48"/>
        <v>2033</v>
      </c>
      <c r="K538" s="22">
        <f t="shared" si="49"/>
        <v>1053</v>
      </c>
      <c r="L538" s="22">
        <f t="shared" si="50"/>
        <v>980</v>
      </c>
      <c r="M538" s="22">
        <f t="shared" si="51"/>
        <v>2133</v>
      </c>
      <c r="N538" s="24">
        <f t="shared" si="52"/>
        <v>0.45944678856071264</v>
      </c>
      <c r="O538" s="24">
        <v>0.460093896713615</v>
      </c>
      <c r="P538" s="24">
        <f t="shared" si="53"/>
        <v>-6.4710815290236479E-4</v>
      </c>
      <c r="Q538" s="22"/>
    </row>
    <row r="539" spans="1:17" ht="15" customHeight="1" x14ac:dyDescent="0.25">
      <c r="A539" s="22" t="s">
        <v>377</v>
      </c>
      <c r="B539" s="22">
        <v>15</v>
      </c>
      <c r="C539" s="22" t="s">
        <v>469</v>
      </c>
      <c r="D539" s="22">
        <v>0</v>
      </c>
      <c r="E539" s="22" t="s">
        <v>378</v>
      </c>
      <c r="F539" s="22" t="s">
        <v>183</v>
      </c>
      <c r="G539" s="23">
        <v>35885</v>
      </c>
      <c r="H539" s="22">
        <v>36</v>
      </c>
      <c r="I539" s="22">
        <v>219</v>
      </c>
      <c r="J539" s="22">
        <f t="shared" si="48"/>
        <v>2069</v>
      </c>
      <c r="K539" s="22">
        <f t="shared" si="49"/>
        <v>1272</v>
      </c>
      <c r="L539" s="22">
        <f t="shared" si="50"/>
        <v>797</v>
      </c>
      <c r="M539" s="22">
        <f t="shared" si="51"/>
        <v>2133</v>
      </c>
      <c r="N539" s="24">
        <f t="shared" si="52"/>
        <v>0.37365213314580403</v>
      </c>
      <c r="O539" s="24">
        <v>0.37417840375586903</v>
      </c>
      <c r="P539" s="24">
        <f t="shared" si="53"/>
        <v>-5.2627061006499387E-4</v>
      </c>
      <c r="Q539" s="22"/>
    </row>
    <row r="540" spans="1:17" ht="15" customHeight="1" x14ac:dyDescent="0.25">
      <c r="A540" s="22" t="s">
        <v>377</v>
      </c>
      <c r="B540" s="22">
        <v>16</v>
      </c>
      <c r="C540" s="22" t="s">
        <v>351</v>
      </c>
      <c r="D540" s="22">
        <v>15</v>
      </c>
      <c r="E540" s="22" t="s">
        <v>378</v>
      </c>
      <c r="F540" s="22" t="s">
        <v>183</v>
      </c>
      <c r="G540" s="23">
        <v>35885</v>
      </c>
      <c r="H540" s="22">
        <v>32</v>
      </c>
      <c r="I540" s="22">
        <v>205</v>
      </c>
      <c r="J540" s="22">
        <f t="shared" si="48"/>
        <v>2101</v>
      </c>
      <c r="K540" s="22">
        <f t="shared" si="49"/>
        <v>1477</v>
      </c>
      <c r="L540" s="22">
        <f t="shared" si="50"/>
        <v>624</v>
      </c>
      <c r="M540" s="22">
        <f t="shared" si="51"/>
        <v>2133</v>
      </c>
      <c r="N540" s="24">
        <f t="shared" si="52"/>
        <v>0.29254571026722925</v>
      </c>
      <c r="O540" s="24">
        <v>0.29295774647887302</v>
      </c>
      <c r="P540" s="24">
        <f t="shared" si="53"/>
        <v>-4.1203621164376258E-4</v>
      </c>
      <c r="Q540" s="22"/>
    </row>
    <row r="541" spans="1:17" ht="15" customHeight="1" x14ac:dyDescent="0.25">
      <c r="A541" s="22" t="s">
        <v>377</v>
      </c>
      <c r="B541" s="22">
        <v>17</v>
      </c>
      <c r="C541" s="22" t="s">
        <v>311</v>
      </c>
      <c r="D541" s="22">
        <v>30</v>
      </c>
      <c r="E541" s="22" t="s">
        <v>378</v>
      </c>
      <c r="F541" s="22" t="s">
        <v>183</v>
      </c>
      <c r="G541" s="23">
        <v>35885</v>
      </c>
      <c r="H541" s="22">
        <v>18</v>
      </c>
      <c r="I541" s="22">
        <v>192</v>
      </c>
      <c r="J541" s="22">
        <f t="shared" si="48"/>
        <v>2119</v>
      </c>
      <c r="K541" s="22">
        <f t="shared" si="49"/>
        <v>1669</v>
      </c>
      <c r="L541" s="22">
        <f t="shared" si="50"/>
        <v>450</v>
      </c>
      <c r="M541" s="22">
        <f t="shared" si="51"/>
        <v>2133</v>
      </c>
      <c r="N541" s="24">
        <f t="shared" si="52"/>
        <v>0.2109704641350211</v>
      </c>
      <c r="O541" s="24">
        <v>0.21126760563380301</v>
      </c>
      <c r="P541" s="24">
        <f t="shared" si="53"/>
        <v>-2.9714149878190543E-4</v>
      </c>
      <c r="Q541" s="22"/>
    </row>
    <row r="542" spans="1:17" ht="15" customHeight="1" x14ac:dyDescent="0.25">
      <c r="A542" s="22" t="s">
        <v>377</v>
      </c>
      <c r="B542" s="22">
        <v>18</v>
      </c>
      <c r="C542" s="22" t="s">
        <v>211</v>
      </c>
      <c r="D542" s="22">
        <v>45</v>
      </c>
      <c r="E542" s="22" t="s">
        <v>378</v>
      </c>
      <c r="F542" s="22" t="s">
        <v>183</v>
      </c>
      <c r="G542" s="23">
        <v>35885</v>
      </c>
      <c r="H542" s="22">
        <v>11</v>
      </c>
      <c r="I542" s="22">
        <v>140</v>
      </c>
      <c r="J542" s="22">
        <f t="shared" si="48"/>
        <v>2130</v>
      </c>
      <c r="K542" s="22">
        <f t="shared" si="49"/>
        <v>1809</v>
      </c>
      <c r="L542" s="22">
        <f t="shared" si="50"/>
        <v>321</v>
      </c>
      <c r="M542" s="22">
        <f t="shared" si="51"/>
        <v>2133</v>
      </c>
      <c r="N542" s="24">
        <f t="shared" si="52"/>
        <v>0.15049226441631505</v>
      </c>
      <c r="O542" s="24">
        <v>0.150704225352113</v>
      </c>
      <c r="P542" s="24">
        <f t="shared" si="53"/>
        <v>-2.1196093579795017E-4</v>
      </c>
      <c r="Q542" s="22"/>
    </row>
    <row r="543" spans="1:17" ht="15" customHeight="1" x14ac:dyDescent="0.25">
      <c r="A543" s="22" t="s">
        <v>377</v>
      </c>
      <c r="B543" s="22">
        <v>19</v>
      </c>
      <c r="C543" s="22" t="s">
        <v>190</v>
      </c>
      <c r="D543" s="22">
        <v>60</v>
      </c>
      <c r="E543" s="22" t="s">
        <v>378</v>
      </c>
      <c r="F543" s="22" t="s">
        <v>183</v>
      </c>
      <c r="G543" s="23">
        <v>35885</v>
      </c>
      <c r="H543" s="22">
        <v>3</v>
      </c>
      <c r="I543" s="22">
        <v>35</v>
      </c>
      <c r="J543" s="22">
        <f t="shared" si="48"/>
        <v>2133</v>
      </c>
      <c r="K543" s="22">
        <f t="shared" si="49"/>
        <v>1844</v>
      </c>
      <c r="L543" s="22">
        <f t="shared" si="50"/>
        <v>289</v>
      </c>
      <c r="M543" s="22">
        <f t="shared" si="51"/>
        <v>2133</v>
      </c>
      <c r="N543" s="24">
        <f t="shared" si="52"/>
        <v>0.13548992030004689</v>
      </c>
      <c r="O543" s="24">
        <v>0.13568075117370901</v>
      </c>
      <c r="P543" s="24">
        <f t="shared" si="53"/>
        <v>-1.9083087366211782E-4</v>
      </c>
      <c r="Q543" s="22"/>
    </row>
    <row r="544" spans="1:17" ht="15" customHeight="1" x14ac:dyDescent="0.25">
      <c r="A544" s="22" t="s">
        <v>384</v>
      </c>
      <c r="B544" s="22">
        <v>0</v>
      </c>
      <c r="C544" s="22" t="s">
        <v>189</v>
      </c>
      <c r="D544" s="22"/>
      <c r="E544" s="22" t="s">
        <v>378</v>
      </c>
      <c r="F544" s="22" t="s">
        <v>183</v>
      </c>
      <c r="G544" s="23">
        <v>35885</v>
      </c>
      <c r="H544" s="22">
        <v>0</v>
      </c>
      <c r="I544" s="22">
        <v>0</v>
      </c>
      <c r="J544" s="22">
        <f t="shared" si="48"/>
        <v>0</v>
      </c>
      <c r="K544" s="22">
        <f t="shared" si="49"/>
        <v>0</v>
      </c>
      <c r="L544" s="22">
        <f t="shared" si="50"/>
        <v>0</v>
      </c>
      <c r="M544" s="22">
        <f t="shared" si="51"/>
        <v>47</v>
      </c>
      <c r="N544" s="24">
        <f t="shared" si="52"/>
        <v>0</v>
      </c>
      <c r="O544" s="24">
        <v>0</v>
      </c>
      <c r="P544" s="24">
        <f t="shared" si="53"/>
        <v>0</v>
      </c>
      <c r="Q544" s="22"/>
    </row>
    <row r="545" spans="1:17" ht="15" customHeight="1" x14ac:dyDescent="0.25">
      <c r="A545" s="22" t="s">
        <v>384</v>
      </c>
      <c r="B545" s="22">
        <v>7</v>
      </c>
      <c r="C545" s="22" t="s">
        <v>212</v>
      </c>
      <c r="D545" s="22">
        <v>-120</v>
      </c>
      <c r="E545" s="22" t="s">
        <v>378</v>
      </c>
      <c r="F545" s="22" t="s">
        <v>183</v>
      </c>
      <c r="G545" s="23">
        <v>35885</v>
      </c>
      <c r="H545" s="22">
        <v>3</v>
      </c>
      <c r="I545" s="22">
        <v>0</v>
      </c>
      <c r="J545" s="22">
        <f t="shared" si="48"/>
        <v>3</v>
      </c>
      <c r="K545" s="22">
        <f t="shared" si="49"/>
        <v>0</v>
      </c>
      <c r="L545" s="22">
        <f t="shared" si="50"/>
        <v>3</v>
      </c>
      <c r="M545" s="22">
        <f t="shared" si="51"/>
        <v>47</v>
      </c>
      <c r="N545" s="24">
        <f t="shared" si="52"/>
        <v>6.3829787234042548E-2</v>
      </c>
      <c r="O545" s="24">
        <v>6.3829787234042604E-2</v>
      </c>
      <c r="P545" s="24">
        <f t="shared" si="53"/>
        <v>-5.5511151231257827E-17</v>
      </c>
      <c r="Q545" s="22"/>
    </row>
    <row r="546" spans="1:17" ht="15" customHeight="1" x14ac:dyDescent="0.25">
      <c r="A546" s="22" t="s">
        <v>384</v>
      </c>
      <c r="B546" s="22">
        <v>8</v>
      </c>
      <c r="C546" s="22" t="s">
        <v>226</v>
      </c>
      <c r="D546" s="22">
        <v>-105</v>
      </c>
      <c r="E546" s="22" t="s">
        <v>378</v>
      </c>
      <c r="F546" s="22" t="s">
        <v>183</v>
      </c>
      <c r="G546" s="23">
        <v>35885</v>
      </c>
      <c r="H546" s="22">
        <v>4</v>
      </c>
      <c r="I546" s="22">
        <v>0</v>
      </c>
      <c r="J546" s="22">
        <f t="shared" si="48"/>
        <v>7</v>
      </c>
      <c r="K546" s="22">
        <f t="shared" si="49"/>
        <v>0</v>
      </c>
      <c r="L546" s="22">
        <f t="shared" si="50"/>
        <v>7</v>
      </c>
      <c r="M546" s="22">
        <f t="shared" si="51"/>
        <v>47</v>
      </c>
      <c r="N546" s="24">
        <f t="shared" si="52"/>
        <v>0.14893617021276595</v>
      </c>
      <c r="O546" s="24">
        <v>0.14893617021276601</v>
      </c>
      <c r="P546" s="24">
        <f t="shared" si="53"/>
        <v>-5.5511151231257827E-17</v>
      </c>
      <c r="Q546" s="22"/>
    </row>
    <row r="547" spans="1:17" ht="15" customHeight="1" x14ac:dyDescent="0.25">
      <c r="A547" s="22" t="s">
        <v>384</v>
      </c>
      <c r="B547" s="22">
        <v>9</v>
      </c>
      <c r="C547" s="22" t="s">
        <v>264</v>
      </c>
      <c r="D547" s="22">
        <v>-90</v>
      </c>
      <c r="E547" s="22" t="s">
        <v>378</v>
      </c>
      <c r="F547" s="22" t="s">
        <v>183</v>
      </c>
      <c r="G547" s="23">
        <v>35885</v>
      </c>
      <c r="H547" s="22">
        <v>6</v>
      </c>
      <c r="I547" s="22">
        <v>2</v>
      </c>
      <c r="J547" s="22">
        <f t="shared" si="48"/>
        <v>13</v>
      </c>
      <c r="K547" s="22">
        <f t="shared" si="49"/>
        <v>2</v>
      </c>
      <c r="L547" s="22">
        <f t="shared" si="50"/>
        <v>11</v>
      </c>
      <c r="M547" s="22">
        <f t="shared" si="51"/>
        <v>47</v>
      </c>
      <c r="N547" s="24">
        <f t="shared" si="52"/>
        <v>0.23404255319148937</v>
      </c>
      <c r="O547" s="24">
        <v>0.23404255319148901</v>
      </c>
      <c r="P547" s="24">
        <f t="shared" si="53"/>
        <v>3.6082248300317588E-16</v>
      </c>
      <c r="Q547" s="22"/>
    </row>
    <row r="548" spans="1:17" ht="15" customHeight="1" x14ac:dyDescent="0.25">
      <c r="A548" s="22" t="s">
        <v>384</v>
      </c>
      <c r="B548" s="22">
        <v>10</v>
      </c>
      <c r="C548" s="22" t="s">
        <v>191</v>
      </c>
      <c r="D548" s="22">
        <v>-75</v>
      </c>
      <c r="E548" s="22" t="s">
        <v>378</v>
      </c>
      <c r="F548" s="22" t="s">
        <v>183</v>
      </c>
      <c r="G548" s="23">
        <v>35885</v>
      </c>
      <c r="H548" s="22">
        <v>10</v>
      </c>
      <c r="I548" s="22">
        <v>3</v>
      </c>
      <c r="J548" s="22">
        <f t="shared" si="48"/>
        <v>23</v>
      </c>
      <c r="K548" s="22">
        <f t="shared" si="49"/>
        <v>5</v>
      </c>
      <c r="L548" s="22">
        <f t="shared" si="50"/>
        <v>18</v>
      </c>
      <c r="M548" s="22">
        <f t="shared" si="51"/>
        <v>47</v>
      </c>
      <c r="N548" s="24">
        <f t="shared" si="52"/>
        <v>0.38297872340425532</v>
      </c>
      <c r="O548" s="24">
        <v>0.38297872340425498</v>
      </c>
      <c r="P548" s="24">
        <f t="shared" si="53"/>
        <v>3.3306690738754696E-16</v>
      </c>
      <c r="Q548" s="22"/>
    </row>
    <row r="549" spans="1:17" ht="15" customHeight="1" x14ac:dyDescent="0.25">
      <c r="A549" s="22" t="s">
        <v>384</v>
      </c>
      <c r="B549" s="22">
        <v>11</v>
      </c>
      <c r="C549" s="22" t="s">
        <v>231</v>
      </c>
      <c r="D549" s="22">
        <v>-60</v>
      </c>
      <c r="E549" s="22" t="s">
        <v>378</v>
      </c>
      <c r="F549" s="22" t="s">
        <v>183</v>
      </c>
      <c r="G549" s="23">
        <v>35885</v>
      </c>
      <c r="H549" s="22">
        <v>7</v>
      </c>
      <c r="I549" s="22">
        <v>2</v>
      </c>
      <c r="J549" s="22">
        <f t="shared" si="48"/>
        <v>30</v>
      </c>
      <c r="K549" s="22">
        <f t="shared" si="49"/>
        <v>7</v>
      </c>
      <c r="L549" s="22">
        <f t="shared" si="50"/>
        <v>23</v>
      </c>
      <c r="M549" s="22">
        <f t="shared" si="51"/>
        <v>47</v>
      </c>
      <c r="N549" s="24">
        <f t="shared" si="52"/>
        <v>0.48936170212765956</v>
      </c>
      <c r="O549" s="24">
        <v>0.48936170212766</v>
      </c>
      <c r="P549" s="24">
        <f t="shared" si="53"/>
        <v>-4.4408920985006262E-16</v>
      </c>
      <c r="Q549" s="22"/>
    </row>
    <row r="550" spans="1:17" ht="15" customHeight="1" x14ac:dyDescent="0.25">
      <c r="A550" s="22" t="s">
        <v>384</v>
      </c>
      <c r="B550" s="22">
        <v>12</v>
      </c>
      <c r="C550" s="22" t="s">
        <v>239</v>
      </c>
      <c r="D550" s="22">
        <v>-45</v>
      </c>
      <c r="E550" s="22" t="s">
        <v>378</v>
      </c>
      <c r="F550" s="22" t="s">
        <v>183</v>
      </c>
      <c r="G550" s="23">
        <v>35885</v>
      </c>
      <c r="H550" s="22">
        <v>6</v>
      </c>
      <c r="I550" s="22">
        <v>5</v>
      </c>
      <c r="J550" s="22">
        <f t="shared" si="48"/>
        <v>36</v>
      </c>
      <c r="K550" s="22">
        <f t="shared" si="49"/>
        <v>12</v>
      </c>
      <c r="L550" s="22">
        <f t="shared" si="50"/>
        <v>24</v>
      </c>
      <c r="M550" s="22">
        <f t="shared" si="51"/>
        <v>47</v>
      </c>
      <c r="N550" s="24">
        <f t="shared" si="52"/>
        <v>0.51063829787234039</v>
      </c>
      <c r="O550" s="24">
        <v>0.51063829787234005</v>
      </c>
      <c r="P550" s="24">
        <f t="shared" si="53"/>
        <v>3.3306690738754696E-16</v>
      </c>
      <c r="Q550" s="22"/>
    </row>
    <row r="551" spans="1:17" ht="15" customHeight="1" x14ac:dyDescent="0.25">
      <c r="A551" s="22" t="s">
        <v>384</v>
      </c>
      <c r="B551" s="22">
        <v>13</v>
      </c>
      <c r="C551" s="22" t="s">
        <v>387</v>
      </c>
      <c r="D551" s="22">
        <v>-30</v>
      </c>
      <c r="E551" s="22" t="s">
        <v>378</v>
      </c>
      <c r="F551" s="22" t="s">
        <v>183</v>
      </c>
      <c r="G551" s="23">
        <v>35885</v>
      </c>
      <c r="H551" s="22">
        <v>5</v>
      </c>
      <c r="I551" s="22">
        <v>4</v>
      </c>
      <c r="J551" s="22">
        <f t="shared" si="48"/>
        <v>41</v>
      </c>
      <c r="K551" s="22">
        <f t="shared" si="49"/>
        <v>16</v>
      </c>
      <c r="L551" s="22">
        <f t="shared" si="50"/>
        <v>25</v>
      </c>
      <c r="M551" s="22">
        <f t="shared" si="51"/>
        <v>47</v>
      </c>
      <c r="N551" s="24">
        <f t="shared" si="52"/>
        <v>0.53191489361702127</v>
      </c>
      <c r="O551" s="24">
        <v>0.53191489361702105</v>
      </c>
      <c r="P551" s="24">
        <f t="shared" si="53"/>
        <v>2.2204460492503131E-16</v>
      </c>
      <c r="Q551" s="22"/>
    </row>
    <row r="552" spans="1:17" ht="15" customHeight="1" x14ac:dyDescent="0.25">
      <c r="A552" s="22" t="s">
        <v>384</v>
      </c>
      <c r="B552" s="22">
        <v>14</v>
      </c>
      <c r="C552" s="22" t="s">
        <v>468</v>
      </c>
      <c r="D552" s="22">
        <v>-15</v>
      </c>
      <c r="E552" s="22" t="s">
        <v>378</v>
      </c>
      <c r="F552" s="22" t="s">
        <v>183</v>
      </c>
      <c r="G552" s="23">
        <v>35885</v>
      </c>
      <c r="H552" s="22">
        <v>3</v>
      </c>
      <c r="I552" s="22">
        <v>3</v>
      </c>
      <c r="J552" s="22">
        <f t="shared" si="48"/>
        <v>44</v>
      </c>
      <c r="K552" s="22">
        <f t="shared" si="49"/>
        <v>19</v>
      </c>
      <c r="L552" s="22">
        <f t="shared" si="50"/>
        <v>25</v>
      </c>
      <c r="M552" s="22">
        <f t="shared" si="51"/>
        <v>47</v>
      </c>
      <c r="N552" s="24">
        <f t="shared" si="52"/>
        <v>0.53191489361702127</v>
      </c>
      <c r="O552" s="24">
        <v>0.53191489361702105</v>
      </c>
      <c r="P552" s="24">
        <f t="shared" si="53"/>
        <v>2.2204460492503131E-16</v>
      </c>
      <c r="Q552" s="22"/>
    </row>
    <row r="553" spans="1:17" ht="15" customHeight="1" x14ac:dyDescent="0.25">
      <c r="A553" s="22" t="s">
        <v>384</v>
      </c>
      <c r="B553" s="22">
        <v>15</v>
      </c>
      <c r="C553" s="22" t="s">
        <v>469</v>
      </c>
      <c r="D553" s="22">
        <v>0</v>
      </c>
      <c r="E553" s="22" t="s">
        <v>378</v>
      </c>
      <c r="F553" s="22" t="s">
        <v>183</v>
      </c>
      <c r="G553" s="23">
        <v>35885</v>
      </c>
      <c r="H553" s="22">
        <v>2</v>
      </c>
      <c r="I553" s="22">
        <v>6</v>
      </c>
      <c r="J553" s="22">
        <f t="shared" si="48"/>
        <v>46</v>
      </c>
      <c r="K553" s="22">
        <f t="shared" si="49"/>
        <v>25</v>
      </c>
      <c r="L553" s="22">
        <f t="shared" si="50"/>
        <v>21</v>
      </c>
      <c r="M553" s="22">
        <f t="shared" si="51"/>
        <v>47</v>
      </c>
      <c r="N553" s="24">
        <f t="shared" si="52"/>
        <v>0.44680851063829785</v>
      </c>
      <c r="O553" s="24">
        <v>0.44680851063829802</v>
      </c>
      <c r="P553" s="24">
        <f t="shared" si="53"/>
        <v>-1.6653345369377348E-16</v>
      </c>
      <c r="Q553" s="22"/>
    </row>
    <row r="554" spans="1:17" ht="15" customHeight="1" x14ac:dyDescent="0.25">
      <c r="A554" s="22" t="s">
        <v>384</v>
      </c>
      <c r="B554" s="22">
        <v>16</v>
      </c>
      <c r="C554" s="22" t="s">
        <v>351</v>
      </c>
      <c r="D554" s="22">
        <v>15</v>
      </c>
      <c r="E554" s="22" t="s">
        <v>378</v>
      </c>
      <c r="F554" s="22" t="s">
        <v>183</v>
      </c>
      <c r="G554" s="23">
        <v>35885</v>
      </c>
      <c r="H554" s="22">
        <v>1</v>
      </c>
      <c r="I554" s="22">
        <v>5</v>
      </c>
      <c r="J554" s="22">
        <f t="shared" si="48"/>
        <v>47</v>
      </c>
      <c r="K554" s="22">
        <f t="shared" si="49"/>
        <v>30</v>
      </c>
      <c r="L554" s="22">
        <f t="shared" si="50"/>
        <v>17</v>
      </c>
      <c r="M554" s="22">
        <f t="shared" si="51"/>
        <v>47</v>
      </c>
      <c r="N554" s="24">
        <f t="shared" si="52"/>
        <v>0.36170212765957449</v>
      </c>
      <c r="O554" s="24">
        <v>0.36170212765957499</v>
      </c>
      <c r="P554" s="24">
        <f t="shared" si="53"/>
        <v>-4.9960036108132044E-16</v>
      </c>
      <c r="Q554" s="22"/>
    </row>
    <row r="555" spans="1:17" ht="15" customHeight="1" x14ac:dyDescent="0.25">
      <c r="A555" s="22" t="s">
        <v>384</v>
      </c>
      <c r="B555" s="22">
        <v>17</v>
      </c>
      <c r="C555" s="22" t="s">
        <v>311</v>
      </c>
      <c r="D555" s="22">
        <v>30</v>
      </c>
      <c r="E555" s="22" t="s">
        <v>378</v>
      </c>
      <c r="F555" s="22" t="s">
        <v>183</v>
      </c>
      <c r="G555" s="23">
        <v>35885</v>
      </c>
      <c r="H555" s="22">
        <v>0</v>
      </c>
      <c r="I555" s="22">
        <v>3</v>
      </c>
      <c r="J555" s="22">
        <f t="shared" si="48"/>
        <v>47</v>
      </c>
      <c r="K555" s="22">
        <f t="shared" si="49"/>
        <v>33</v>
      </c>
      <c r="L555" s="22">
        <f t="shared" si="50"/>
        <v>14</v>
      </c>
      <c r="M555" s="22">
        <f t="shared" si="51"/>
        <v>47</v>
      </c>
      <c r="N555" s="24">
        <f t="shared" si="52"/>
        <v>0.2978723404255319</v>
      </c>
      <c r="O555" s="24">
        <v>0.29787234042553201</v>
      </c>
      <c r="P555" s="24">
        <f t="shared" si="53"/>
        <v>-1.1102230246251565E-16</v>
      </c>
      <c r="Q555" s="22"/>
    </row>
    <row r="556" spans="1:17" ht="15" customHeight="1" x14ac:dyDescent="0.25">
      <c r="A556" s="22" t="s">
        <v>384</v>
      </c>
      <c r="B556" s="22">
        <v>18</v>
      </c>
      <c r="C556" s="22" t="s">
        <v>211</v>
      </c>
      <c r="D556" s="22">
        <v>45</v>
      </c>
      <c r="E556" s="22" t="s">
        <v>378</v>
      </c>
      <c r="F556" s="22" t="s">
        <v>183</v>
      </c>
      <c r="G556" s="23">
        <v>35885</v>
      </c>
      <c r="H556" s="22">
        <v>0</v>
      </c>
      <c r="I556" s="22">
        <v>3</v>
      </c>
      <c r="J556" s="22">
        <f t="shared" si="48"/>
        <v>47</v>
      </c>
      <c r="K556" s="22">
        <f t="shared" si="49"/>
        <v>36</v>
      </c>
      <c r="L556" s="22">
        <f t="shared" si="50"/>
        <v>11</v>
      </c>
      <c r="M556" s="22">
        <f t="shared" si="51"/>
        <v>47</v>
      </c>
      <c r="N556" s="24">
        <f t="shared" si="52"/>
        <v>0.23404255319148937</v>
      </c>
      <c r="O556" s="24">
        <v>0.23404255319148901</v>
      </c>
      <c r="P556" s="24">
        <f t="shared" si="53"/>
        <v>3.6082248300317588E-16</v>
      </c>
      <c r="Q556" s="22"/>
    </row>
    <row r="557" spans="1:17" ht="15" customHeight="1" x14ac:dyDescent="0.25">
      <c r="A557" s="22" t="s">
        <v>384</v>
      </c>
      <c r="B557" s="22">
        <v>19</v>
      </c>
      <c r="C557" s="22" t="s">
        <v>190</v>
      </c>
      <c r="D557" s="22">
        <v>60</v>
      </c>
      <c r="E557" s="22" t="s">
        <v>378</v>
      </c>
      <c r="F557" s="22" t="s">
        <v>183</v>
      </c>
      <c r="G557" s="23">
        <v>35885</v>
      </c>
      <c r="H557" s="22">
        <v>0</v>
      </c>
      <c r="I557" s="22">
        <v>0</v>
      </c>
      <c r="J557" s="22">
        <f t="shared" si="48"/>
        <v>47</v>
      </c>
      <c r="K557" s="22">
        <f t="shared" si="49"/>
        <v>36</v>
      </c>
      <c r="L557" s="22">
        <f t="shared" si="50"/>
        <v>11</v>
      </c>
      <c r="M557" s="22">
        <f t="shared" si="51"/>
        <v>47</v>
      </c>
      <c r="N557" s="24">
        <f t="shared" si="52"/>
        <v>0.23404255319148937</v>
      </c>
      <c r="O557" s="24">
        <v>0.23404255319148901</v>
      </c>
      <c r="P557" s="24">
        <f t="shared" si="53"/>
        <v>3.6082248300317588E-16</v>
      </c>
      <c r="Q557" s="22"/>
    </row>
    <row r="558" spans="1:17" ht="15" customHeight="1" x14ac:dyDescent="0.25">
      <c r="A558" s="22" t="s">
        <v>389</v>
      </c>
      <c r="B558" s="22">
        <v>0</v>
      </c>
      <c r="C558" s="22" t="s">
        <v>189</v>
      </c>
      <c r="D558" s="22"/>
      <c r="E558" s="22" t="s">
        <v>378</v>
      </c>
      <c r="F558" s="22" t="s">
        <v>183</v>
      </c>
      <c r="G558" s="23">
        <v>35885</v>
      </c>
      <c r="H558" s="22">
        <v>34</v>
      </c>
      <c r="I558" s="22">
        <v>2</v>
      </c>
      <c r="J558" s="22">
        <f t="shared" si="48"/>
        <v>34</v>
      </c>
      <c r="K558" s="22">
        <f t="shared" si="49"/>
        <v>2</v>
      </c>
      <c r="L558" s="22">
        <f t="shared" si="50"/>
        <v>32</v>
      </c>
      <c r="M558" s="22">
        <f t="shared" si="51"/>
        <v>402</v>
      </c>
      <c r="N558" s="24">
        <f t="shared" si="52"/>
        <v>7.9601990049751242E-2</v>
      </c>
      <c r="O558" s="24">
        <v>7.9601990049751201E-2</v>
      </c>
      <c r="P558" s="24">
        <f t="shared" si="53"/>
        <v>4.163336342344337E-17</v>
      </c>
      <c r="Q558" s="22"/>
    </row>
    <row r="559" spans="1:17" ht="15" customHeight="1" x14ac:dyDescent="0.25">
      <c r="A559" s="22" t="s">
        <v>389</v>
      </c>
      <c r="B559" s="22">
        <v>7</v>
      </c>
      <c r="C559" s="22" t="s">
        <v>212</v>
      </c>
      <c r="D559" s="22">
        <v>-120</v>
      </c>
      <c r="E559" s="22" t="s">
        <v>378</v>
      </c>
      <c r="F559" s="22" t="s">
        <v>183</v>
      </c>
      <c r="G559" s="23">
        <v>35885</v>
      </c>
      <c r="H559" s="22">
        <v>65</v>
      </c>
      <c r="I559" s="22">
        <v>4</v>
      </c>
      <c r="J559" s="22">
        <f t="shared" si="48"/>
        <v>99</v>
      </c>
      <c r="K559" s="22">
        <f t="shared" si="49"/>
        <v>6</v>
      </c>
      <c r="L559" s="22">
        <f t="shared" si="50"/>
        <v>93</v>
      </c>
      <c r="M559" s="22">
        <f t="shared" si="51"/>
        <v>402</v>
      </c>
      <c r="N559" s="24">
        <f t="shared" si="52"/>
        <v>0.23134328358208955</v>
      </c>
      <c r="O559" s="24">
        <v>0.23134328358209</v>
      </c>
      <c r="P559" s="24">
        <f t="shared" si="53"/>
        <v>-4.4408920985006262E-16</v>
      </c>
      <c r="Q559" s="22"/>
    </row>
    <row r="560" spans="1:17" ht="15" customHeight="1" x14ac:dyDescent="0.25">
      <c r="A560" s="22" t="s">
        <v>389</v>
      </c>
      <c r="B560" s="22">
        <v>8</v>
      </c>
      <c r="C560" s="22" t="s">
        <v>226</v>
      </c>
      <c r="D560" s="22">
        <v>-105</v>
      </c>
      <c r="E560" s="22" t="s">
        <v>378</v>
      </c>
      <c r="F560" s="22" t="s">
        <v>183</v>
      </c>
      <c r="G560" s="23">
        <v>35885</v>
      </c>
      <c r="H560" s="22">
        <v>77</v>
      </c>
      <c r="I560" s="22">
        <v>3</v>
      </c>
      <c r="J560" s="22">
        <f t="shared" si="48"/>
        <v>176</v>
      </c>
      <c r="K560" s="22">
        <f t="shared" si="49"/>
        <v>9</v>
      </c>
      <c r="L560" s="22">
        <f t="shared" si="50"/>
        <v>167</v>
      </c>
      <c r="M560" s="22">
        <f t="shared" si="51"/>
        <v>402</v>
      </c>
      <c r="N560" s="24">
        <f t="shared" si="52"/>
        <v>0.4154228855721393</v>
      </c>
      <c r="O560" s="24">
        <v>0.41542288557213902</v>
      </c>
      <c r="P560" s="24">
        <f t="shared" si="53"/>
        <v>2.7755575615628914E-16</v>
      </c>
      <c r="Q560" s="22"/>
    </row>
    <row r="561" spans="1:17" ht="15" customHeight="1" x14ac:dyDescent="0.25">
      <c r="A561" s="22" t="s">
        <v>389</v>
      </c>
      <c r="B561" s="22">
        <v>9</v>
      </c>
      <c r="C561" s="22" t="s">
        <v>264</v>
      </c>
      <c r="D561" s="22">
        <v>-90</v>
      </c>
      <c r="E561" s="22" t="s">
        <v>378</v>
      </c>
      <c r="F561" s="22" t="s">
        <v>183</v>
      </c>
      <c r="G561" s="23">
        <v>35885</v>
      </c>
      <c r="H561" s="22">
        <v>66</v>
      </c>
      <c r="I561" s="22">
        <v>9</v>
      </c>
      <c r="J561" s="22">
        <f t="shared" si="48"/>
        <v>242</v>
      </c>
      <c r="K561" s="22">
        <f t="shared" si="49"/>
        <v>18</v>
      </c>
      <c r="L561" s="22">
        <f t="shared" si="50"/>
        <v>224</v>
      </c>
      <c r="M561" s="22">
        <f t="shared" si="51"/>
        <v>402</v>
      </c>
      <c r="N561" s="24">
        <f t="shared" si="52"/>
        <v>0.55721393034825872</v>
      </c>
      <c r="O561" s="24">
        <v>0.55721393034825895</v>
      </c>
      <c r="P561" s="24">
        <f t="shared" si="53"/>
        <v>-2.2204460492503131E-16</v>
      </c>
      <c r="Q561" s="22"/>
    </row>
    <row r="562" spans="1:17" ht="15" customHeight="1" x14ac:dyDescent="0.25">
      <c r="A562" s="22" t="s">
        <v>389</v>
      </c>
      <c r="B562" s="22">
        <v>10</v>
      </c>
      <c r="C562" s="22" t="s">
        <v>191</v>
      </c>
      <c r="D562" s="22">
        <v>-75</v>
      </c>
      <c r="E562" s="22" t="s">
        <v>378</v>
      </c>
      <c r="F562" s="22" t="s">
        <v>183</v>
      </c>
      <c r="G562" s="23">
        <v>35885</v>
      </c>
      <c r="H562" s="22">
        <v>60</v>
      </c>
      <c r="I562" s="22">
        <v>14</v>
      </c>
      <c r="J562" s="22">
        <f t="shared" si="48"/>
        <v>302</v>
      </c>
      <c r="K562" s="22">
        <f t="shared" si="49"/>
        <v>32</v>
      </c>
      <c r="L562" s="22">
        <f t="shared" si="50"/>
        <v>270</v>
      </c>
      <c r="M562" s="22">
        <f t="shared" si="51"/>
        <v>402</v>
      </c>
      <c r="N562" s="24">
        <f t="shared" si="52"/>
        <v>0.67164179104477617</v>
      </c>
      <c r="O562" s="24">
        <v>0.67164179104477595</v>
      </c>
      <c r="P562" s="24">
        <f t="shared" si="53"/>
        <v>2.2204460492503131E-16</v>
      </c>
      <c r="Q562" s="22"/>
    </row>
    <row r="563" spans="1:17" ht="15" customHeight="1" x14ac:dyDescent="0.25">
      <c r="A563" s="22" t="s">
        <v>389</v>
      </c>
      <c r="B563" s="22">
        <v>11</v>
      </c>
      <c r="C563" s="22" t="s">
        <v>231</v>
      </c>
      <c r="D563" s="22">
        <v>-60</v>
      </c>
      <c r="E563" s="22" t="s">
        <v>378</v>
      </c>
      <c r="F563" s="22" t="s">
        <v>183</v>
      </c>
      <c r="G563" s="23">
        <v>35885</v>
      </c>
      <c r="H563" s="22">
        <v>26</v>
      </c>
      <c r="I563" s="22">
        <v>36</v>
      </c>
      <c r="J563" s="22">
        <f t="shared" si="48"/>
        <v>328</v>
      </c>
      <c r="K563" s="22">
        <f t="shared" si="49"/>
        <v>68</v>
      </c>
      <c r="L563" s="22">
        <f t="shared" si="50"/>
        <v>260</v>
      </c>
      <c r="M563" s="22">
        <f t="shared" si="51"/>
        <v>402</v>
      </c>
      <c r="N563" s="24">
        <f t="shared" si="52"/>
        <v>0.64676616915422891</v>
      </c>
      <c r="O563" s="24">
        <v>0.64676616915422902</v>
      </c>
      <c r="P563" s="24">
        <f t="shared" si="53"/>
        <v>-1.1102230246251565E-16</v>
      </c>
      <c r="Q563" s="22"/>
    </row>
    <row r="564" spans="1:17" ht="15" customHeight="1" x14ac:dyDescent="0.25">
      <c r="A564" s="22" t="s">
        <v>389</v>
      </c>
      <c r="B564" s="22">
        <v>12</v>
      </c>
      <c r="C564" s="22" t="s">
        <v>239</v>
      </c>
      <c r="D564" s="22">
        <v>-45</v>
      </c>
      <c r="E564" s="22" t="s">
        <v>378</v>
      </c>
      <c r="F564" s="22" t="s">
        <v>183</v>
      </c>
      <c r="G564" s="23">
        <v>35885</v>
      </c>
      <c r="H564" s="22">
        <v>20</v>
      </c>
      <c r="I564" s="22">
        <v>43</v>
      </c>
      <c r="J564" s="22">
        <f t="shared" si="48"/>
        <v>348</v>
      </c>
      <c r="K564" s="22">
        <f t="shared" si="49"/>
        <v>111</v>
      </c>
      <c r="L564" s="22">
        <f t="shared" si="50"/>
        <v>237</v>
      </c>
      <c r="M564" s="22">
        <f t="shared" si="51"/>
        <v>402</v>
      </c>
      <c r="N564" s="24">
        <f t="shared" si="52"/>
        <v>0.58955223880597019</v>
      </c>
      <c r="O564" s="24">
        <v>0.58955223880596996</v>
      </c>
      <c r="P564" s="24">
        <f t="shared" si="53"/>
        <v>2.2204460492503131E-16</v>
      </c>
      <c r="Q564" s="22"/>
    </row>
    <row r="565" spans="1:17" ht="15" customHeight="1" x14ac:dyDescent="0.25">
      <c r="A565" s="22" t="s">
        <v>389</v>
      </c>
      <c r="B565" s="22">
        <v>13</v>
      </c>
      <c r="C565" s="22" t="s">
        <v>387</v>
      </c>
      <c r="D565" s="22">
        <v>-30</v>
      </c>
      <c r="E565" s="22" t="s">
        <v>378</v>
      </c>
      <c r="F565" s="22" t="s">
        <v>183</v>
      </c>
      <c r="G565" s="23">
        <v>35885</v>
      </c>
      <c r="H565" s="22">
        <v>20</v>
      </c>
      <c r="I565" s="22">
        <v>59</v>
      </c>
      <c r="J565" s="22">
        <f t="shared" si="48"/>
        <v>368</v>
      </c>
      <c r="K565" s="22">
        <f t="shared" si="49"/>
        <v>170</v>
      </c>
      <c r="L565" s="22">
        <f t="shared" si="50"/>
        <v>198</v>
      </c>
      <c r="M565" s="22">
        <f t="shared" si="51"/>
        <v>402</v>
      </c>
      <c r="N565" s="24">
        <f t="shared" si="52"/>
        <v>0.4925373134328358</v>
      </c>
      <c r="O565" s="24">
        <v>0.49253731343283602</v>
      </c>
      <c r="P565" s="24">
        <f t="shared" si="53"/>
        <v>-2.2204460492503131E-16</v>
      </c>
      <c r="Q565" s="22"/>
    </row>
    <row r="566" spans="1:17" ht="15" customHeight="1" x14ac:dyDescent="0.25">
      <c r="A566" s="22" t="s">
        <v>389</v>
      </c>
      <c r="B566" s="22">
        <v>14</v>
      </c>
      <c r="C566" s="22" t="s">
        <v>468</v>
      </c>
      <c r="D566" s="22">
        <v>-15</v>
      </c>
      <c r="E566" s="22" t="s">
        <v>378</v>
      </c>
      <c r="F566" s="22" t="s">
        <v>183</v>
      </c>
      <c r="G566" s="23">
        <v>35885</v>
      </c>
      <c r="H566" s="22">
        <v>13</v>
      </c>
      <c r="I566" s="22">
        <v>54</v>
      </c>
      <c r="J566" s="22">
        <f t="shared" si="48"/>
        <v>381</v>
      </c>
      <c r="K566" s="22">
        <f t="shared" si="49"/>
        <v>224</v>
      </c>
      <c r="L566" s="22">
        <f t="shared" si="50"/>
        <v>157</v>
      </c>
      <c r="M566" s="22">
        <f t="shared" si="51"/>
        <v>402</v>
      </c>
      <c r="N566" s="24">
        <f t="shared" si="52"/>
        <v>0.39054726368159204</v>
      </c>
      <c r="O566" s="24">
        <v>0.39054726368159198</v>
      </c>
      <c r="P566" s="24">
        <f t="shared" si="53"/>
        <v>5.5511151231257827E-17</v>
      </c>
      <c r="Q566" s="22"/>
    </row>
    <row r="567" spans="1:17" ht="15" customHeight="1" x14ac:dyDescent="0.25">
      <c r="A567" s="22" t="s">
        <v>389</v>
      </c>
      <c r="B567" s="22">
        <v>15</v>
      </c>
      <c r="C567" s="22" t="s">
        <v>469</v>
      </c>
      <c r="D567" s="22">
        <v>0</v>
      </c>
      <c r="E567" s="22" t="s">
        <v>378</v>
      </c>
      <c r="F567" s="22" t="s">
        <v>183</v>
      </c>
      <c r="G567" s="23">
        <v>35885</v>
      </c>
      <c r="H567" s="22">
        <v>8</v>
      </c>
      <c r="I567" s="22">
        <v>68</v>
      </c>
      <c r="J567" s="22">
        <f t="shared" si="48"/>
        <v>389</v>
      </c>
      <c r="K567" s="22">
        <f t="shared" si="49"/>
        <v>292</v>
      </c>
      <c r="L567" s="22">
        <f t="shared" si="50"/>
        <v>97</v>
      </c>
      <c r="M567" s="22">
        <f t="shared" si="51"/>
        <v>402</v>
      </c>
      <c r="N567" s="24">
        <f t="shared" si="52"/>
        <v>0.24129353233830847</v>
      </c>
      <c r="O567" s="24">
        <v>0.241293532338309</v>
      </c>
      <c r="P567" s="24">
        <f t="shared" si="53"/>
        <v>-5.2735593669694936E-16</v>
      </c>
      <c r="Q567" s="22"/>
    </row>
    <row r="568" spans="1:17" ht="15" customHeight="1" x14ac:dyDescent="0.25">
      <c r="A568" s="22" t="s">
        <v>389</v>
      </c>
      <c r="B568" s="22">
        <v>16</v>
      </c>
      <c r="C568" s="22" t="s">
        <v>351</v>
      </c>
      <c r="D568" s="22">
        <v>15</v>
      </c>
      <c r="E568" s="22" t="s">
        <v>378</v>
      </c>
      <c r="F568" s="22" t="s">
        <v>183</v>
      </c>
      <c r="G568" s="23">
        <v>35885</v>
      </c>
      <c r="H568" s="22">
        <v>8</v>
      </c>
      <c r="I568" s="22">
        <v>54</v>
      </c>
      <c r="J568" s="22">
        <f t="shared" si="48"/>
        <v>397</v>
      </c>
      <c r="K568" s="22">
        <f t="shared" si="49"/>
        <v>346</v>
      </c>
      <c r="L568" s="22">
        <f t="shared" si="50"/>
        <v>51</v>
      </c>
      <c r="M568" s="22">
        <f t="shared" si="51"/>
        <v>402</v>
      </c>
      <c r="N568" s="24">
        <f t="shared" si="52"/>
        <v>0.12686567164179105</v>
      </c>
      <c r="O568" s="24">
        <v>0.12686567164179099</v>
      </c>
      <c r="P568" s="24">
        <f t="shared" si="53"/>
        <v>5.5511151231257827E-17</v>
      </c>
      <c r="Q568" s="22"/>
    </row>
    <row r="569" spans="1:17" ht="15" customHeight="1" x14ac:dyDescent="0.25">
      <c r="A569" s="22" t="s">
        <v>389</v>
      </c>
      <c r="B569" s="22">
        <v>17</v>
      </c>
      <c r="C569" s="22" t="s">
        <v>311</v>
      </c>
      <c r="D569" s="22">
        <v>30</v>
      </c>
      <c r="E569" s="22" t="s">
        <v>378</v>
      </c>
      <c r="F569" s="22" t="s">
        <v>183</v>
      </c>
      <c r="G569" s="23">
        <v>35885</v>
      </c>
      <c r="H569" s="22">
        <v>2</v>
      </c>
      <c r="I569" s="22">
        <v>68</v>
      </c>
      <c r="J569" s="22">
        <f t="shared" si="48"/>
        <v>399</v>
      </c>
      <c r="K569" s="22">
        <f t="shared" si="49"/>
        <v>414</v>
      </c>
      <c r="L569" s="22">
        <f t="shared" si="50"/>
        <v>-15</v>
      </c>
      <c r="M569" s="22">
        <f t="shared" si="51"/>
        <v>402</v>
      </c>
      <c r="N569" s="24">
        <f t="shared" si="52"/>
        <v>-3.7313432835820892E-2</v>
      </c>
      <c r="O569" s="24">
        <v>-3.7313432835820899E-2</v>
      </c>
      <c r="P569" s="24">
        <f t="shared" si="53"/>
        <v>6.9388939039072284E-18</v>
      </c>
      <c r="Q569" s="22"/>
    </row>
    <row r="570" spans="1:17" ht="15" customHeight="1" x14ac:dyDescent="0.25">
      <c r="A570" s="22" t="s">
        <v>389</v>
      </c>
      <c r="B570" s="22">
        <v>18</v>
      </c>
      <c r="C570" s="22" t="s">
        <v>211</v>
      </c>
      <c r="D570" s="22">
        <v>45</v>
      </c>
      <c r="E570" s="22" t="s">
        <v>378</v>
      </c>
      <c r="F570" s="22" t="s">
        <v>183</v>
      </c>
      <c r="G570" s="23">
        <v>35885</v>
      </c>
      <c r="H570" s="22">
        <v>3</v>
      </c>
      <c r="I570" s="22">
        <v>37</v>
      </c>
      <c r="J570" s="22">
        <f t="shared" si="48"/>
        <v>402</v>
      </c>
      <c r="K570" s="22">
        <f t="shared" si="49"/>
        <v>451</v>
      </c>
      <c r="L570" s="22">
        <f t="shared" si="50"/>
        <v>-49</v>
      </c>
      <c r="M570" s="22">
        <f t="shared" si="51"/>
        <v>402</v>
      </c>
      <c r="N570" s="24">
        <f t="shared" si="52"/>
        <v>-0.12189054726368159</v>
      </c>
      <c r="O570" s="24">
        <v>-0.12189054726368199</v>
      </c>
      <c r="P570" s="24">
        <f t="shared" si="53"/>
        <v>4.0245584642661925E-16</v>
      </c>
      <c r="Q570" s="22"/>
    </row>
    <row r="571" spans="1:17" ht="15" customHeight="1" x14ac:dyDescent="0.25">
      <c r="A571" s="22" t="s">
        <v>389</v>
      </c>
      <c r="B571" s="22">
        <v>19</v>
      </c>
      <c r="C571" s="22" t="s">
        <v>190</v>
      </c>
      <c r="D571" s="22">
        <v>60</v>
      </c>
      <c r="E571" s="22" t="s">
        <v>378</v>
      </c>
      <c r="F571" s="22" t="s">
        <v>183</v>
      </c>
      <c r="G571" s="23">
        <v>35885</v>
      </c>
      <c r="H571" s="22">
        <v>0</v>
      </c>
      <c r="I571" s="22">
        <v>9</v>
      </c>
      <c r="J571" s="22">
        <f t="shared" si="48"/>
        <v>402</v>
      </c>
      <c r="K571" s="22">
        <f t="shared" si="49"/>
        <v>460</v>
      </c>
      <c r="L571" s="22">
        <f t="shared" si="50"/>
        <v>-58</v>
      </c>
      <c r="M571" s="22">
        <f t="shared" si="51"/>
        <v>402</v>
      </c>
      <c r="N571" s="24">
        <f t="shared" si="52"/>
        <v>-0.14427860696517414</v>
      </c>
      <c r="O571" s="24">
        <v>-0.144278606965174</v>
      </c>
      <c r="P571" s="24">
        <f t="shared" si="53"/>
        <v>-1.3877787807814457E-16</v>
      </c>
      <c r="Q571" s="22"/>
    </row>
    <row r="572" spans="1:17" ht="15" customHeight="1" x14ac:dyDescent="0.25">
      <c r="A572" s="22" t="s">
        <v>392</v>
      </c>
      <c r="B572" s="22">
        <v>0</v>
      </c>
      <c r="C572" s="22" t="s">
        <v>189</v>
      </c>
      <c r="D572" s="22"/>
      <c r="E572" s="22" t="s">
        <v>378</v>
      </c>
      <c r="F572" s="22" t="s">
        <v>183</v>
      </c>
      <c r="G572" s="23">
        <v>35885</v>
      </c>
      <c r="H572" s="22">
        <v>13</v>
      </c>
      <c r="I572" s="22">
        <v>0</v>
      </c>
      <c r="J572" s="22">
        <f t="shared" si="48"/>
        <v>13</v>
      </c>
      <c r="K572" s="22">
        <f t="shared" si="49"/>
        <v>0</v>
      </c>
      <c r="L572" s="22">
        <f t="shared" si="50"/>
        <v>13</v>
      </c>
      <c r="M572" s="22">
        <f t="shared" si="51"/>
        <v>306</v>
      </c>
      <c r="N572" s="24">
        <f t="shared" si="52"/>
        <v>4.2483660130718956E-2</v>
      </c>
      <c r="O572" s="24">
        <v>4.2483660130718998E-2</v>
      </c>
      <c r="P572" s="24">
        <f t="shared" si="53"/>
        <v>-4.163336342344337E-17</v>
      </c>
      <c r="Q572" s="22"/>
    </row>
    <row r="573" spans="1:17" ht="15" customHeight="1" x14ac:dyDescent="0.25">
      <c r="A573" s="22" t="s">
        <v>392</v>
      </c>
      <c r="B573" s="22">
        <v>7</v>
      </c>
      <c r="C573" s="22" t="s">
        <v>212</v>
      </c>
      <c r="D573" s="22">
        <v>-120</v>
      </c>
      <c r="E573" s="22" t="s">
        <v>378</v>
      </c>
      <c r="F573" s="22" t="s">
        <v>183</v>
      </c>
      <c r="G573" s="23">
        <v>35885</v>
      </c>
      <c r="H573" s="22">
        <v>46</v>
      </c>
      <c r="I573" s="22">
        <v>2</v>
      </c>
      <c r="J573" s="22">
        <f t="shared" si="48"/>
        <v>59</v>
      </c>
      <c r="K573" s="22">
        <f t="shared" si="49"/>
        <v>2</v>
      </c>
      <c r="L573" s="22">
        <f t="shared" si="50"/>
        <v>57</v>
      </c>
      <c r="M573" s="22">
        <f t="shared" si="51"/>
        <v>306</v>
      </c>
      <c r="N573" s="24">
        <f t="shared" si="52"/>
        <v>0.18627450980392157</v>
      </c>
      <c r="O573" s="24">
        <v>0.18627450980392199</v>
      </c>
      <c r="P573" s="24">
        <f t="shared" si="53"/>
        <v>-4.163336342344337E-16</v>
      </c>
      <c r="Q573" s="22"/>
    </row>
    <row r="574" spans="1:17" ht="15" customHeight="1" x14ac:dyDescent="0.25">
      <c r="A574" s="22" t="s">
        <v>392</v>
      </c>
      <c r="B574" s="22">
        <v>8</v>
      </c>
      <c r="C574" s="22" t="s">
        <v>226</v>
      </c>
      <c r="D574" s="22">
        <v>-105</v>
      </c>
      <c r="E574" s="22" t="s">
        <v>378</v>
      </c>
      <c r="F574" s="22" t="s">
        <v>183</v>
      </c>
      <c r="G574" s="23">
        <v>35885</v>
      </c>
      <c r="H574" s="22">
        <v>48</v>
      </c>
      <c r="I574" s="22">
        <v>2</v>
      </c>
      <c r="J574" s="22">
        <f t="shared" si="48"/>
        <v>107</v>
      </c>
      <c r="K574" s="22">
        <f t="shared" si="49"/>
        <v>4</v>
      </c>
      <c r="L574" s="22">
        <f t="shared" si="50"/>
        <v>103</v>
      </c>
      <c r="M574" s="22">
        <f t="shared" si="51"/>
        <v>306</v>
      </c>
      <c r="N574" s="24">
        <f t="shared" si="52"/>
        <v>0.33660130718954251</v>
      </c>
      <c r="O574" s="24">
        <v>0.33660130718954301</v>
      </c>
      <c r="P574" s="24">
        <f t="shared" si="53"/>
        <v>-4.9960036108132044E-16</v>
      </c>
      <c r="Q574" s="22"/>
    </row>
    <row r="575" spans="1:17" ht="15" customHeight="1" x14ac:dyDescent="0.25">
      <c r="A575" s="22" t="s">
        <v>392</v>
      </c>
      <c r="B575" s="22">
        <v>9</v>
      </c>
      <c r="C575" s="22" t="s">
        <v>264</v>
      </c>
      <c r="D575" s="22">
        <v>-90</v>
      </c>
      <c r="E575" s="22" t="s">
        <v>378</v>
      </c>
      <c r="F575" s="22" t="s">
        <v>183</v>
      </c>
      <c r="G575" s="23">
        <v>35885</v>
      </c>
      <c r="H575" s="22">
        <v>44</v>
      </c>
      <c r="I575" s="22">
        <v>1</v>
      </c>
      <c r="J575" s="22">
        <f t="shared" si="48"/>
        <v>151</v>
      </c>
      <c r="K575" s="22">
        <f t="shared" si="49"/>
        <v>5</v>
      </c>
      <c r="L575" s="22">
        <f t="shared" si="50"/>
        <v>146</v>
      </c>
      <c r="M575" s="22">
        <f t="shared" si="51"/>
        <v>306</v>
      </c>
      <c r="N575" s="24">
        <f t="shared" si="52"/>
        <v>0.47712418300653597</v>
      </c>
      <c r="O575" s="24">
        <v>0.47712418300653597</v>
      </c>
      <c r="P575" s="24">
        <f t="shared" si="53"/>
        <v>0</v>
      </c>
      <c r="Q575" s="22"/>
    </row>
    <row r="576" spans="1:17" ht="15" customHeight="1" x14ac:dyDescent="0.25">
      <c r="A576" s="22" t="s">
        <v>392</v>
      </c>
      <c r="B576" s="22">
        <v>10</v>
      </c>
      <c r="C576" s="22" t="s">
        <v>191</v>
      </c>
      <c r="D576" s="22">
        <v>-75</v>
      </c>
      <c r="E576" s="22" t="s">
        <v>378</v>
      </c>
      <c r="F576" s="22" t="s">
        <v>183</v>
      </c>
      <c r="G576" s="23">
        <v>35885</v>
      </c>
      <c r="H576" s="22">
        <v>40</v>
      </c>
      <c r="I576" s="22">
        <v>10</v>
      </c>
      <c r="J576" s="22">
        <f t="shared" si="48"/>
        <v>191</v>
      </c>
      <c r="K576" s="22">
        <f t="shared" si="49"/>
        <v>15</v>
      </c>
      <c r="L576" s="22">
        <f t="shared" si="50"/>
        <v>176</v>
      </c>
      <c r="M576" s="22">
        <f t="shared" si="51"/>
        <v>306</v>
      </c>
      <c r="N576" s="24">
        <f t="shared" si="52"/>
        <v>0.57516339869281041</v>
      </c>
      <c r="O576" s="24">
        <v>0.57516339869280997</v>
      </c>
      <c r="P576" s="24">
        <f t="shared" si="53"/>
        <v>4.4408920985006262E-16</v>
      </c>
      <c r="Q576" s="22"/>
    </row>
    <row r="577" spans="1:17" ht="15" customHeight="1" x14ac:dyDescent="0.25">
      <c r="A577" s="22" t="s">
        <v>392</v>
      </c>
      <c r="B577" s="22">
        <v>11</v>
      </c>
      <c r="C577" s="22" t="s">
        <v>231</v>
      </c>
      <c r="D577" s="22">
        <v>-60</v>
      </c>
      <c r="E577" s="22" t="s">
        <v>378</v>
      </c>
      <c r="F577" s="22" t="s">
        <v>183</v>
      </c>
      <c r="G577" s="23">
        <v>35885</v>
      </c>
      <c r="H577" s="22">
        <v>23</v>
      </c>
      <c r="I577" s="22">
        <v>10</v>
      </c>
      <c r="J577" s="22">
        <f t="shared" si="48"/>
        <v>214</v>
      </c>
      <c r="K577" s="22">
        <f t="shared" si="49"/>
        <v>25</v>
      </c>
      <c r="L577" s="22">
        <f t="shared" si="50"/>
        <v>189</v>
      </c>
      <c r="M577" s="22">
        <f t="shared" si="51"/>
        <v>306</v>
      </c>
      <c r="N577" s="24">
        <f t="shared" si="52"/>
        <v>0.61764705882352944</v>
      </c>
      <c r="O577" s="24">
        <v>0.61764705882352899</v>
      </c>
      <c r="P577" s="24">
        <f t="shared" si="53"/>
        <v>4.4408920985006262E-16</v>
      </c>
      <c r="Q577" s="22"/>
    </row>
    <row r="578" spans="1:17" ht="15" customHeight="1" x14ac:dyDescent="0.25">
      <c r="A578" s="22" t="s">
        <v>392</v>
      </c>
      <c r="B578" s="22">
        <v>12</v>
      </c>
      <c r="C578" s="22" t="s">
        <v>239</v>
      </c>
      <c r="D578" s="22">
        <v>-45</v>
      </c>
      <c r="E578" s="22" t="s">
        <v>378</v>
      </c>
      <c r="F578" s="22" t="s">
        <v>183</v>
      </c>
      <c r="G578" s="23">
        <v>35885</v>
      </c>
      <c r="H578" s="22">
        <v>35</v>
      </c>
      <c r="I578" s="22">
        <v>12</v>
      </c>
      <c r="J578" s="22">
        <f t="shared" ref="J578:J641" si="54">SUMIFS($H$2:$H$1200,$A$2:$A$1200,$A578,$B$2:$B$1200,"&lt;="&amp;$B578)</f>
        <v>249</v>
      </c>
      <c r="K578" s="22">
        <f t="shared" ref="K578:K641" si="55">SUMIFS($I$2:$I$1200,$A$2:$A$1200,$A578,$B$2:$B$1200,"&lt;="&amp;$B578)</f>
        <v>37</v>
      </c>
      <c r="L578" s="22">
        <f t="shared" ref="L578:L641" si="56">J578-K578</f>
        <v>212</v>
      </c>
      <c r="M578" s="22">
        <f t="shared" ref="M578:M641" si="57">SUMIF($A$2:$A$1200,$A578,$H$2:$H$1200)</f>
        <v>306</v>
      </c>
      <c r="N578" s="24">
        <f t="shared" ref="N578:N641" si="58">IF(M578=0,"",L578/M578)</f>
        <v>0.69281045751633985</v>
      </c>
      <c r="O578" s="24">
        <v>0.69281045751633996</v>
      </c>
      <c r="P578" s="24">
        <f t="shared" ref="P578:P641" si="59">IF(OR(N578="",O578=""),"",N578-O578)</f>
        <v>-1.1102230246251565E-16</v>
      </c>
      <c r="Q578" s="22"/>
    </row>
    <row r="579" spans="1:17" ht="15" customHeight="1" x14ac:dyDescent="0.25">
      <c r="A579" s="22" t="s">
        <v>392</v>
      </c>
      <c r="B579" s="22">
        <v>13</v>
      </c>
      <c r="C579" s="22" t="s">
        <v>387</v>
      </c>
      <c r="D579" s="22">
        <v>-30</v>
      </c>
      <c r="E579" s="22" t="s">
        <v>378</v>
      </c>
      <c r="F579" s="22" t="s">
        <v>183</v>
      </c>
      <c r="G579" s="23">
        <v>35885</v>
      </c>
      <c r="H579" s="22">
        <v>18</v>
      </c>
      <c r="I579" s="22">
        <v>19</v>
      </c>
      <c r="J579" s="22">
        <f t="shared" si="54"/>
        <v>267</v>
      </c>
      <c r="K579" s="22">
        <f t="shared" si="55"/>
        <v>56</v>
      </c>
      <c r="L579" s="22">
        <f t="shared" si="56"/>
        <v>211</v>
      </c>
      <c r="M579" s="22">
        <f t="shared" si="57"/>
        <v>306</v>
      </c>
      <c r="N579" s="24">
        <f t="shared" si="58"/>
        <v>0.68954248366013071</v>
      </c>
      <c r="O579" s="24">
        <v>0.68954248366013104</v>
      </c>
      <c r="P579" s="24">
        <f t="shared" si="59"/>
        <v>-3.3306690738754696E-16</v>
      </c>
      <c r="Q579" s="22"/>
    </row>
    <row r="580" spans="1:17" ht="15" customHeight="1" x14ac:dyDescent="0.25">
      <c r="A580" s="22" t="s">
        <v>392</v>
      </c>
      <c r="B580" s="22">
        <v>14</v>
      </c>
      <c r="C580" s="22" t="s">
        <v>468</v>
      </c>
      <c r="D580" s="22">
        <v>-15</v>
      </c>
      <c r="E580" s="22" t="s">
        <v>378</v>
      </c>
      <c r="F580" s="22" t="s">
        <v>183</v>
      </c>
      <c r="G580" s="23">
        <v>35885</v>
      </c>
      <c r="H580" s="22">
        <v>17</v>
      </c>
      <c r="I580" s="22">
        <v>24</v>
      </c>
      <c r="J580" s="22">
        <f t="shared" si="54"/>
        <v>284</v>
      </c>
      <c r="K580" s="22">
        <f t="shared" si="55"/>
        <v>80</v>
      </c>
      <c r="L580" s="22">
        <f t="shared" si="56"/>
        <v>204</v>
      </c>
      <c r="M580" s="22">
        <f t="shared" si="57"/>
        <v>306</v>
      </c>
      <c r="N580" s="24">
        <f t="shared" si="58"/>
        <v>0.66666666666666663</v>
      </c>
      <c r="O580" s="24">
        <v>0.66666666666666696</v>
      </c>
      <c r="P580" s="24">
        <f t="shared" si="59"/>
        <v>-3.3306690738754696E-16</v>
      </c>
      <c r="Q580" s="22"/>
    </row>
    <row r="581" spans="1:17" ht="15" customHeight="1" x14ac:dyDescent="0.25">
      <c r="A581" s="22" t="s">
        <v>392</v>
      </c>
      <c r="B581" s="22">
        <v>15</v>
      </c>
      <c r="C581" s="22" t="s">
        <v>469</v>
      </c>
      <c r="D581" s="22">
        <v>0</v>
      </c>
      <c r="E581" s="22" t="s">
        <v>378</v>
      </c>
      <c r="F581" s="22" t="s">
        <v>183</v>
      </c>
      <c r="G581" s="23">
        <v>35885</v>
      </c>
      <c r="H581" s="22">
        <v>8</v>
      </c>
      <c r="I581" s="22">
        <v>45</v>
      </c>
      <c r="J581" s="22">
        <f t="shared" si="54"/>
        <v>292</v>
      </c>
      <c r="K581" s="22">
        <f t="shared" si="55"/>
        <v>125</v>
      </c>
      <c r="L581" s="22">
        <f t="shared" si="56"/>
        <v>167</v>
      </c>
      <c r="M581" s="22">
        <f t="shared" si="57"/>
        <v>306</v>
      </c>
      <c r="N581" s="24">
        <f t="shared" si="58"/>
        <v>0.54575163398692805</v>
      </c>
      <c r="O581" s="24">
        <v>0.54575163398692805</v>
      </c>
      <c r="P581" s="24">
        <f t="shared" si="59"/>
        <v>0</v>
      </c>
      <c r="Q581" s="22"/>
    </row>
    <row r="582" spans="1:17" ht="15" customHeight="1" x14ac:dyDescent="0.25">
      <c r="A582" s="22" t="s">
        <v>392</v>
      </c>
      <c r="B582" s="22">
        <v>16</v>
      </c>
      <c r="C582" s="22" t="s">
        <v>351</v>
      </c>
      <c r="D582" s="22">
        <v>15</v>
      </c>
      <c r="E582" s="22" t="s">
        <v>378</v>
      </c>
      <c r="F582" s="22" t="s">
        <v>183</v>
      </c>
      <c r="G582" s="23">
        <v>35885</v>
      </c>
      <c r="H582" s="22">
        <v>6</v>
      </c>
      <c r="I582" s="22">
        <v>43</v>
      </c>
      <c r="J582" s="22">
        <f t="shared" si="54"/>
        <v>298</v>
      </c>
      <c r="K582" s="22">
        <f t="shared" si="55"/>
        <v>168</v>
      </c>
      <c r="L582" s="22">
        <f t="shared" si="56"/>
        <v>130</v>
      </c>
      <c r="M582" s="22">
        <f t="shared" si="57"/>
        <v>306</v>
      </c>
      <c r="N582" s="24">
        <f t="shared" si="58"/>
        <v>0.42483660130718953</v>
      </c>
      <c r="O582" s="24">
        <v>0.42483660130718998</v>
      </c>
      <c r="P582" s="24">
        <f t="shared" si="59"/>
        <v>-4.4408920985006262E-16</v>
      </c>
      <c r="Q582" s="22"/>
    </row>
    <row r="583" spans="1:17" ht="15" customHeight="1" x14ac:dyDescent="0.25">
      <c r="A583" s="22" t="s">
        <v>392</v>
      </c>
      <c r="B583" s="22">
        <v>17</v>
      </c>
      <c r="C583" s="22" t="s">
        <v>311</v>
      </c>
      <c r="D583" s="22">
        <v>30</v>
      </c>
      <c r="E583" s="22" t="s">
        <v>378</v>
      </c>
      <c r="F583" s="22" t="s">
        <v>183</v>
      </c>
      <c r="G583" s="23">
        <v>35885</v>
      </c>
      <c r="H583" s="22">
        <v>5</v>
      </c>
      <c r="I583" s="22">
        <v>51</v>
      </c>
      <c r="J583" s="22">
        <f t="shared" si="54"/>
        <v>303</v>
      </c>
      <c r="K583" s="22">
        <f t="shared" si="55"/>
        <v>219</v>
      </c>
      <c r="L583" s="22">
        <f t="shared" si="56"/>
        <v>84</v>
      </c>
      <c r="M583" s="22">
        <f t="shared" si="57"/>
        <v>306</v>
      </c>
      <c r="N583" s="24">
        <f t="shared" si="58"/>
        <v>0.27450980392156865</v>
      </c>
      <c r="O583" s="24">
        <v>0.27450980392156898</v>
      </c>
      <c r="P583" s="24">
        <f t="shared" si="59"/>
        <v>-3.3306690738754696E-16</v>
      </c>
      <c r="Q583" s="22"/>
    </row>
    <row r="584" spans="1:17" ht="15" customHeight="1" x14ac:dyDescent="0.25">
      <c r="A584" s="22" t="s">
        <v>392</v>
      </c>
      <c r="B584" s="22">
        <v>18</v>
      </c>
      <c r="C584" s="22" t="s">
        <v>211</v>
      </c>
      <c r="D584" s="22">
        <v>45</v>
      </c>
      <c r="E584" s="22" t="s">
        <v>378</v>
      </c>
      <c r="F584" s="22" t="s">
        <v>183</v>
      </c>
      <c r="G584" s="23">
        <v>35885</v>
      </c>
      <c r="H584" s="22">
        <v>3</v>
      </c>
      <c r="I584" s="22">
        <v>43</v>
      </c>
      <c r="J584" s="22">
        <f t="shared" si="54"/>
        <v>306</v>
      </c>
      <c r="K584" s="22">
        <f t="shared" si="55"/>
        <v>262</v>
      </c>
      <c r="L584" s="22">
        <f t="shared" si="56"/>
        <v>44</v>
      </c>
      <c r="M584" s="22">
        <f t="shared" si="57"/>
        <v>306</v>
      </c>
      <c r="N584" s="24">
        <f t="shared" si="58"/>
        <v>0.1437908496732026</v>
      </c>
      <c r="O584" s="24">
        <v>0.14379084967320299</v>
      </c>
      <c r="P584" s="24">
        <f t="shared" si="59"/>
        <v>-3.8857805861880479E-16</v>
      </c>
      <c r="Q584" s="22"/>
    </row>
    <row r="585" spans="1:17" ht="15" customHeight="1" x14ac:dyDescent="0.25">
      <c r="A585" s="22" t="s">
        <v>392</v>
      </c>
      <c r="B585" s="22">
        <v>19</v>
      </c>
      <c r="C585" s="22" t="s">
        <v>190</v>
      </c>
      <c r="D585" s="22">
        <v>60</v>
      </c>
      <c r="E585" s="22" t="s">
        <v>378</v>
      </c>
      <c r="F585" s="22" t="s">
        <v>183</v>
      </c>
      <c r="G585" s="23">
        <v>35885</v>
      </c>
      <c r="H585" s="22">
        <v>0</v>
      </c>
      <c r="I585" s="22">
        <v>2</v>
      </c>
      <c r="J585" s="22">
        <f t="shared" si="54"/>
        <v>306</v>
      </c>
      <c r="K585" s="22">
        <f t="shared" si="55"/>
        <v>264</v>
      </c>
      <c r="L585" s="22">
        <f t="shared" si="56"/>
        <v>42</v>
      </c>
      <c r="M585" s="22">
        <f t="shared" si="57"/>
        <v>306</v>
      </c>
      <c r="N585" s="24">
        <f t="shared" si="58"/>
        <v>0.13725490196078433</v>
      </c>
      <c r="O585" s="24">
        <v>0.13725490196078399</v>
      </c>
      <c r="P585" s="24">
        <f t="shared" si="59"/>
        <v>3.3306690738754696E-16</v>
      </c>
      <c r="Q585" s="22"/>
    </row>
    <row r="586" spans="1:17" ht="15" customHeight="1" x14ac:dyDescent="0.25">
      <c r="A586" s="22" t="s">
        <v>395</v>
      </c>
      <c r="B586" s="22">
        <v>0</v>
      </c>
      <c r="C586" s="22" t="s">
        <v>189</v>
      </c>
      <c r="D586" s="22"/>
      <c r="E586" s="22" t="s">
        <v>378</v>
      </c>
      <c r="F586" s="22" t="s">
        <v>183</v>
      </c>
      <c r="G586" s="23">
        <v>35885</v>
      </c>
      <c r="H586" s="22">
        <v>68</v>
      </c>
      <c r="I586" s="22">
        <v>10</v>
      </c>
      <c r="J586" s="22">
        <f t="shared" si="54"/>
        <v>68</v>
      </c>
      <c r="K586" s="22">
        <f t="shared" si="55"/>
        <v>10</v>
      </c>
      <c r="L586" s="22">
        <f t="shared" si="56"/>
        <v>58</v>
      </c>
      <c r="M586" s="22">
        <f t="shared" si="57"/>
        <v>594</v>
      </c>
      <c r="N586" s="24">
        <f t="shared" si="58"/>
        <v>9.7643097643097643E-2</v>
      </c>
      <c r="O586" s="24">
        <v>9.81387478849408E-2</v>
      </c>
      <c r="P586" s="24">
        <f t="shared" si="59"/>
        <v>-4.9565024184315687E-4</v>
      </c>
      <c r="Q586" s="22"/>
    </row>
    <row r="587" spans="1:17" ht="15" customHeight="1" x14ac:dyDescent="0.25">
      <c r="A587" s="22" t="s">
        <v>395</v>
      </c>
      <c r="B587" s="22">
        <v>7</v>
      </c>
      <c r="C587" s="22" t="s">
        <v>212</v>
      </c>
      <c r="D587" s="22">
        <v>-120</v>
      </c>
      <c r="E587" s="22" t="s">
        <v>378</v>
      </c>
      <c r="F587" s="22" t="s">
        <v>183</v>
      </c>
      <c r="G587" s="23">
        <v>35885</v>
      </c>
      <c r="H587" s="22">
        <v>128</v>
      </c>
      <c r="I587" s="22">
        <v>19</v>
      </c>
      <c r="J587" s="22">
        <f t="shared" si="54"/>
        <v>196</v>
      </c>
      <c r="K587" s="22">
        <f t="shared" si="55"/>
        <v>29</v>
      </c>
      <c r="L587" s="22">
        <f t="shared" si="56"/>
        <v>167</v>
      </c>
      <c r="M587" s="22">
        <f t="shared" si="57"/>
        <v>594</v>
      </c>
      <c r="N587" s="24">
        <f t="shared" si="58"/>
        <v>0.28114478114478114</v>
      </c>
      <c r="O587" s="24">
        <v>0.28257191201353599</v>
      </c>
      <c r="P587" s="24">
        <f t="shared" si="59"/>
        <v>-1.4271308687548445E-3</v>
      </c>
      <c r="Q587" s="22"/>
    </row>
    <row r="588" spans="1:17" ht="15" customHeight="1" x14ac:dyDescent="0.25">
      <c r="A588" s="22" t="s">
        <v>395</v>
      </c>
      <c r="B588" s="22">
        <v>8</v>
      </c>
      <c r="C588" s="22" t="s">
        <v>226</v>
      </c>
      <c r="D588" s="22">
        <v>-105</v>
      </c>
      <c r="E588" s="22" t="s">
        <v>378</v>
      </c>
      <c r="F588" s="22" t="s">
        <v>183</v>
      </c>
      <c r="G588" s="23">
        <v>35885</v>
      </c>
      <c r="H588" s="22">
        <v>107</v>
      </c>
      <c r="I588" s="22">
        <v>54</v>
      </c>
      <c r="J588" s="22">
        <f t="shared" si="54"/>
        <v>303</v>
      </c>
      <c r="K588" s="22">
        <f t="shared" si="55"/>
        <v>83</v>
      </c>
      <c r="L588" s="22">
        <f t="shared" si="56"/>
        <v>220</v>
      </c>
      <c r="M588" s="22">
        <f t="shared" si="57"/>
        <v>594</v>
      </c>
      <c r="N588" s="24">
        <f t="shared" si="58"/>
        <v>0.37037037037037035</v>
      </c>
      <c r="O588" s="24">
        <v>0.37225042301184402</v>
      </c>
      <c r="P588" s="24">
        <f t="shared" si="59"/>
        <v>-1.8800526414736729E-3</v>
      </c>
      <c r="Q588" s="22"/>
    </row>
    <row r="589" spans="1:17" ht="15" customHeight="1" x14ac:dyDescent="0.25">
      <c r="A589" s="22" t="s">
        <v>395</v>
      </c>
      <c r="B589" s="22">
        <v>9</v>
      </c>
      <c r="C589" s="22" t="s">
        <v>264</v>
      </c>
      <c r="D589" s="22">
        <v>-90</v>
      </c>
      <c r="E589" s="22" t="s">
        <v>378</v>
      </c>
      <c r="F589" s="22" t="s">
        <v>183</v>
      </c>
      <c r="G589" s="23">
        <v>35885</v>
      </c>
      <c r="H589" s="22">
        <v>99</v>
      </c>
      <c r="I589" s="22">
        <v>47</v>
      </c>
      <c r="J589" s="22">
        <f t="shared" si="54"/>
        <v>402</v>
      </c>
      <c r="K589" s="22">
        <f t="shared" si="55"/>
        <v>130</v>
      </c>
      <c r="L589" s="22">
        <f t="shared" si="56"/>
        <v>272</v>
      </c>
      <c r="M589" s="22">
        <f t="shared" si="57"/>
        <v>594</v>
      </c>
      <c r="N589" s="24">
        <f t="shared" si="58"/>
        <v>0.45791245791245794</v>
      </c>
      <c r="O589" s="24">
        <v>0.46023688663282603</v>
      </c>
      <c r="P589" s="24">
        <f t="shared" si="59"/>
        <v>-2.324428720368088E-3</v>
      </c>
      <c r="Q589" s="22"/>
    </row>
    <row r="590" spans="1:17" ht="15" customHeight="1" x14ac:dyDescent="0.25">
      <c r="A590" s="22" t="s">
        <v>395</v>
      </c>
      <c r="B590" s="22">
        <v>10</v>
      </c>
      <c r="C590" s="22" t="s">
        <v>191</v>
      </c>
      <c r="D590" s="22">
        <v>-75</v>
      </c>
      <c r="E590" s="22" t="s">
        <v>378</v>
      </c>
      <c r="F590" s="22" t="s">
        <v>183</v>
      </c>
      <c r="G590" s="23">
        <v>35885</v>
      </c>
      <c r="H590" s="22">
        <v>49</v>
      </c>
      <c r="I590" s="22">
        <v>45</v>
      </c>
      <c r="J590" s="22">
        <f t="shared" si="54"/>
        <v>451</v>
      </c>
      <c r="K590" s="22">
        <f t="shared" si="55"/>
        <v>175</v>
      </c>
      <c r="L590" s="22">
        <f t="shared" si="56"/>
        <v>276</v>
      </c>
      <c r="M590" s="22">
        <f t="shared" si="57"/>
        <v>594</v>
      </c>
      <c r="N590" s="24">
        <f t="shared" si="58"/>
        <v>0.46464646464646464</v>
      </c>
      <c r="O590" s="24">
        <v>0.46700507614213199</v>
      </c>
      <c r="P590" s="24">
        <f t="shared" si="59"/>
        <v>-2.358611495667351E-3</v>
      </c>
      <c r="Q590" s="22"/>
    </row>
    <row r="591" spans="1:17" ht="15" customHeight="1" x14ac:dyDescent="0.25">
      <c r="A591" s="22" t="s">
        <v>395</v>
      </c>
      <c r="B591" s="22">
        <v>11</v>
      </c>
      <c r="C591" s="22" t="s">
        <v>231</v>
      </c>
      <c r="D591" s="22">
        <v>-60</v>
      </c>
      <c r="E591" s="22" t="s">
        <v>378</v>
      </c>
      <c r="F591" s="22" t="s">
        <v>183</v>
      </c>
      <c r="G591" s="23">
        <v>35885</v>
      </c>
      <c r="H591" s="22">
        <v>50</v>
      </c>
      <c r="I591" s="22">
        <v>70</v>
      </c>
      <c r="J591" s="22">
        <f t="shared" si="54"/>
        <v>501</v>
      </c>
      <c r="K591" s="22">
        <f t="shared" si="55"/>
        <v>245</v>
      </c>
      <c r="L591" s="22">
        <f t="shared" si="56"/>
        <v>256</v>
      </c>
      <c r="M591" s="22">
        <f t="shared" si="57"/>
        <v>594</v>
      </c>
      <c r="N591" s="24">
        <f t="shared" si="58"/>
        <v>0.43097643097643096</v>
      </c>
      <c r="O591" s="24">
        <v>0.43316412859560099</v>
      </c>
      <c r="P591" s="24">
        <f t="shared" si="59"/>
        <v>-2.187697619170037E-3</v>
      </c>
      <c r="Q591" s="22"/>
    </row>
    <row r="592" spans="1:17" ht="15" customHeight="1" x14ac:dyDescent="0.25">
      <c r="A592" s="22" t="s">
        <v>395</v>
      </c>
      <c r="B592" s="22">
        <v>12</v>
      </c>
      <c r="C592" s="22" t="s">
        <v>239</v>
      </c>
      <c r="D592" s="22">
        <v>-45</v>
      </c>
      <c r="E592" s="22" t="s">
        <v>378</v>
      </c>
      <c r="F592" s="22" t="s">
        <v>183</v>
      </c>
      <c r="G592" s="23">
        <v>35885</v>
      </c>
      <c r="H592" s="22">
        <v>28</v>
      </c>
      <c r="I592" s="22">
        <v>72</v>
      </c>
      <c r="J592" s="22">
        <f t="shared" si="54"/>
        <v>529</v>
      </c>
      <c r="K592" s="22">
        <f t="shared" si="55"/>
        <v>317</v>
      </c>
      <c r="L592" s="22">
        <f t="shared" si="56"/>
        <v>212</v>
      </c>
      <c r="M592" s="22">
        <f t="shared" si="57"/>
        <v>594</v>
      </c>
      <c r="N592" s="24">
        <f t="shared" si="58"/>
        <v>0.35690235690235689</v>
      </c>
      <c r="O592" s="24">
        <v>0.35871404399323198</v>
      </c>
      <c r="P592" s="24">
        <f t="shared" si="59"/>
        <v>-1.8116870908750915E-3</v>
      </c>
      <c r="Q592" s="22"/>
    </row>
    <row r="593" spans="1:17" ht="15" customHeight="1" x14ac:dyDescent="0.25">
      <c r="A593" s="22" t="s">
        <v>395</v>
      </c>
      <c r="B593" s="22">
        <v>13</v>
      </c>
      <c r="C593" s="22" t="s">
        <v>387</v>
      </c>
      <c r="D593" s="22">
        <v>-30</v>
      </c>
      <c r="E593" s="22" t="s">
        <v>378</v>
      </c>
      <c r="F593" s="22" t="s">
        <v>183</v>
      </c>
      <c r="G593" s="23">
        <v>35885</v>
      </c>
      <c r="H593" s="22">
        <v>18</v>
      </c>
      <c r="I593" s="22">
        <v>82</v>
      </c>
      <c r="J593" s="22">
        <f t="shared" si="54"/>
        <v>547</v>
      </c>
      <c r="K593" s="22">
        <f t="shared" si="55"/>
        <v>399</v>
      </c>
      <c r="L593" s="22">
        <f t="shared" si="56"/>
        <v>148</v>
      </c>
      <c r="M593" s="22">
        <f t="shared" si="57"/>
        <v>594</v>
      </c>
      <c r="N593" s="24">
        <f t="shared" si="58"/>
        <v>0.24915824915824916</v>
      </c>
      <c r="O593" s="24">
        <v>0.25042301184433202</v>
      </c>
      <c r="P593" s="24">
        <f t="shared" si="59"/>
        <v>-1.2647626860828598E-3</v>
      </c>
      <c r="Q593" s="22"/>
    </row>
    <row r="594" spans="1:17" ht="15" customHeight="1" x14ac:dyDescent="0.25">
      <c r="A594" s="22" t="s">
        <v>395</v>
      </c>
      <c r="B594" s="22">
        <v>14</v>
      </c>
      <c r="C594" s="22" t="s">
        <v>468</v>
      </c>
      <c r="D594" s="22">
        <v>-15</v>
      </c>
      <c r="E594" s="22" t="s">
        <v>378</v>
      </c>
      <c r="F594" s="22" t="s">
        <v>183</v>
      </c>
      <c r="G594" s="23">
        <v>35885</v>
      </c>
      <c r="H594" s="22">
        <v>16</v>
      </c>
      <c r="I594" s="22">
        <v>83</v>
      </c>
      <c r="J594" s="22">
        <f t="shared" si="54"/>
        <v>563</v>
      </c>
      <c r="K594" s="22">
        <f t="shared" si="55"/>
        <v>482</v>
      </c>
      <c r="L594" s="22">
        <f t="shared" si="56"/>
        <v>81</v>
      </c>
      <c r="M594" s="22">
        <f t="shared" si="57"/>
        <v>594</v>
      </c>
      <c r="N594" s="24">
        <f t="shared" si="58"/>
        <v>0.13636363636363635</v>
      </c>
      <c r="O594" s="24">
        <v>0.13705583756345199</v>
      </c>
      <c r="P594" s="24">
        <f t="shared" si="59"/>
        <v>-6.9220119981563966E-4</v>
      </c>
      <c r="Q594" s="22"/>
    </row>
    <row r="595" spans="1:17" ht="15" customHeight="1" x14ac:dyDescent="0.25">
      <c r="A595" s="22" t="s">
        <v>395</v>
      </c>
      <c r="B595" s="22">
        <v>15</v>
      </c>
      <c r="C595" s="22" t="s">
        <v>469</v>
      </c>
      <c r="D595" s="22">
        <v>0</v>
      </c>
      <c r="E595" s="22" t="s">
        <v>378</v>
      </c>
      <c r="F595" s="22" t="s">
        <v>183</v>
      </c>
      <c r="G595" s="23">
        <v>35885</v>
      </c>
      <c r="H595" s="22">
        <v>7</v>
      </c>
      <c r="I595" s="22">
        <v>68</v>
      </c>
      <c r="J595" s="22">
        <f t="shared" si="54"/>
        <v>570</v>
      </c>
      <c r="K595" s="22">
        <f t="shared" si="55"/>
        <v>550</v>
      </c>
      <c r="L595" s="22">
        <f t="shared" si="56"/>
        <v>20</v>
      </c>
      <c r="M595" s="22">
        <f t="shared" si="57"/>
        <v>594</v>
      </c>
      <c r="N595" s="24">
        <f t="shared" si="58"/>
        <v>3.3670033670033669E-2</v>
      </c>
      <c r="O595" s="24">
        <v>3.3840947546531303E-2</v>
      </c>
      <c r="P595" s="24">
        <f t="shared" si="59"/>
        <v>-1.7091387649763312E-4</v>
      </c>
      <c r="Q595" s="22"/>
    </row>
    <row r="596" spans="1:17" ht="15" customHeight="1" x14ac:dyDescent="0.25">
      <c r="A596" s="22" t="s">
        <v>395</v>
      </c>
      <c r="B596" s="22">
        <v>16</v>
      </c>
      <c r="C596" s="22" t="s">
        <v>351</v>
      </c>
      <c r="D596" s="22">
        <v>15</v>
      </c>
      <c r="E596" s="22" t="s">
        <v>378</v>
      </c>
      <c r="F596" s="22" t="s">
        <v>183</v>
      </c>
      <c r="G596" s="23">
        <v>35885</v>
      </c>
      <c r="H596" s="22">
        <v>8</v>
      </c>
      <c r="I596" s="22">
        <v>64</v>
      </c>
      <c r="J596" s="22">
        <f t="shared" si="54"/>
        <v>578</v>
      </c>
      <c r="K596" s="22">
        <f t="shared" si="55"/>
        <v>614</v>
      </c>
      <c r="L596" s="22">
        <f t="shared" si="56"/>
        <v>-36</v>
      </c>
      <c r="M596" s="22">
        <f t="shared" si="57"/>
        <v>594</v>
      </c>
      <c r="N596" s="24">
        <f t="shared" si="58"/>
        <v>-6.0606060606060608E-2</v>
      </c>
      <c r="O596" s="24">
        <v>-6.0913705583756403E-2</v>
      </c>
      <c r="P596" s="24">
        <f t="shared" si="59"/>
        <v>3.0764497769579513E-4</v>
      </c>
      <c r="Q596" s="22"/>
    </row>
    <row r="597" spans="1:17" ht="15" customHeight="1" x14ac:dyDescent="0.25">
      <c r="A597" s="22" t="s">
        <v>395</v>
      </c>
      <c r="B597" s="22">
        <v>17</v>
      </c>
      <c r="C597" s="22" t="s">
        <v>311</v>
      </c>
      <c r="D597" s="22">
        <v>30</v>
      </c>
      <c r="E597" s="22" t="s">
        <v>378</v>
      </c>
      <c r="F597" s="22" t="s">
        <v>183</v>
      </c>
      <c r="G597" s="23">
        <v>35885</v>
      </c>
      <c r="H597" s="22">
        <v>10</v>
      </c>
      <c r="I597" s="22">
        <v>43</v>
      </c>
      <c r="J597" s="22">
        <f t="shared" si="54"/>
        <v>588</v>
      </c>
      <c r="K597" s="22">
        <f t="shared" si="55"/>
        <v>657</v>
      </c>
      <c r="L597" s="22">
        <f t="shared" si="56"/>
        <v>-69</v>
      </c>
      <c r="M597" s="22">
        <f t="shared" si="57"/>
        <v>594</v>
      </c>
      <c r="N597" s="24">
        <f t="shared" si="58"/>
        <v>-0.11616161616161616</v>
      </c>
      <c r="O597" s="24">
        <v>-0.116751269035533</v>
      </c>
      <c r="P597" s="24">
        <f t="shared" si="59"/>
        <v>5.8965287391683774E-4</v>
      </c>
      <c r="Q597" s="22"/>
    </row>
    <row r="598" spans="1:17" ht="15" customHeight="1" x14ac:dyDescent="0.25">
      <c r="A598" s="22" t="s">
        <v>395</v>
      </c>
      <c r="B598" s="22">
        <v>18</v>
      </c>
      <c r="C598" s="22" t="s">
        <v>211</v>
      </c>
      <c r="D598" s="22">
        <v>45</v>
      </c>
      <c r="E598" s="22" t="s">
        <v>378</v>
      </c>
      <c r="F598" s="22" t="s">
        <v>183</v>
      </c>
      <c r="G598" s="23">
        <v>35885</v>
      </c>
      <c r="H598" s="22">
        <v>3</v>
      </c>
      <c r="I598" s="22">
        <v>39</v>
      </c>
      <c r="J598" s="22">
        <f t="shared" si="54"/>
        <v>591</v>
      </c>
      <c r="K598" s="22">
        <f t="shared" si="55"/>
        <v>696</v>
      </c>
      <c r="L598" s="22">
        <f t="shared" si="56"/>
        <v>-105</v>
      </c>
      <c r="M598" s="22">
        <f t="shared" si="57"/>
        <v>594</v>
      </c>
      <c r="N598" s="24">
        <f t="shared" si="58"/>
        <v>-0.17676767676767677</v>
      </c>
      <c r="O598" s="24">
        <v>-0.17766497461928901</v>
      </c>
      <c r="P598" s="24">
        <f t="shared" si="59"/>
        <v>8.9729785161224429E-4</v>
      </c>
      <c r="Q598" s="22"/>
    </row>
    <row r="599" spans="1:17" ht="15" customHeight="1" x14ac:dyDescent="0.25">
      <c r="A599" s="22" t="s">
        <v>395</v>
      </c>
      <c r="B599" s="22">
        <v>19</v>
      </c>
      <c r="C599" s="22" t="s">
        <v>190</v>
      </c>
      <c r="D599" s="22">
        <v>60</v>
      </c>
      <c r="E599" s="22" t="s">
        <v>378</v>
      </c>
      <c r="F599" s="22" t="s">
        <v>183</v>
      </c>
      <c r="G599" s="23">
        <v>35885</v>
      </c>
      <c r="H599" s="22">
        <v>3</v>
      </c>
      <c r="I599" s="22">
        <v>14</v>
      </c>
      <c r="J599" s="22">
        <f t="shared" si="54"/>
        <v>594</v>
      </c>
      <c r="K599" s="22">
        <f t="shared" si="55"/>
        <v>710</v>
      </c>
      <c r="L599" s="22">
        <f t="shared" si="56"/>
        <v>-116</v>
      </c>
      <c r="M599" s="22">
        <f t="shared" si="57"/>
        <v>594</v>
      </c>
      <c r="N599" s="24">
        <f t="shared" si="58"/>
        <v>-0.19528619528619529</v>
      </c>
      <c r="O599" s="24">
        <v>-0.19627749576988199</v>
      </c>
      <c r="P599" s="24">
        <f t="shared" si="59"/>
        <v>9.9130048368670232E-4</v>
      </c>
      <c r="Q599" s="22"/>
    </row>
    <row r="600" spans="1:17" ht="15" customHeight="1" x14ac:dyDescent="0.25">
      <c r="A600" s="22" t="s">
        <v>398</v>
      </c>
      <c r="B600" s="22">
        <v>0</v>
      </c>
      <c r="C600" s="22" t="s">
        <v>189</v>
      </c>
      <c r="D600" s="22"/>
      <c r="E600" s="22" t="s">
        <v>378</v>
      </c>
      <c r="F600" s="22" t="s">
        <v>183</v>
      </c>
      <c r="G600" s="23">
        <v>35885</v>
      </c>
      <c r="H600" s="22">
        <v>40</v>
      </c>
      <c r="I600" s="22">
        <v>7</v>
      </c>
      <c r="J600" s="22">
        <f t="shared" si="54"/>
        <v>40</v>
      </c>
      <c r="K600" s="22">
        <f t="shared" si="55"/>
        <v>7</v>
      </c>
      <c r="L600" s="22">
        <f t="shared" si="56"/>
        <v>33</v>
      </c>
      <c r="M600" s="22">
        <f t="shared" si="57"/>
        <v>358</v>
      </c>
      <c r="N600" s="24">
        <f t="shared" si="58"/>
        <v>9.217877094972067E-2</v>
      </c>
      <c r="O600" s="24">
        <v>9.2178770949720698E-2</v>
      </c>
      <c r="P600" s="24">
        <f t="shared" si="59"/>
        <v>-2.7755575615628914E-17</v>
      </c>
      <c r="Q600" s="22"/>
    </row>
    <row r="601" spans="1:17" ht="15" customHeight="1" x14ac:dyDescent="0.25">
      <c r="A601" s="22" t="s">
        <v>398</v>
      </c>
      <c r="B601" s="22">
        <v>7</v>
      </c>
      <c r="C601" s="22" t="s">
        <v>212</v>
      </c>
      <c r="D601" s="22">
        <v>-120</v>
      </c>
      <c r="E601" s="22" t="s">
        <v>378</v>
      </c>
      <c r="F601" s="22" t="s">
        <v>183</v>
      </c>
      <c r="G601" s="23">
        <v>35885</v>
      </c>
      <c r="H601" s="22">
        <v>54</v>
      </c>
      <c r="I601" s="22">
        <v>10</v>
      </c>
      <c r="J601" s="22">
        <f t="shared" si="54"/>
        <v>94</v>
      </c>
      <c r="K601" s="22">
        <f t="shared" si="55"/>
        <v>17</v>
      </c>
      <c r="L601" s="22">
        <f t="shared" si="56"/>
        <v>77</v>
      </c>
      <c r="M601" s="22">
        <f t="shared" si="57"/>
        <v>358</v>
      </c>
      <c r="N601" s="24">
        <f t="shared" si="58"/>
        <v>0.21508379888268156</v>
      </c>
      <c r="O601" s="24">
        <v>0.215083798882682</v>
      </c>
      <c r="P601" s="24">
        <f t="shared" si="59"/>
        <v>-4.4408920985006262E-16</v>
      </c>
      <c r="Q601" s="22"/>
    </row>
    <row r="602" spans="1:17" ht="15" customHeight="1" x14ac:dyDescent="0.25">
      <c r="A602" s="22" t="s">
        <v>398</v>
      </c>
      <c r="B602" s="22">
        <v>8</v>
      </c>
      <c r="C602" s="22" t="s">
        <v>226</v>
      </c>
      <c r="D602" s="22">
        <v>-105</v>
      </c>
      <c r="E602" s="22" t="s">
        <v>378</v>
      </c>
      <c r="F602" s="22" t="s">
        <v>183</v>
      </c>
      <c r="G602" s="23">
        <v>35885</v>
      </c>
      <c r="H602" s="22">
        <v>59</v>
      </c>
      <c r="I602" s="22">
        <v>16</v>
      </c>
      <c r="J602" s="22">
        <f t="shared" si="54"/>
        <v>153</v>
      </c>
      <c r="K602" s="22">
        <f t="shared" si="55"/>
        <v>33</v>
      </c>
      <c r="L602" s="22">
        <f t="shared" si="56"/>
        <v>120</v>
      </c>
      <c r="M602" s="22">
        <f t="shared" si="57"/>
        <v>358</v>
      </c>
      <c r="N602" s="24">
        <f t="shared" si="58"/>
        <v>0.33519553072625696</v>
      </c>
      <c r="O602" s="24">
        <v>0.33519553072625702</v>
      </c>
      <c r="P602" s="24">
        <f t="shared" si="59"/>
        <v>-5.5511151231257827E-17</v>
      </c>
      <c r="Q602" s="22"/>
    </row>
    <row r="603" spans="1:17" ht="15" customHeight="1" x14ac:dyDescent="0.25">
      <c r="A603" s="22" t="s">
        <v>398</v>
      </c>
      <c r="B603" s="22">
        <v>9</v>
      </c>
      <c r="C603" s="22" t="s">
        <v>264</v>
      </c>
      <c r="D603" s="22">
        <v>-90</v>
      </c>
      <c r="E603" s="22" t="s">
        <v>378</v>
      </c>
      <c r="F603" s="22" t="s">
        <v>183</v>
      </c>
      <c r="G603" s="23">
        <v>35885</v>
      </c>
      <c r="H603" s="22">
        <v>56</v>
      </c>
      <c r="I603" s="22">
        <v>20</v>
      </c>
      <c r="J603" s="22">
        <f t="shared" si="54"/>
        <v>209</v>
      </c>
      <c r="K603" s="22">
        <f t="shared" si="55"/>
        <v>53</v>
      </c>
      <c r="L603" s="22">
        <f t="shared" si="56"/>
        <v>156</v>
      </c>
      <c r="M603" s="22">
        <f t="shared" si="57"/>
        <v>358</v>
      </c>
      <c r="N603" s="24">
        <f t="shared" si="58"/>
        <v>0.43575418994413406</v>
      </c>
      <c r="O603" s="24">
        <v>0.43575418994413401</v>
      </c>
      <c r="P603" s="24">
        <f t="shared" si="59"/>
        <v>5.5511151231257827E-17</v>
      </c>
      <c r="Q603" s="22"/>
    </row>
    <row r="604" spans="1:17" ht="15" customHeight="1" x14ac:dyDescent="0.25">
      <c r="A604" s="22" t="s">
        <v>398</v>
      </c>
      <c r="B604" s="22">
        <v>10</v>
      </c>
      <c r="C604" s="22" t="s">
        <v>191</v>
      </c>
      <c r="D604" s="22">
        <v>-75</v>
      </c>
      <c r="E604" s="22" t="s">
        <v>378</v>
      </c>
      <c r="F604" s="22" t="s">
        <v>183</v>
      </c>
      <c r="G604" s="23">
        <v>35885</v>
      </c>
      <c r="H604" s="22">
        <v>34</v>
      </c>
      <c r="I604" s="22">
        <v>35</v>
      </c>
      <c r="J604" s="22">
        <f t="shared" si="54"/>
        <v>243</v>
      </c>
      <c r="K604" s="22">
        <f t="shared" si="55"/>
        <v>88</v>
      </c>
      <c r="L604" s="22">
        <f t="shared" si="56"/>
        <v>155</v>
      </c>
      <c r="M604" s="22">
        <f t="shared" si="57"/>
        <v>358</v>
      </c>
      <c r="N604" s="24">
        <f t="shared" si="58"/>
        <v>0.43296089385474862</v>
      </c>
      <c r="O604" s="24">
        <v>0.43296089385474901</v>
      </c>
      <c r="P604" s="24">
        <f t="shared" si="59"/>
        <v>-3.8857805861880479E-16</v>
      </c>
      <c r="Q604" s="22"/>
    </row>
    <row r="605" spans="1:17" ht="15" customHeight="1" x14ac:dyDescent="0.25">
      <c r="A605" s="22" t="s">
        <v>398</v>
      </c>
      <c r="B605" s="22">
        <v>11</v>
      </c>
      <c r="C605" s="22" t="s">
        <v>231</v>
      </c>
      <c r="D605" s="22">
        <v>-60</v>
      </c>
      <c r="E605" s="22" t="s">
        <v>378</v>
      </c>
      <c r="F605" s="22" t="s">
        <v>183</v>
      </c>
      <c r="G605" s="23">
        <v>35885</v>
      </c>
      <c r="H605" s="22">
        <v>47</v>
      </c>
      <c r="I605" s="22">
        <v>37</v>
      </c>
      <c r="J605" s="22">
        <f t="shared" si="54"/>
        <v>290</v>
      </c>
      <c r="K605" s="22">
        <f t="shared" si="55"/>
        <v>125</v>
      </c>
      <c r="L605" s="22">
        <f t="shared" si="56"/>
        <v>165</v>
      </c>
      <c r="M605" s="22">
        <f t="shared" si="57"/>
        <v>358</v>
      </c>
      <c r="N605" s="24">
        <f t="shared" si="58"/>
        <v>0.46089385474860334</v>
      </c>
      <c r="O605" s="24">
        <v>0.460893854748603</v>
      </c>
      <c r="P605" s="24">
        <f t="shared" si="59"/>
        <v>3.3306690738754696E-16</v>
      </c>
      <c r="Q605" s="22"/>
    </row>
    <row r="606" spans="1:17" ht="15" customHeight="1" x14ac:dyDescent="0.25">
      <c r="A606" s="22" t="s">
        <v>398</v>
      </c>
      <c r="B606" s="22">
        <v>12</v>
      </c>
      <c r="C606" s="22" t="s">
        <v>239</v>
      </c>
      <c r="D606" s="22">
        <v>-45</v>
      </c>
      <c r="E606" s="22" t="s">
        <v>378</v>
      </c>
      <c r="F606" s="22" t="s">
        <v>183</v>
      </c>
      <c r="G606" s="23">
        <v>35885</v>
      </c>
      <c r="H606" s="22">
        <v>19</v>
      </c>
      <c r="I606" s="22">
        <v>36</v>
      </c>
      <c r="J606" s="22">
        <f t="shared" si="54"/>
        <v>309</v>
      </c>
      <c r="K606" s="22">
        <f t="shared" si="55"/>
        <v>161</v>
      </c>
      <c r="L606" s="22">
        <f t="shared" si="56"/>
        <v>148</v>
      </c>
      <c r="M606" s="22">
        <f t="shared" si="57"/>
        <v>358</v>
      </c>
      <c r="N606" s="24">
        <f t="shared" si="58"/>
        <v>0.41340782122905029</v>
      </c>
      <c r="O606" s="24">
        <v>0.41340782122905001</v>
      </c>
      <c r="P606" s="24">
        <f t="shared" si="59"/>
        <v>2.7755575615628914E-16</v>
      </c>
      <c r="Q606" s="22"/>
    </row>
    <row r="607" spans="1:17" ht="15" customHeight="1" x14ac:dyDescent="0.25">
      <c r="A607" s="22" t="s">
        <v>398</v>
      </c>
      <c r="B607" s="22">
        <v>13</v>
      </c>
      <c r="C607" s="22" t="s">
        <v>387</v>
      </c>
      <c r="D607" s="22">
        <v>-30</v>
      </c>
      <c r="E607" s="22" t="s">
        <v>378</v>
      </c>
      <c r="F607" s="22" t="s">
        <v>183</v>
      </c>
      <c r="G607" s="23">
        <v>35885</v>
      </c>
      <c r="H607" s="22">
        <v>19</v>
      </c>
      <c r="I607" s="22">
        <v>49</v>
      </c>
      <c r="J607" s="22">
        <f t="shared" si="54"/>
        <v>328</v>
      </c>
      <c r="K607" s="22">
        <f t="shared" si="55"/>
        <v>210</v>
      </c>
      <c r="L607" s="22">
        <f t="shared" si="56"/>
        <v>118</v>
      </c>
      <c r="M607" s="22">
        <f t="shared" si="57"/>
        <v>358</v>
      </c>
      <c r="N607" s="24">
        <f t="shared" si="58"/>
        <v>0.32960893854748602</v>
      </c>
      <c r="O607" s="24">
        <v>0.32960893854748602</v>
      </c>
      <c r="P607" s="24">
        <f t="shared" si="59"/>
        <v>0</v>
      </c>
      <c r="Q607" s="22"/>
    </row>
    <row r="608" spans="1:17" ht="15" customHeight="1" x14ac:dyDescent="0.25">
      <c r="A608" s="22" t="s">
        <v>398</v>
      </c>
      <c r="B608" s="22">
        <v>14</v>
      </c>
      <c r="C608" s="22" t="s">
        <v>468</v>
      </c>
      <c r="D608" s="22">
        <v>-15</v>
      </c>
      <c r="E608" s="22" t="s">
        <v>378</v>
      </c>
      <c r="F608" s="22" t="s">
        <v>183</v>
      </c>
      <c r="G608" s="23">
        <v>35885</v>
      </c>
      <c r="H608" s="22">
        <v>7</v>
      </c>
      <c r="I608" s="22">
        <v>36</v>
      </c>
      <c r="J608" s="22">
        <f t="shared" si="54"/>
        <v>335</v>
      </c>
      <c r="K608" s="22">
        <f t="shared" si="55"/>
        <v>246</v>
      </c>
      <c r="L608" s="22">
        <f t="shared" si="56"/>
        <v>89</v>
      </c>
      <c r="M608" s="22">
        <f t="shared" si="57"/>
        <v>358</v>
      </c>
      <c r="N608" s="24">
        <f t="shared" si="58"/>
        <v>0.24860335195530725</v>
      </c>
      <c r="O608" s="24">
        <v>0.248603351955307</v>
      </c>
      <c r="P608" s="24">
        <f t="shared" si="59"/>
        <v>2.4980018054066022E-16</v>
      </c>
      <c r="Q608" s="22"/>
    </row>
    <row r="609" spans="1:17" ht="15" customHeight="1" x14ac:dyDescent="0.25">
      <c r="A609" s="22" t="s">
        <v>398</v>
      </c>
      <c r="B609" s="22">
        <v>15</v>
      </c>
      <c r="C609" s="22" t="s">
        <v>469</v>
      </c>
      <c r="D609" s="22">
        <v>0</v>
      </c>
      <c r="E609" s="22" t="s">
        <v>378</v>
      </c>
      <c r="F609" s="22" t="s">
        <v>183</v>
      </c>
      <c r="G609" s="23">
        <v>35885</v>
      </c>
      <c r="H609" s="22">
        <v>11</v>
      </c>
      <c r="I609" s="22">
        <v>32</v>
      </c>
      <c r="J609" s="22">
        <f t="shared" si="54"/>
        <v>346</v>
      </c>
      <c r="K609" s="22">
        <f t="shared" si="55"/>
        <v>278</v>
      </c>
      <c r="L609" s="22">
        <f t="shared" si="56"/>
        <v>68</v>
      </c>
      <c r="M609" s="22">
        <f t="shared" si="57"/>
        <v>358</v>
      </c>
      <c r="N609" s="24">
        <f t="shared" si="58"/>
        <v>0.18994413407821228</v>
      </c>
      <c r="O609" s="24">
        <v>0.18994413407821201</v>
      </c>
      <c r="P609" s="24">
        <f t="shared" si="59"/>
        <v>2.7755575615628914E-16</v>
      </c>
      <c r="Q609" s="22"/>
    </row>
    <row r="610" spans="1:17" ht="15" customHeight="1" x14ac:dyDescent="0.25">
      <c r="A610" s="22" t="s">
        <v>398</v>
      </c>
      <c r="B610" s="22">
        <v>16</v>
      </c>
      <c r="C610" s="22" t="s">
        <v>351</v>
      </c>
      <c r="D610" s="22">
        <v>15</v>
      </c>
      <c r="E610" s="22" t="s">
        <v>378</v>
      </c>
      <c r="F610" s="22" t="s">
        <v>183</v>
      </c>
      <c r="G610" s="23">
        <v>35885</v>
      </c>
      <c r="H610" s="22">
        <v>9</v>
      </c>
      <c r="I610" s="22">
        <v>39</v>
      </c>
      <c r="J610" s="22">
        <f t="shared" si="54"/>
        <v>355</v>
      </c>
      <c r="K610" s="22">
        <f t="shared" si="55"/>
        <v>317</v>
      </c>
      <c r="L610" s="22">
        <f t="shared" si="56"/>
        <v>38</v>
      </c>
      <c r="M610" s="22">
        <f t="shared" si="57"/>
        <v>358</v>
      </c>
      <c r="N610" s="24">
        <f t="shared" si="58"/>
        <v>0.10614525139664804</v>
      </c>
      <c r="O610" s="24">
        <v>0.106145251396648</v>
      </c>
      <c r="P610" s="24">
        <f t="shared" si="59"/>
        <v>4.163336342344337E-17</v>
      </c>
      <c r="Q610" s="22"/>
    </row>
    <row r="611" spans="1:17" ht="15" customHeight="1" x14ac:dyDescent="0.25">
      <c r="A611" s="22" t="s">
        <v>398</v>
      </c>
      <c r="B611" s="22">
        <v>17</v>
      </c>
      <c r="C611" s="22" t="s">
        <v>311</v>
      </c>
      <c r="D611" s="22">
        <v>30</v>
      </c>
      <c r="E611" s="22" t="s">
        <v>378</v>
      </c>
      <c r="F611" s="22" t="s">
        <v>183</v>
      </c>
      <c r="G611" s="23">
        <v>35885</v>
      </c>
      <c r="H611" s="22">
        <v>1</v>
      </c>
      <c r="I611" s="22">
        <v>27</v>
      </c>
      <c r="J611" s="22">
        <f t="shared" si="54"/>
        <v>356</v>
      </c>
      <c r="K611" s="22">
        <f t="shared" si="55"/>
        <v>344</v>
      </c>
      <c r="L611" s="22">
        <f t="shared" si="56"/>
        <v>12</v>
      </c>
      <c r="M611" s="22">
        <f t="shared" si="57"/>
        <v>358</v>
      </c>
      <c r="N611" s="24">
        <f t="shared" si="58"/>
        <v>3.3519553072625698E-2</v>
      </c>
      <c r="O611" s="24">
        <v>3.3519553072625698E-2</v>
      </c>
      <c r="P611" s="24">
        <f t="shared" si="59"/>
        <v>0</v>
      </c>
      <c r="Q611" s="22"/>
    </row>
    <row r="612" spans="1:17" ht="15" customHeight="1" x14ac:dyDescent="0.25">
      <c r="A612" s="22" t="s">
        <v>398</v>
      </c>
      <c r="B612" s="22">
        <v>18</v>
      </c>
      <c r="C612" s="22" t="s">
        <v>211</v>
      </c>
      <c r="D612" s="22">
        <v>45</v>
      </c>
      <c r="E612" s="22" t="s">
        <v>378</v>
      </c>
      <c r="F612" s="22" t="s">
        <v>183</v>
      </c>
      <c r="G612" s="23">
        <v>35885</v>
      </c>
      <c r="H612" s="22">
        <v>2</v>
      </c>
      <c r="I612" s="22">
        <v>18</v>
      </c>
      <c r="J612" s="22">
        <f t="shared" si="54"/>
        <v>358</v>
      </c>
      <c r="K612" s="22">
        <f t="shared" si="55"/>
        <v>362</v>
      </c>
      <c r="L612" s="22">
        <f t="shared" si="56"/>
        <v>-4</v>
      </c>
      <c r="M612" s="22">
        <f t="shared" si="57"/>
        <v>358</v>
      </c>
      <c r="N612" s="24">
        <f t="shared" si="58"/>
        <v>-1.11731843575419E-2</v>
      </c>
      <c r="O612" s="24">
        <v>-1.11731843575419E-2</v>
      </c>
      <c r="P612" s="24">
        <f t="shared" si="59"/>
        <v>0</v>
      </c>
      <c r="Q612" s="22"/>
    </row>
    <row r="613" spans="1:17" ht="15" customHeight="1" x14ac:dyDescent="0.25">
      <c r="A613" s="22" t="s">
        <v>398</v>
      </c>
      <c r="B613" s="22">
        <v>19</v>
      </c>
      <c r="C613" s="22" t="s">
        <v>190</v>
      </c>
      <c r="D613" s="22">
        <v>60</v>
      </c>
      <c r="E613" s="22" t="s">
        <v>378</v>
      </c>
      <c r="F613" s="22" t="s">
        <v>183</v>
      </c>
      <c r="G613" s="23">
        <v>35885</v>
      </c>
      <c r="H613" s="22">
        <v>0</v>
      </c>
      <c r="I613" s="22">
        <v>10</v>
      </c>
      <c r="J613" s="22">
        <f t="shared" si="54"/>
        <v>358</v>
      </c>
      <c r="K613" s="22">
        <f t="shared" si="55"/>
        <v>372</v>
      </c>
      <c r="L613" s="22">
        <f t="shared" si="56"/>
        <v>-14</v>
      </c>
      <c r="M613" s="22">
        <f t="shared" si="57"/>
        <v>358</v>
      </c>
      <c r="N613" s="24">
        <f t="shared" si="58"/>
        <v>-3.9106145251396648E-2</v>
      </c>
      <c r="O613" s="24">
        <v>-3.9106145251396697E-2</v>
      </c>
      <c r="P613" s="24">
        <f t="shared" si="59"/>
        <v>4.8572257327350599E-17</v>
      </c>
      <c r="Q613" s="22"/>
    </row>
    <row r="614" spans="1:17" ht="15" customHeight="1" x14ac:dyDescent="0.25">
      <c r="A614" s="22" t="s">
        <v>401</v>
      </c>
      <c r="B614" s="22">
        <v>0</v>
      </c>
      <c r="C614" s="22" t="s">
        <v>189</v>
      </c>
      <c r="D614" s="22"/>
      <c r="E614" s="22" t="s">
        <v>378</v>
      </c>
      <c r="F614" s="22" t="s">
        <v>183</v>
      </c>
      <c r="G614" s="23">
        <v>38098</v>
      </c>
      <c r="H614" s="22">
        <v>0</v>
      </c>
      <c r="I614" s="22">
        <v>0</v>
      </c>
      <c r="J614" s="22">
        <f t="shared" si="54"/>
        <v>0</v>
      </c>
      <c r="K614" s="22">
        <f t="shared" si="55"/>
        <v>0</v>
      </c>
      <c r="L614" s="22">
        <f t="shared" si="56"/>
        <v>0</v>
      </c>
      <c r="M614" s="22">
        <f t="shared" si="57"/>
        <v>435</v>
      </c>
      <c r="N614" s="24">
        <f t="shared" si="58"/>
        <v>0</v>
      </c>
      <c r="O614" s="24"/>
      <c r="P614" s="24" t="str">
        <f t="shared" si="59"/>
        <v/>
      </c>
      <c r="Q614" s="22"/>
    </row>
    <row r="615" spans="1:17" ht="15" customHeight="1" x14ac:dyDescent="0.25">
      <c r="A615" s="22" t="s">
        <v>401</v>
      </c>
      <c r="B615" s="22">
        <v>3</v>
      </c>
      <c r="C615" s="22" t="s">
        <v>464</v>
      </c>
      <c r="D615" s="22">
        <v>-180</v>
      </c>
      <c r="E615" s="22" t="s">
        <v>378</v>
      </c>
      <c r="F615" s="22" t="s">
        <v>183</v>
      </c>
      <c r="G615" s="23">
        <v>38098</v>
      </c>
      <c r="H615" s="22">
        <v>5</v>
      </c>
      <c r="I615" s="22">
        <v>1</v>
      </c>
      <c r="J615" s="22">
        <f t="shared" si="54"/>
        <v>5</v>
      </c>
      <c r="K615" s="22">
        <f t="shared" si="55"/>
        <v>1</v>
      </c>
      <c r="L615" s="22">
        <f t="shared" si="56"/>
        <v>4</v>
      </c>
      <c r="M615" s="22">
        <f t="shared" si="57"/>
        <v>435</v>
      </c>
      <c r="N615" s="24">
        <f t="shared" si="58"/>
        <v>9.1954022988505746E-3</v>
      </c>
      <c r="O615" s="24"/>
      <c r="P615" s="24" t="str">
        <f t="shared" si="59"/>
        <v/>
      </c>
      <c r="Q615" s="22"/>
    </row>
    <row r="616" spans="1:17" ht="15" customHeight="1" x14ac:dyDescent="0.25">
      <c r="A616" s="22" t="s">
        <v>401</v>
      </c>
      <c r="B616" s="22">
        <v>4</v>
      </c>
      <c r="C616" s="22" t="s">
        <v>465</v>
      </c>
      <c r="D616" s="22">
        <v>-165</v>
      </c>
      <c r="E616" s="22" t="s">
        <v>378</v>
      </c>
      <c r="F616" s="22" t="s">
        <v>183</v>
      </c>
      <c r="G616" s="23">
        <v>38098</v>
      </c>
      <c r="H616" s="22">
        <v>10</v>
      </c>
      <c r="I616" s="22">
        <v>0</v>
      </c>
      <c r="J616" s="22">
        <f t="shared" si="54"/>
        <v>15</v>
      </c>
      <c r="K616" s="22">
        <f t="shared" si="55"/>
        <v>1</v>
      </c>
      <c r="L616" s="22">
        <f t="shared" si="56"/>
        <v>14</v>
      </c>
      <c r="M616" s="22">
        <f t="shared" si="57"/>
        <v>435</v>
      </c>
      <c r="N616" s="24">
        <f t="shared" si="58"/>
        <v>3.2183908045977011E-2</v>
      </c>
      <c r="O616" s="24"/>
      <c r="P616" s="24" t="str">
        <f t="shared" si="59"/>
        <v/>
      </c>
      <c r="Q616" s="22"/>
    </row>
    <row r="617" spans="1:17" ht="15" customHeight="1" x14ac:dyDescent="0.25">
      <c r="A617" s="22" t="s">
        <v>401</v>
      </c>
      <c r="B617" s="22">
        <v>5</v>
      </c>
      <c r="C617" s="22" t="s">
        <v>466</v>
      </c>
      <c r="D617" s="22">
        <v>-150</v>
      </c>
      <c r="E617" s="22" t="s">
        <v>378</v>
      </c>
      <c r="F617" s="22" t="s">
        <v>183</v>
      </c>
      <c r="G617" s="23">
        <v>38098</v>
      </c>
      <c r="H617" s="22">
        <v>20</v>
      </c>
      <c r="I617" s="22">
        <v>4</v>
      </c>
      <c r="J617" s="22">
        <f t="shared" si="54"/>
        <v>35</v>
      </c>
      <c r="K617" s="22">
        <f t="shared" si="55"/>
        <v>5</v>
      </c>
      <c r="L617" s="22">
        <f t="shared" si="56"/>
        <v>30</v>
      </c>
      <c r="M617" s="22">
        <f t="shared" si="57"/>
        <v>435</v>
      </c>
      <c r="N617" s="24">
        <f t="shared" si="58"/>
        <v>6.8965517241379309E-2</v>
      </c>
      <c r="O617" s="24"/>
      <c r="P617" s="24" t="str">
        <f t="shared" si="59"/>
        <v/>
      </c>
      <c r="Q617" s="22"/>
    </row>
    <row r="618" spans="1:17" ht="15" customHeight="1" x14ac:dyDescent="0.25">
      <c r="A618" s="22" t="s">
        <v>401</v>
      </c>
      <c r="B618" s="22">
        <v>6</v>
      </c>
      <c r="C618" s="22" t="s">
        <v>467</v>
      </c>
      <c r="D618" s="22">
        <v>-135</v>
      </c>
      <c r="E618" s="22" t="s">
        <v>378</v>
      </c>
      <c r="F618" s="22" t="s">
        <v>183</v>
      </c>
      <c r="G618" s="23">
        <v>38098</v>
      </c>
      <c r="H618" s="22">
        <v>23</v>
      </c>
      <c r="I618" s="22">
        <v>5</v>
      </c>
      <c r="J618" s="22">
        <f t="shared" si="54"/>
        <v>58</v>
      </c>
      <c r="K618" s="22">
        <f t="shared" si="55"/>
        <v>10</v>
      </c>
      <c r="L618" s="22">
        <f t="shared" si="56"/>
        <v>48</v>
      </c>
      <c r="M618" s="22">
        <f t="shared" si="57"/>
        <v>435</v>
      </c>
      <c r="N618" s="24">
        <f t="shared" si="58"/>
        <v>0.1103448275862069</v>
      </c>
      <c r="O618" s="24"/>
      <c r="P618" s="24" t="str">
        <f t="shared" si="59"/>
        <v/>
      </c>
      <c r="Q618" s="22"/>
    </row>
    <row r="619" spans="1:17" ht="15" customHeight="1" x14ac:dyDescent="0.25">
      <c r="A619" s="22" t="s">
        <v>401</v>
      </c>
      <c r="B619" s="22">
        <v>7</v>
      </c>
      <c r="C619" s="22" t="s">
        <v>212</v>
      </c>
      <c r="D619" s="22">
        <v>-120</v>
      </c>
      <c r="E619" s="22" t="s">
        <v>378</v>
      </c>
      <c r="F619" s="22" t="s">
        <v>183</v>
      </c>
      <c r="G619" s="23">
        <v>38098</v>
      </c>
      <c r="H619" s="22">
        <v>54</v>
      </c>
      <c r="I619" s="22">
        <v>2</v>
      </c>
      <c r="J619" s="22">
        <f t="shared" si="54"/>
        <v>112</v>
      </c>
      <c r="K619" s="22">
        <f t="shared" si="55"/>
        <v>12</v>
      </c>
      <c r="L619" s="22">
        <f t="shared" si="56"/>
        <v>100</v>
      </c>
      <c r="M619" s="22">
        <f t="shared" si="57"/>
        <v>435</v>
      </c>
      <c r="N619" s="24">
        <f t="shared" si="58"/>
        <v>0.22988505747126436</v>
      </c>
      <c r="O619" s="24"/>
      <c r="P619" s="24" t="str">
        <f t="shared" si="59"/>
        <v/>
      </c>
      <c r="Q619" s="22"/>
    </row>
    <row r="620" spans="1:17" ht="15" customHeight="1" x14ac:dyDescent="0.25">
      <c r="A620" s="22" t="s">
        <v>401</v>
      </c>
      <c r="B620" s="22">
        <v>8</v>
      </c>
      <c r="C620" s="22" t="s">
        <v>226</v>
      </c>
      <c r="D620" s="22">
        <v>-105</v>
      </c>
      <c r="E620" s="22" t="s">
        <v>378</v>
      </c>
      <c r="F620" s="22" t="s">
        <v>183</v>
      </c>
      <c r="G620" s="23">
        <v>38098</v>
      </c>
      <c r="H620" s="22">
        <v>69</v>
      </c>
      <c r="I620" s="22">
        <v>4</v>
      </c>
      <c r="J620" s="22">
        <f t="shared" si="54"/>
        <v>181</v>
      </c>
      <c r="K620" s="22">
        <f t="shared" si="55"/>
        <v>16</v>
      </c>
      <c r="L620" s="22">
        <f t="shared" si="56"/>
        <v>165</v>
      </c>
      <c r="M620" s="22">
        <f t="shared" si="57"/>
        <v>435</v>
      </c>
      <c r="N620" s="24">
        <f t="shared" si="58"/>
        <v>0.37931034482758619</v>
      </c>
      <c r="O620" s="24"/>
      <c r="P620" s="24" t="str">
        <f t="shared" si="59"/>
        <v/>
      </c>
      <c r="Q620" s="22"/>
    </row>
    <row r="621" spans="1:17" ht="15" customHeight="1" x14ac:dyDescent="0.25">
      <c r="A621" s="22" t="s">
        <v>401</v>
      </c>
      <c r="B621" s="22">
        <v>9</v>
      </c>
      <c r="C621" s="22" t="s">
        <v>264</v>
      </c>
      <c r="D621" s="22">
        <v>-90</v>
      </c>
      <c r="E621" s="22" t="s">
        <v>378</v>
      </c>
      <c r="F621" s="22" t="s">
        <v>183</v>
      </c>
      <c r="G621" s="23">
        <v>38098</v>
      </c>
      <c r="H621" s="22">
        <v>53</v>
      </c>
      <c r="I621" s="22">
        <v>6</v>
      </c>
      <c r="J621" s="22">
        <f t="shared" si="54"/>
        <v>234</v>
      </c>
      <c r="K621" s="22">
        <f t="shared" si="55"/>
        <v>22</v>
      </c>
      <c r="L621" s="22">
        <f t="shared" si="56"/>
        <v>212</v>
      </c>
      <c r="M621" s="22">
        <f t="shared" si="57"/>
        <v>435</v>
      </c>
      <c r="N621" s="24">
        <f t="shared" si="58"/>
        <v>0.48735632183908045</v>
      </c>
      <c r="O621" s="24"/>
      <c r="P621" s="24" t="str">
        <f t="shared" si="59"/>
        <v/>
      </c>
      <c r="Q621" s="22"/>
    </row>
    <row r="622" spans="1:17" ht="15" customHeight="1" x14ac:dyDescent="0.25">
      <c r="A622" s="22" t="s">
        <v>401</v>
      </c>
      <c r="B622" s="22">
        <v>10</v>
      </c>
      <c r="C622" s="22" t="s">
        <v>191</v>
      </c>
      <c r="D622" s="22">
        <v>-75</v>
      </c>
      <c r="E622" s="22" t="s">
        <v>378</v>
      </c>
      <c r="F622" s="22" t="s">
        <v>183</v>
      </c>
      <c r="G622" s="23">
        <v>38098</v>
      </c>
      <c r="H622" s="22">
        <v>61</v>
      </c>
      <c r="I622" s="22">
        <v>18</v>
      </c>
      <c r="J622" s="22">
        <f t="shared" si="54"/>
        <v>295</v>
      </c>
      <c r="K622" s="22">
        <f t="shared" si="55"/>
        <v>40</v>
      </c>
      <c r="L622" s="22">
        <f t="shared" si="56"/>
        <v>255</v>
      </c>
      <c r="M622" s="22">
        <f t="shared" si="57"/>
        <v>435</v>
      </c>
      <c r="N622" s="24">
        <f t="shared" si="58"/>
        <v>0.58620689655172409</v>
      </c>
      <c r="O622" s="24"/>
      <c r="P622" s="24" t="str">
        <f t="shared" si="59"/>
        <v/>
      </c>
      <c r="Q622" s="22"/>
    </row>
    <row r="623" spans="1:17" ht="15" customHeight="1" x14ac:dyDescent="0.25">
      <c r="A623" s="22" t="s">
        <v>401</v>
      </c>
      <c r="B623" s="22">
        <v>11</v>
      </c>
      <c r="C623" s="22" t="s">
        <v>231</v>
      </c>
      <c r="D623" s="22">
        <v>-60</v>
      </c>
      <c r="E623" s="22" t="s">
        <v>378</v>
      </c>
      <c r="F623" s="22" t="s">
        <v>183</v>
      </c>
      <c r="G623" s="23">
        <v>38098</v>
      </c>
      <c r="H623" s="22">
        <v>27</v>
      </c>
      <c r="I623" s="22">
        <v>12</v>
      </c>
      <c r="J623" s="22">
        <f t="shared" si="54"/>
        <v>322</v>
      </c>
      <c r="K623" s="22">
        <f t="shared" si="55"/>
        <v>52</v>
      </c>
      <c r="L623" s="22">
        <f t="shared" si="56"/>
        <v>270</v>
      </c>
      <c r="M623" s="22">
        <f t="shared" si="57"/>
        <v>435</v>
      </c>
      <c r="N623" s="24">
        <f t="shared" si="58"/>
        <v>0.62068965517241381</v>
      </c>
      <c r="O623" s="24"/>
      <c r="P623" s="24" t="str">
        <f t="shared" si="59"/>
        <v/>
      </c>
      <c r="Q623" s="22"/>
    </row>
    <row r="624" spans="1:17" ht="15" customHeight="1" x14ac:dyDescent="0.25">
      <c r="A624" s="22" t="s">
        <v>401</v>
      </c>
      <c r="B624" s="22">
        <v>12</v>
      </c>
      <c r="C624" s="22" t="s">
        <v>239</v>
      </c>
      <c r="D624" s="22">
        <v>-45</v>
      </c>
      <c r="E624" s="22" t="s">
        <v>378</v>
      </c>
      <c r="F624" s="22" t="s">
        <v>183</v>
      </c>
      <c r="G624" s="23">
        <v>38098</v>
      </c>
      <c r="H624" s="22">
        <v>27</v>
      </c>
      <c r="I624" s="22">
        <v>26</v>
      </c>
      <c r="J624" s="22">
        <f t="shared" si="54"/>
        <v>349</v>
      </c>
      <c r="K624" s="22">
        <f t="shared" si="55"/>
        <v>78</v>
      </c>
      <c r="L624" s="22">
        <f t="shared" si="56"/>
        <v>271</v>
      </c>
      <c r="M624" s="22">
        <f t="shared" si="57"/>
        <v>435</v>
      </c>
      <c r="N624" s="24">
        <f t="shared" si="58"/>
        <v>0.62298850574712639</v>
      </c>
      <c r="O624" s="24"/>
      <c r="P624" s="24" t="str">
        <f t="shared" si="59"/>
        <v/>
      </c>
      <c r="Q624" s="22"/>
    </row>
    <row r="625" spans="1:17" ht="15" customHeight="1" x14ac:dyDescent="0.25">
      <c r="A625" s="22" t="s">
        <v>401</v>
      </c>
      <c r="B625" s="22">
        <v>13</v>
      </c>
      <c r="C625" s="22" t="s">
        <v>387</v>
      </c>
      <c r="D625" s="22">
        <v>-30</v>
      </c>
      <c r="E625" s="22" t="s">
        <v>378</v>
      </c>
      <c r="F625" s="22" t="s">
        <v>183</v>
      </c>
      <c r="G625" s="23">
        <v>38098</v>
      </c>
      <c r="H625" s="22">
        <v>21</v>
      </c>
      <c r="I625" s="22">
        <v>23</v>
      </c>
      <c r="J625" s="22">
        <f t="shared" si="54"/>
        <v>370</v>
      </c>
      <c r="K625" s="22">
        <f t="shared" si="55"/>
        <v>101</v>
      </c>
      <c r="L625" s="22">
        <f t="shared" si="56"/>
        <v>269</v>
      </c>
      <c r="M625" s="22">
        <f t="shared" si="57"/>
        <v>435</v>
      </c>
      <c r="N625" s="24">
        <f t="shared" si="58"/>
        <v>0.61839080459770113</v>
      </c>
      <c r="O625" s="24"/>
      <c r="P625" s="24" t="str">
        <f t="shared" si="59"/>
        <v/>
      </c>
      <c r="Q625" s="22"/>
    </row>
    <row r="626" spans="1:17" ht="15" customHeight="1" x14ac:dyDescent="0.25">
      <c r="A626" s="22" t="s">
        <v>401</v>
      </c>
      <c r="B626" s="22">
        <v>14</v>
      </c>
      <c r="C626" s="22" t="s">
        <v>468</v>
      </c>
      <c r="D626" s="22">
        <v>-15</v>
      </c>
      <c r="E626" s="22" t="s">
        <v>378</v>
      </c>
      <c r="F626" s="22" t="s">
        <v>183</v>
      </c>
      <c r="G626" s="23">
        <v>38098</v>
      </c>
      <c r="H626" s="22">
        <v>14</v>
      </c>
      <c r="I626" s="22">
        <v>38</v>
      </c>
      <c r="J626" s="22">
        <f t="shared" si="54"/>
        <v>384</v>
      </c>
      <c r="K626" s="22">
        <f t="shared" si="55"/>
        <v>139</v>
      </c>
      <c r="L626" s="22">
        <f t="shared" si="56"/>
        <v>245</v>
      </c>
      <c r="M626" s="22">
        <f t="shared" si="57"/>
        <v>435</v>
      </c>
      <c r="N626" s="24">
        <f t="shared" si="58"/>
        <v>0.56321839080459768</v>
      </c>
      <c r="O626" s="24"/>
      <c r="P626" s="24" t="str">
        <f t="shared" si="59"/>
        <v/>
      </c>
      <c r="Q626" s="22"/>
    </row>
    <row r="627" spans="1:17" ht="15" customHeight="1" x14ac:dyDescent="0.25">
      <c r="A627" s="22" t="s">
        <v>401</v>
      </c>
      <c r="B627" s="22">
        <v>15</v>
      </c>
      <c r="C627" s="22" t="s">
        <v>469</v>
      </c>
      <c r="D627" s="22">
        <v>0</v>
      </c>
      <c r="E627" s="22" t="s">
        <v>378</v>
      </c>
      <c r="F627" s="22" t="s">
        <v>183</v>
      </c>
      <c r="G627" s="23">
        <v>38098</v>
      </c>
      <c r="H627" s="22">
        <v>7</v>
      </c>
      <c r="I627" s="22">
        <v>47</v>
      </c>
      <c r="J627" s="22">
        <f t="shared" si="54"/>
        <v>391</v>
      </c>
      <c r="K627" s="22">
        <f t="shared" si="55"/>
        <v>186</v>
      </c>
      <c r="L627" s="22">
        <f t="shared" si="56"/>
        <v>205</v>
      </c>
      <c r="M627" s="22">
        <f t="shared" si="57"/>
        <v>435</v>
      </c>
      <c r="N627" s="24">
        <f t="shared" si="58"/>
        <v>0.47126436781609193</v>
      </c>
      <c r="O627" s="24"/>
      <c r="P627" s="24" t="str">
        <f t="shared" si="59"/>
        <v/>
      </c>
      <c r="Q627" s="22"/>
    </row>
    <row r="628" spans="1:17" ht="15" customHeight="1" x14ac:dyDescent="0.25">
      <c r="A628" s="22" t="s">
        <v>401</v>
      </c>
      <c r="B628" s="22">
        <v>16</v>
      </c>
      <c r="C628" s="22" t="s">
        <v>351</v>
      </c>
      <c r="D628" s="22">
        <v>15</v>
      </c>
      <c r="E628" s="22" t="s">
        <v>378</v>
      </c>
      <c r="F628" s="22" t="s">
        <v>183</v>
      </c>
      <c r="G628" s="23">
        <v>38098</v>
      </c>
      <c r="H628" s="22">
        <v>11</v>
      </c>
      <c r="I628" s="22">
        <v>46</v>
      </c>
      <c r="J628" s="22">
        <f t="shared" si="54"/>
        <v>402</v>
      </c>
      <c r="K628" s="22">
        <f t="shared" si="55"/>
        <v>232</v>
      </c>
      <c r="L628" s="22">
        <f t="shared" si="56"/>
        <v>170</v>
      </c>
      <c r="M628" s="22">
        <f t="shared" si="57"/>
        <v>435</v>
      </c>
      <c r="N628" s="24">
        <f t="shared" si="58"/>
        <v>0.39080459770114945</v>
      </c>
      <c r="O628" s="24"/>
      <c r="P628" s="24" t="str">
        <f t="shared" si="59"/>
        <v/>
      </c>
      <c r="Q628" s="22"/>
    </row>
    <row r="629" spans="1:17" ht="15" customHeight="1" x14ac:dyDescent="0.25">
      <c r="A629" s="22" t="s">
        <v>401</v>
      </c>
      <c r="B629" s="22">
        <v>17</v>
      </c>
      <c r="C629" s="22" t="s">
        <v>311</v>
      </c>
      <c r="D629" s="22">
        <v>30</v>
      </c>
      <c r="E629" s="22" t="s">
        <v>378</v>
      </c>
      <c r="F629" s="22" t="s">
        <v>183</v>
      </c>
      <c r="G629" s="23">
        <v>38098</v>
      </c>
      <c r="H629" s="22">
        <v>6</v>
      </c>
      <c r="I629" s="22">
        <v>39</v>
      </c>
      <c r="J629" s="22">
        <f t="shared" si="54"/>
        <v>408</v>
      </c>
      <c r="K629" s="22">
        <f t="shared" si="55"/>
        <v>271</v>
      </c>
      <c r="L629" s="22">
        <f t="shared" si="56"/>
        <v>137</v>
      </c>
      <c r="M629" s="22">
        <f t="shared" si="57"/>
        <v>435</v>
      </c>
      <c r="N629" s="24">
        <f t="shared" si="58"/>
        <v>0.31494252873563217</v>
      </c>
      <c r="O629" s="24"/>
      <c r="P629" s="24" t="str">
        <f t="shared" si="59"/>
        <v/>
      </c>
      <c r="Q629" s="22"/>
    </row>
    <row r="630" spans="1:17" ht="15" customHeight="1" x14ac:dyDescent="0.25">
      <c r="A630" s="22" t="s">
        <v>401</v>
      </c>
      <c r="B630" s="22">
        <v>18</v>
      </c>
      <c r="C630" s="22" t="s">
        <v>211</v>
      </c>
      <c r="D630" s="22">
        <v>45</v>
      </c>
      <c r="E630" s="22" t="s">
        <v>378</v>
      </c>
      <c r="F630" s="22" t="s">
        <v>183</v>
      </c>
      <c r="G630" s="23">
        <v>38098</v>
      </c>
      <c r="H630" s="22">
        <v>9</v>
      </c>
      <c r="I630" s="22">
        <v>40</v>
      </c>
      <c r="J630" s="22">
        <f t="shared" si="54"/>
        <v>417</v>
      </c>
      <c r="K630" s="22">
        <f t="shared" si="55"/>
        <v>311</v>
      </c>
      <c r="L630" s="22">
        <f t="shared" si="56"/>
        <v>106</v>
      </c>
      <c r="M630" s="22">
        <f t="shared" si="57"/>
        <v>435</v>
      </c>
      <c r="N630" s="24">
        <f t="shared" si="58"/>
        <v>0.24367816091954023</v>
      </c>
      <c r="O630" s="24"/>
      <c r="P630" s="24" t="str">
        <f t="shared" si="59"/>
        <v/>
      </c>
      <c r="Q630" s="22"/>
    </row>
    <row r="631" spans="1:17" ht="15" customHeight="1" x14ac:dyDescent="0.25">
      <c r="A631" s="22" t="s">
        <v>401</v>
      </c>
      <c r="B631" s="22">
        <v>19</v>
      </c>
      <c r="C631" s="22" t="s">
        <v>190</v>
      </c>
      <c r="D631" s="22">
        <v>60</v>
      </c>
      <c r="E631" s="22" t="s">
        <v>378</v>
      </c>
      <c r="F631" s="22" t="s">
        <v>183</v>
      </c>
      <c r="G631" s="23">
        <v>38098</v>
      </c>
      <c r="H631" s="22">
        <v>3</v>
      </c>
      <c r="I631" s="22">
        <v>32</v>
      </c>
      <c r="J631" s="22">
        <f t="shared" si="54"/>
        <v>420</v>
      </c>
      <c r="K631" s="22">
        <f t="shared" si="55"/>
        <v>343</v>
      </c>
      <c r="L631" s="22">
        <f t="shared" si="56"/>
        <v>77</v>
      </c>
      <c r="M631" s="22">
        <f t="shared" si="57"/>
        <v>435</v>
      </c>
      <c r="N631" s="24">
        <f t="shared" si="58"/>
        <v>0.17701149425287357</v>
      </c>
      <c r="O631" s="24"/>
      <c r="P631" s="24" t="str">
        <f t="shared" si="59"/>
        <v/>
      </c>
      <c r="Q631" s="22"/>
    </row>
    <row r="632" spans="1:17" ht="15" customHeight="1" x14ac:dyDescent="0.25">
      <c r="A632" s="22" t="s">
        <v>401</v>
      </c>
      <c r="B632" s="22">
        <v>20</v>
      </c>
      <c r="C632" s="22" t="s">
        <v>472</v>
      </c>
      <c r="D632" s="22">
        <v>75</v>
      </c>
      <c r="E632" s="22" t="s">
        <v>378</v>
      </c>
      <c r="F632" s="22" t="s">
        <v>183</v>
      </c>
      <c r="G632" s="23">
        <v>38098</v>
      </c>
      <c r="H632" s="22">
        <v>5</v>
      </c>
      <c r="I632" s="22">
        <v>23</v>
      </c>
      <c r="J632" s="22">
        <f t="shared" si="54"/>
        <v>425</v>
      </c>
      <c r="K632" s="22">
        <f t="shared" si="55"/>
        <v>366</v>
      </c>
      <c r="L632" s="22">
        <f t="shared" si="56"/>
        <v>59</v>
      </c>
      <c r="M632" s="22">
        <f t="shared" si="57"/>
        <v>435</v>
      </c>
      <c r="N632" s="24">
        <f t="shared" si="58"/>
        <v>0.13563218390804599</v>
      </c>
      <c r="O632" s="24"/>
      <c r="P632" s="24" t="str">
        <f t="shared" si="59"/>
        <v/>
      </c>
      <c r="Q632" s="22"/>
    </row>
    <row r="633" spans="1:17" ht="15" customHeight="1" x14ac:dyDescent="0.25">
      <c r="A633" s="22" t="s">
        <v>401</v>
      </c>
      <c r="B633" s="22">
        <v>21</v>
      </c>
      <c r="C633" s="22" t="s">
        <v>250</v>
      </c>
      <c r="D633" s="22">
        <v>90</v>
      </c>
      <c r="E633" s="22" t="s">
        <v>378</v>
      </c>
      <c r="F633" s="22" t="s">
        <v>183</v>
      </c>
      <c r="G633" s="23">
        <v>38098</v>
      </c>
      <c r="H633" s="22">
        <v>6</v>
      </c>
      <c r="I633" s="22">
        <v>31</v>
      </c>
      <c r="J633" s="22">
        <f t="shared" si="54"/>
        <v>431</v>
      </c>
      <c r="K633" s="22">
        <f t="shared" si="55"/>
        <v>397</v>
      </c>
      <c r="L633" s="22">
        <f t="shared" si="56"/>
        <v>34</v>
      </c>
      <c r="M633" s="22">
        <f t="shared" si="57"/>
        <v>435</v>
      </c>
      <c r="N633" s="24">
        <f t="shared" si="58"/>
        <v>7.8160919540229884E-2</v>
      </c>
      <c r="O633" s="24"/>
      <c r="P633" s="24" t="str">
        <f t="shared" si="59"/>
        <v/>
      </c>
      <c r="Q633" s="22"/>
    </row>
    <row r="634" spans="1:17" ht="15" customHeight="1" x14ac:dyDescent="0.25">
      <c r="A634" s="22" t="s">
        <v>401</v>
      </c>
      <c r="B634" s="22">
        <v>22</v>
      </c>
      <c r="C634" s="22" t="s">
        <v>403</v>
      </c>
      <c r="D634" s="22">
        <v>105</v>
      </c>
      <c r="E634" s="22" t="s">
        <v>378</v>
      </c>
      <c r="F634" s="22" t="s">
        <v>183</v>
      </c>
      <c r="G634" s="23">
        <v>38098</v>
      </c>
      <c r="H634" s="22">
        <v>4</v>
      </c>
      <c r="I634" s="22">
        <v>16</v>
      </c>
      <c r="J634" s="22">
        <f t="shared" si="54"/>
        <v>435</v>
      </c>
      <c r="K634" s="22">
        <f t="shared" si="55"/>
        <v>413</v>
      </c>
      <c r="L634" s="22">
        <f t="shared" si="56"/>
        <v>22</v>
      </c>
      <c r="M634" s="22">
        <f t="shared" si="57"/>
        <v>435</v>
      </c>
      <c r="N634" s="24">
        <f t="shared" si="58"/>
        <v>5.057471264367816E-2</v>
      </c>
      <c r="O634" s="24"/>
      <c r="P634" s="24" t="str">
        <f t="shared" si="59"/>
        <v/>
      </c>
      <c r="Q634" s="22"/>
    </row>
    <row r="635" spans="1:17" ht="15" customHeight="1" x14ac:dyDescent="0.25">
      <c r="A635" s="22" t="s">
        <v>407</v>
      </c>
      <c r="B635" s="22">
        <v>0</v>
      </c>
      <c r="C635" s="22" t="s">
        <v>189</v>
      </c>
      <c r="D635" s="22"/>
      <c r="E635" s="22" t="s">
        <v>378</v>
      </c>
      <c r="F635" s="22" t="s">
        <v>183</v>
      </c>
      <c r="G635" s="23">
        <v>38098</v>
      </c>
      <c r="H635" s="22">
        <v>0</v>
      </c>
      <c r="I635" s="22">
        <v>0</v>
      </c>
      <c r="J635" s="22">
        <f t="shared" si="54"/>
        <v>0</v>
      </c>
      <c r="K635" s="22">
        <f t="shared" si="55"/>
        <v>0</v>
      </c>
      <c r="L635" s="22">
        <f t="shared" si="56"/>
        <v>0</v>
      </c>
      <c r="M635" s="22">
        <f t="shared" si="57"/>
        <v>435</v>
      </c>
      <c r="N635" s="24">
        <f t="shared" si="58"/>
        <v>0</v>
      </c>
      <c r="O635" s="24">
        <v>0</v>
      </c>
      <c r="P635" s="24">
        <f t="shared" si="59"/>
        <v>0</v>
      </c>
      <c r="Q635" s="22"/>
    </row>
    <row r="636" spans="1:17" ht="15" customHeight="1" x14ac:dyDescent="0.25">
      <c r="A636" s="22" t="s">
        <v>407</v>
      </c>
      <c r="B636" s="22">
        <v>3</v>
      </c>
      <c r="C636" s="22" t="s">
        <v>464</v>
      </c>
      <c r="D636" s="22">
        <v>-180</v>
      </c>
      <c r="E636" s="22" t="s">
        <v>378</v>
      </c>
      <c r="F636" s="22" t="s">
        <v>183</v>
      </c>
      <c r="G636" s="23">
        <v>38098</v>
      </c>
      <c r="H636" s="22">
        <v>5</v>
      </c>
      <c r="I636" s="22">
        <v>1</v>
      </c>
      <c r="J636" s="22">
        <f t="shared" si="54"/>
        <v>5</v>
      </c>
      <c r="K636" s="22">
        <f t="shared" si="55"/>
        <v>1</v>
      </c>
      <c r="L636" s="22">
        <f t="shared" si="56"/>
        <v>4</v>
      </c>
      <c r="M636" s="22">
        <f t="shared" si="57"/>
        <v>435</v>
      </c>
      <c r="N636" s="24">
        <f t="shared" si="58"/>
        <v>9.1954022988505746E-3</v>
      </c>
      <c r="O636" s="24">
        <v>9.1954022988505798E-3</v>
      </c>
      <c r="P636" s="24">
        <f t="shared" si="59"/>
        <v>-5.2041704279304213E-18</v>
      </c>
      <c r="Q636" s="22"/>
    </row>
    <row r="637" spans="1:17" ht="15" customHeight="1" x14ac:dyDescent="0.25">
      <c r="A637" s="22" t="s">
        <v>407</v>
      </c>
      <c r="B637" s="22">
        <v>4</v>
      </c>
      <c r="C637" s="22" t="s">
        <v>465</v>
      </c>
      <c r="D637" s="22">
        <v>-165</v>
      </c>
      <c r="E637" s="22" t="s">
        <v>378</v>
      </c>
      <c r="F637" s="22" t="s">
        <v>183</v>
      </c>
      <c r="G637" s="23">
        <v>38098</v>
      </c>
      <c r="H637" s="22">
        <v>10</v>
      </c>
      <c r="I637" s="22">
        <v>0</v>
      </c>
      <c r="J637" s="22">
        <f t="shared" si="54"/>
        <v>15</v>
      </c>
      <c r="K637" s="22">
        <f t="shared" si="55"/>
        <v>1</v>
      </c>
      <c r="L637" s="22">
        <f t="shared" si="56"/>
        <v>14</v>
      </c>
      <c r="M637" s="22">
        <f t="shared" si="57"/>
        <v>435</v>
      </c>
      <c r="N637" s="24">
        <f t="shared" si="58"/>
        <v>3.2183908045977011E-2</v>
      </c>
      <c r="O637" s="24">
        <v>3.2183908045976997E-2</v>
      </c>
      <c r="P637" s="24">
        <f t="shared" si="59"/>
        <v>1.3877787807814457E-17</v>
      </c>
      <c r="Q637" s="22"/>
    </row>
    <row r="638" spans="1:17" ht="15" customHeight="1" x14ac:dyDescent="0.25">
      <c r="A638" s="22" t="s">
        <v>407</v>
      </c>
      <c r="B638" s="22">
        <v>5</v>
      </c>
      <c r="C638" s="22" t="s">
        <v>466</v>
      </c>
      <c r="D638" s="22">
        <v>-150</v>
      </c>
      <c r="E638" s="22" t="s">
        <v>378</v>
      </c>
      <c r="F638" s="22" t="s">
        <v>183</v>
      </c>
      <c r="G638" s="23">
        <v>38098</v>
      </c>
      <c r="H638" s="22">
        <v>20</v>
      </c>
      <c r="I638" s="22">
        <v>4</v>
      </c>
      <c r="J638" s="22">
        <f t="shared" si="54"/>
        <v>35</v>
      </c>
      <c r="K638" s="22">
        <f t="shared" si="55"/>
        <v>5</v>
      </c>
      <c r="L638" s="22">
        <f t="shared" si="56"/>
        <v>30</v>
      </c>
      <c r="M638" s="22">
        <f t="shared" si="57"/>
        <v>435</v>
      </c>
      <c r="N638" s="24">
        <f t="shared" si="58"/>
        <v>6.8965517241379309E-2</v>
      </c>
      <c r="O638" s="24">
        <v>6.8965517241379296E-2</v>
      </c>
      <c r="P638" s="24">
        <f t="shared" si="59"/>
        <v>1.3877787807814457E-17</v>
      </c>
      <c r="Q638" s="22"/>
    </row>
    <row r="639" spans="1:17" ht="15" customHeight="1" x14ac:dyDescent="0.25">
      <c r="A639" s="22" t="s">
        <v>407</v>
      </c>
      <c r="B639" s="22">
        <v>6</v>
      </c>
      <c r="C639" s="22" t="s">
        <v>467</v>
      </c>
      <c r="D639" s="22">
        <v>-135</v>
      </c>
      <c r="E639" s="22" t="s">
        <v>378</v>
      </c>
      <c r="F639" s="22" t="s">
        <v>183</v>
      </c>
      <c r="G639" s="23">
        <v>38098</v>
      </c>
      <c r="H639" s="22">
        <v>23</v>
      </c>
      <c r="I639" s="22">
        <v>5</v>
      </c>
      <c r="J639" s="22">
        <f t="shared" si="54"/>
        <v>58</v>
      </c>
      <c r="K639" s="22">
        <f t="shared" si="55"/>
        <v>10</v>
      </c>
      <c r="L639" s="22">
        <f t="shared" si="56"/>
        <v>48</v>
      </c>
      <c r="M639" s="22">
        <f t="shared" si="57"/>
        <v>435</v>
      </c>
      <c r="N639" s="24">
        <f t="shared" si="58"/>
        <v>0.1103448275862069</v>
      </c>
      <c r="O639" s="24">
        <v>0.11034482758620701</v>
      </c>
      <c r="P639" s="24">
        <f t="shared" si="59"/>
        <v>-1.1102230246251565E-16</v>
      </c>
      <c r="Q639" s="22"/>
    </row>
    <row r="640" spans="1:17" ht="15" customHeight="1" x14ac:dyDescent="0.25">
      <c r="A640" s="22" t="s">
        <v>407</v>
      </c>
      <c r="B640" s="22">
        <v>7</v>
      </c>
      <c r="C640" s="22" t="s">
        <v>212</v>
      </c>
      <c r="D640" s="22">
        <v>-120</v>
      </c>
      <c r="E640" s="22" t="s">
        <v>378</v>
      </c>
      <c r="F640" s="22" t="s">
        <v>183</v>
      </c>
      <c r="G640" s="23">
        <v>38098</v>
      </c>
      <c r="H640" s="22">
        <v>54</v>
      </c>
      <c r="I640" s="22">
        <v>2</v>
      </c>
      <c r="J640" s="22">
        <f t="shared" si="54"/>
        <v>112</v>
      </c>
      <c r="K640" s="22">
        <f t="shared" si="55"/>
        <v>12</v>
      </c>
      <c r="L640" s="22">
        <f t="shared" si="56"/>
        <v>100</v>
      </c>
      <c r="M640" s="22">
        <f t="shared" si="57"/>
        <v>435</v>
      </c>
      <c r="N640" s="24">
        <f t="shared" si="58"/>
        <v>0.22988505747126436</v>
      </c>
      <c r="O640" s="24">
        <v>0.229885057471264</v>
      </c>
      <c r="P640" s="24">
        <f t="shared" si="59"/>
        <v>3.6082248300317588E-16</v>
      </c>
      <c r="Q640" s="22"/>
    </row>
    <row r="641" spans="1:17" ht="15" customHeight="1" x14ac:dyDescent="0.25">
      <c r="A641" s="22" t="s">
        <v>407</v>
      </c>
      <c r="B641" s="22">
        <v>8</v>
      </c>
      <c r="C641" s="22" t="s">
        <v>226</v>
      </c>
      <c r="D641" s="22">
        <v>-105</v>
      </c>
      <c r="E641" s="22" t="s">
        <v>378</v>
      </c>
      <c r="F641" s="22" t="s">
        <v>183</v>
      </c>
      <c r="G641" s="23">
        <v>38098</v>
      </c>
      <c r="H641" s="22">
        <v>69</v>
      </c>
      <c r="I641" s="22">
        <v>4</v>
      </c>
      <c r="J641" s="22">
        <f t="shared" si="54"/>
        <v>181</v>
      </c>
      <c r="K641" s="22">
        <f t="shared" si="55"/>
        <v>16</v>
      </c>
      <c r="L641" s="22">
        <f t="shared" si="56"/>
        <v>165</v>
      </c>
      <c r="M641" s="22">
        <f t="shared" si="57"/>
        <v>435</v>
      </c>
      <c r="N641" s="24">
        <f t="shared" si="58"/>
        <v>0.37931034482758619</v>
      </c>
      <c r="O641" s="24">
        <v>0.37931034482758602</v>
      </c>
      <c r="P641" s="24">
        <f t="shared" si="59"/>
        <v>1.6653345369377348E-16</v>
      </c>
      <c r="Q641" s="22"/>
    </row>
    <row r="642" spans="1:17" ht="15" customHeight="1" x14ac:dyDescent="0.25">
      <c r="A642" s="22" t="s">
        <v>407</v>
      </c>
      <c r="B642" s="22">
        <v>9</v>
      </c>
      <c r="C642" s="22" t="s">
        <v>264</v>
      </c>
      <c r="D642" s="22">
        <v>-90</v>
      </c>
      <c r="E642" s="22" t="s">
        <v>378</v>
      </c>
      <c r="F642" s="22" t="s">
        <v>183</v>
      </c>
      <c r="G642" s="23">
        <v>38098</v>
      </c>
      <c r="H642" s="22">
        <v>53</v>
      </c>
      <c r="I642" s="22">
        <v>6</v>
      </c>
      <c r="J642" s="22">
        <f t="shared" ref="J642:J705" si="60">SUMIFS($H$2:$H$1200,$A$2:$A$1200,$A642,$B$2:$B$1200,"&lt;="&amp;$B642)</f>
        <v>234</v>
      </c>
      <c r="K642" s="22">
        <f t="shared" ref="K642:K705" si="61">SUMIFS($I$2:$I$1200,$A$2:$A$1200,$A642,$B$2:$B$1200,"&lt;="&amp;$B642)</f>
        <v>22</v>
      </c>
      <c r="L642" s="22">
        <f t="shared" ref="L642:L705" si="62">J642-K642</f>
        <v>212</v>
      </c>
      <c r="M642" s="22">
        <f t="shared" ref="M642:M705" si="63">SUMIF($A$2:$A$1200,$A642,$H$2:$H$1200)</f>
        <v>435</v>
      </c>
      <c r="N642" s="24">
        <f t="shared" ref="N642:N705" si="64">IF(M642=0,"",L642/M642)</f>
        <v>0.48735632183908045</v>
      </c>
      <c r="O642" s="24">
        <v>0.48735632183908101</v>
      </c>
      <c r="P642" s="24">
        <f t="shared" ref="P642:P705" si="65">IF(OR(N642="",O642=""),"",N642-O642)</f>
        <v>-5.5511151231257827E-16</v>
      </c>
      <c r="Q642" s="22"/>
    </row>
    <row r="643" spans="1:17" ht="15" customHeight="1" x14ac:dyDescent="0.25">
      <c r="A643" s="22" t="s">
        <v>407</v>
      </c>
      <c r="B643" s="22">
        <v>10</v>
      </c>
      <c r="C643" s="22" t="s">
        <v>191</v>
      </c>
      <c r="D643" s="22">
        <v>-75</v>
      </c>
      <c r="E643" s="22" t="s">
        <v>378</v>
      </c>
      <c r="F643" s="22" t="s">
        <v>183</v>
      </c>
      <c r="G643" s="23">
        <v>38098</v>
      </c>
      <c r="H643" s="22">
        <v>61</v>
      </c>
      <c r="I643" s="22">
        <v>18</v>
      </c>
      <c r="J643" s="22">
        <f t="shared" si="60"/>
        <v>295</v>
      </c>
      <c r="K643" s="22">
        <f t="shared" si="61"/>
        <v>40</v>
      </c>
      <c r="L643" s="22">
        <f t="shared" si="62"/>
        <v>255</v>
      </c>
      <c r="M643" s="22">
        <f t="shared" si="63"/>
        <v>435</v>
      </c>
      <c r="N643" s="24">
        <f t="shared" si="64"/>
        <v>0.58620689655172409</v>
      </c>
      <c r="O643" s="24">
        <v>0.58620689655172398</v>
      </c>
      <c r="P643" s="24">
        <f t="shared" si="65"/>
        <v>1.1102230246251565E-16</v>
      </c>
      <c r="Q643" s="22"/>
    </row>
    <row r="644" spans="1:17" ht="15" customHeight="1" x14ac:dyDescent="0.25">
      <c r="A644" s="22" t="s">
        <v>407</v>
      </c>
      <c r="B644" s="22">
        <v>11</v>
      </c>
      <c r="C644" s="22" t="s">
        <v>231</v>
      </c>
      <c r="D644" s="22">
        <v>-60</v>
      </c>
      <c r="E644" s="22" t="s">
        <v>378</v>
      </c>
      <c r="F644" s="22" t="s">
        <v>183</v>
      </c>
      <c r="G644" s="23">
        <v>38098</v>
      </c>
      <c r="H644" s="22">
        <v>27</v>
      </c>
      <c r="I644" s="22">
        <v>12</v>
      </c>
      <c r="J644" s="22">
        <f t="shared" si="60"/>
        <v>322</v>
      </c>
      <c r="K644" s="22">
        <f t="shared" si="61"/>
        <v>52</v>
      </c>
      <c r="L644" s="22">
        <f t="shared" si="62"/>
        <v>270</v>
      </c>
      <c r="M644" s="22">
        <f t="shared" si="63"/>
        <v>435</v>
      </c>
      <c r="N644" s="24">
        <f t="shared" si="64"/>
        <v>0.62068965517241381</v>
      </c>
      <c r="O644" s="24">
        <v>0.62068965517241403</v>
      </c>
      <c r="P644" s="24">
        <f t="shared" si="65"/>
        <v>-2.2204460492503131E-16</v>
      </c>
      <c r="Q644" s="22"/>
    </row>
    <row r="645" spans="1:17" ht="15" customHeight="1" x14ac:dyDescent="0.25">
      <c r="A645" s="22" t="s">
        <v>407</v>
      </c>
      <c r="B645" s="22">
        <v>12</v>
      </c>
      <c r="C645" s="22" t="s">
        <v>239</v>
      </c>
      <c r="D645" s="22">
        <v>-45</v>
      </c>
      <c r="E645" s="22" t="s">
        <v>378</v>
      </c>
      <c r="F645" s="22" t="s">
        <v>183</v>
      </c>
      <c r="G645" s="23">
        <v>38098</v>
      </c>
      <c r="H645" s="22">
        <v>27</v>
      </c>
      <c r="I645" s="22">
        <v>26</v>
      </c>
      <c r="J645" s="22">
        <f t="shared" si="60"/>
        <v>349</v>
      </c>
      <c r="K645" s="22">
        <f t="shared" si="61"/>
        <v>78</v>
      </c>
      <c r="L645" s="22">
        <f t="shared" si="62"/>
        <v>271</v>
      </c>
      <c r="M645" s="22">
        <f t="shared" si="63"/>
        <v>435</v>
      </c>
      <c r="N645" s="24">
        <f t="shared" si="64"/>
        <v>0.62298850574712639</v>
      </c>
      <c r="O645" s="24">
        <v>0.62298850574712605</v>
      </c>
      <c r="P645" s="24">
        <f t="shared" si="65"/>
        <v>3.3306690738754696E-16</v>
      </c>
      <c r="Q645" s="22"/>
    </row>
    <row r="646" spans="1:17" ht="15" customHeight="1" x14ac:dyDescent="0.25">
      <c r="A646" s="22" t="s">
        <v>407</v>
      </c>
      <c r="B646" s="22">
        <v>13</v>
      </c>
      <c r="C646" s="22" t="s">
        <v>387</v>
      </c>
      <c r="D646" s="22">
        <v>-30</v>
      </c>
      <c r="E646" s="22" t="s">
        <v>378</v>
      </c>
      <c r="F646" s="22" t="s">
        <v>183</v>
      </c>
      <c r="G646" s="23">
        <v>38098</v>
      </c>
      <c r="H646" s="22">
        <v>21</v>
      </c>
      <c r="I646" s="22">
        <v>23</v>
      </c>
      <c r="J646" s="22">
        <f t="shared" si="60"/>
        <v>370</v>
      </c>
      <c r="K646" s="22">
        <f t="shared" si="61"/>
        <v>101</v>
      </c>
      <c r="L646" s="22">
        <f t="shared" si="62"/>
        <v>269</v>
      </c>
      <c r="M646" s="22">
        <f t="shared" si="63"/>
        <v>435</v>
      </c>
      <c r="N646" s="24">
        <f t="shared" si="64"/>
        <v>0.61839080459770113</v>
      </c>
      <c r="O646" s="24">
        <v>0.61839080459770102</v>
      </c>
      <c r="P646" s="24">
        <f t="shared" si="65"/>
        <v>1.1102230246251565E-16</v>
      </c>
      <c r="Q646" s="22"/>
    </row>
    <row r="647" spans="1:17" ht="15" customHeight="1" x14ac:dyDescent="0.25">
      <c r="A647" s="22" t="s">
        <v>407</v>
      </c>
      <c r="B647" s="22">
        <v>14</v>
      </c>
      <c r="C647" s="22" t="s">
        <v>468</v>
      </c>
      <c r="D647" s="22">
        <v>-15</v>
      </c>
      <c r="E647" s="22" t="s">
        <v>378</v>
      </c>
      <c r="F647" s="22" t="s">
        <v>183</v>
      </c>
      <c r="G647" s="23">
        <v>38098</v>
      </c>
      <c r="H647" s="22">
        <v>14</v>
      </c>
      <c r="I647" s="22">
        <v>38</v>
      </c>
      <c r="J647" s="22">
        <f t="shared" si="60"/>
        <v>384</v>
      </c>
      <c r="K647" s="22">
        <f t="shared" si="61"/>
        <v>139</v>
      </c>
      <c r="L647" s="22">
        <f t="shared" si="62"/>
        <v>245</v>
      </c>
      <c r="M647" s="22">
        <f t="shared" si="63"/>
        <v>435</v>
      </c>
      <c r="N647" s="24">
        <f t="shared" si="64"/>
        <v>0.56321839080459768</v>
      </c>
      <c r="O647" s="24">
        <v>0.56321839080459801</v>
      </c>
      <c r="P647" s="24">
        <f t="shared" si="65"/>
        <v>-3.3306690738754696E-16</v>
      </c>
      <c r="Q647" s="22"/>
    </row>
    <row r="648" spans="1:17" ht="15" customHeight="1" x14ac:dyDescent="0.25">
      <c r="A648" s="22" t="s">
        <v>407</v>
      </c>
      <c r="B648" s="22">
        <v>15</v>
      </c>
      <c r="C648" s="22" t="s">
        <v>469</v>
      </c>
      <c r="D648" s="22">
        <v>0</v>
      </c>
      <c r="E648" s="22" t="s">
        <v>378</v>
      </c>
      <c r="F648" s="22" t="s">
        <v>183</v>
      </c>
      <c r="G648" s="23">
        <v>38098</v>
      </c>
      <c r="H648" s="22">
        <v>7</v>
      </c>
      <c r="I648" s="22">
        <v>47</v>
      </c>
      <c r="J648" s="22">
        <f t="shared" si="60"/>
        <v>391</v>
      </c>
      <c r="K648" s="22">
        <f t="shared" si="61"/>
        <v>186</v>
      </c>
      <c r="L648" s="22">
        <f t="shared" si="62"/>
        <v>205</v>
      </c>
      <c r="M648" s="22">
        <f t="shared" si="63"/>
        <v>435</v>
      </c>
      <c r="N648" s="24">
        <f t="shared" si="64"/>
        <v>0.47126436781609193</v>
      </c>
      <c r="O648" s="24">
        <v>0.47126436781609199</v>
      </c>
      <c r="P648" s="24">
        <f t="shared" si="65"/>
        <v>-5.5511151231257827E-17</v>
      </c>
      <c r="Q648" s="22"/>
    </row>
    <row r="649" spans="1:17" ht="15" customHeight="1" x14ac:dyDescent="0.25">
      <c r="A649" s="22" t="s">
        <v>407</v>
      </c>
      <c r="B649" s="22">
        <v>16</v>
      </c>
      <c r="C649" s="22" t="s">
        <v>351</v>
      </c>
      <c r="D649" s="22">
        <v>15</v>
      </c>
      <c r="E649" s="22" t="s">
        <v>378</v>
      </c>
      <c r="F649" s="22" t="s">
        <v>183</v>
      </c>
      <c r="G649" s="23">
        <v>38098</v>
      </c>
      <c r="H649" s="22">
        <v>11</v>
      </c>
      <c r="I649" s="22">
        <v>46</v>
      </c>
      <c r="J649" s="22">
        <f t="shared" si="60"/>
        <v>402</v>
      </c>
      <c r="K649" s="22">
        <f t="shared" si="61"/>
        <v>232</v>
      </c>
      <c r="L649" s="22">
        <f t="shared" si="62"/>
        <v>170</v>
      </c>
      <c r="M649" s="22">
        <f t="shared" si="63"/>
        <v>435</v>
      </c>
      <c r="N649" s="24">
        <f t="shared" si="64"/>
        <v>0.39080459770114945</v>
      </c>
      <c r="O649" s="24">
        <v>0.390804597701149</v>
      </c>
      <c r="P649" s="24">
        <f t="shared" si="65"/>
        <v>4.4408920985006262E-16</v>
      </c>
      <c r="Q649" s="22"/>
    </row>
    <row r="650" spans="1:17" ht="15" customHeight="1" x14ac:dyDescent="0.25">
      <c r="A650" s="22" t="s">
        <v>407</v>
      </c>
      <c r="B650" s="22">
        <v>17</v>
      </c>
      <c r="C650" s="22" t="s">
        <v>311</v>
      </c>
      <c r="D650" s="22">
        <v>30</v>
      </c>
      <c r="E650" s="22" t="s">
        <v>378</v>
      </c>
      <c r="F650" s="22" t="s">
        <v>183</v>
      </c>
      <c r="G650" s="23">
        <v>38098</v>
      </c>
      <c r="H650" s="22">
        <v>6</v>
      </c>
      <c r="I650" s="22">
        <v>39</v>
      </c>
      <c r="J650" s="22">
        <f t="shared" si="60"/>
        <v>408</v>
      </c>
      <c r="K650" s="22">
        <f t="shared" si="61"/>
        <v>271</v>
      </c>
      <c r="L650" s="22">
        <f t="shared" si="62"/>
        <v>137</v>
      </c>
      <c r="M650" s="22">
        <f t="shared" si="63"/>
        <v>435</v>
      </c>
      <c r="N650" s="24">
        <f t="shared" si="64"/>
        <v>0.31494252873563217</v>
      </c>
      <c r="O650" s="24">
        <v>0.314942528735632</v>
      </c>
      <c r="P650" s="24">
        <f t="shared" si="65"/>
        <v>1.6653345369377348E-16</v>
      </c>
      <c r="Q650" s="22"/>
    </row>
    <row r="651" spans="1:17" ht="15" customHeight="1" x14ac:dyDescent="0.25">
      <c r="A651" s="22" t="s">
        <v>407</v>
      </c>
      <c r="B651" s="22">
        <v>18</v>
      </c>
      <c r="C651" s="22" t="s">
        <v>211</v>
      </c>
      <c r="D651" s="22">
        <v>45</v>
      </c>
      <c r="E651" s="22" t="s">
        <v>378</v>
      </c>
      <c r="F651" s="22" t="s">
        <v>183</v>
      </c>
      <c r="G651" s="23">
        <v>38098</v>
      </c>
      <c r="H651" s="22">
        <v>9</v>
      </c>
      <c r="I651" s="22">
        <v>40</v>
      </c>
      <c r="J651" s="22">
        <f t="shared" si="60"/>
        <v>417</v>
      </c>
      <c r="K651" s="22">
        <f t="shared" si="61"/>
        <v>311</v>
      </c>
      <c r="L651" s="22">
        <f t="shared" si="62"/>
        <v>106</v>
      </c>
      <c r="M651" s="22">
        <f t="shared" si="63"/>
        <v>435</v>
      </c>
      <c r="N651" s="24">
        <f t="shared" si="64"/>
        <v>0.24367816091954023</v>
      </c>
      <c r="O651" s="24">
        <v>0.24367816091954</v>
      </c>
      <c r="P651" s="24">
        <f t="shared" si="65"/>
        <v>2.2204460492503131E-16</v>
      </c>
      <c r="Q651" s="22"/>
    </row>
    <row r="652" spans="1:17" ht="15" customHeight="1" x14ac:dyDescent="0.25">
      <c r="A652" s="22" t="s">
        <v>407</v>
      </c>
      <c r="B652" s="22">
        <v>19</v>
      </c>
      <c r="C652" s="22" t="s">
        <v>190</v>
      </c>
      <c r="D652" s="22">
        <v>60</v>
      </c>
      <c r="E652" s="22" t="s">
        <v>378</v>
      </c>
      <c r="F652" s="22" t="s">
        <v>183</v>
      </c>
      <c r="G652" s="23">
        <v>38098</v>
      </c>
      <c r="H652" s="22">
        <v>3</v>
      </c>
      <c r="I652" s="22">
        <v>32</v>
      </c>
      <c r="J652" s="22">
        <f t="shared" si="60"/>
        <v>420</v>
      </c>
      <c r="K652" s="22">
        <f t="shared" si="61"/>
        <v>343</v>
      </c>
      <c r="L652" s="22">
        <f t="shared" si="62"/>
        <v>77</v>
      </c>
      <c r="M652" s="22">
        <f t="shared" si="63"/>
        <v>435</v>
      </c>
      <c r="N652" s="24">
        <f t="shared" si="64"/>
        <v>0.17701149425287357</v>
      </c>
      <c r="O652" s="24">
        <v>0.17701149425287399</v>
      </c>
      <c r="P652" s="24">
        <f t="shared" si="65"/>
        <v>-4.163336342344337E-16</v>
      </c>
      <c r="Q652" s="22"/>
    </row>
    <row r="653" spans="1:17" ht="15" customHeight="1" x14ac:dyDescent="0.25">
      <c r="A653" s="22" t="s">
        <v>407</v>
      </c>
      <c r="B653" s="22">
        <v>20</v>
      </c>
      <c r="C653" s="22" t="s">
        <v>472</v>
      </c>
      <c r="D653" s="22">
        <v>75</v>
      </c>
      <c r="E653" s="22" t="s">
        <v>378</v>
      </c>
      <c r="F653" s="22" t="s">
        <v>183</v>
      </c>
      <c r="G653" s="23">
        <v>38098</v>
      </c>
      <c r="H653" s="22">
        <v>5</v>
      </c>
      <c r="I653" s="22">
        <v>23</v>
      </c>
      <c r="J653" s="22">
        <f t="shared" si="60"/>
        <v>425</v>
      </c>
      <c r="K653" s="22">
        <f t="shared" si="61"/>
        <v>366</v>
      </c>
      <c r="L653" s="22">
        <f t="shared" si="62"/>
        <v>59</v>
      </c>
      <c r="M653" s="22">
        <f t="shared" si="63"/>
        <v>435</v>
      </c>
      <c r="N653" s="24">
        <f t="shared" si="64"/>
        <v>0.13563218390804599</v>
      </c>
      <c r="O653" s="24">
        <v>0.13563218390804599</v>
      </c>
      <c r="P653" s="24">
        <f t="shared" si="65"/>
        <v>0</v>
      </c>
      <c r="Q653" s="22"/>
    </row>
    <row r="654" spans="1:17" ht="15" customHeight="1" x14ac:dyDescent="0.25">
      <c r="A654" s="22" t="s">
        <v>407</v>
      </c>
      <c r="B654" s="22">
        <v>21</v>
      </c>
      <c r="C654" s="22" t="s">
        <v>250</v>
      </c>
      <c r="D654" s="22">
        <v>90</v>
      </c>
      <c r="E654" s="22" t="s">
        <v>378</v>
      </c>
      <c r="F654" s="22" t="s">
        <v>183</v>
      </c>
      <c r="G654" s="23">
        <v>38098</v>
      </c>
      <c r="H654" s="22">
        <v>6</v>
      </c>
      <c r="I654" s="22">
        <v>31</v>
      </c>
      <c r="J654" s="22">
        <f t="shared" si="60"/>
        <v>431</v>
      </c>
      <c r="K654" s="22">
        <f t="shared" si="61"/>
        <v>397</v>
      </c>
      <c r="L654" s="22">
        <f t="shared" si="62"/>
        <v>34</v>
      </c>
      <c r="M654" s="22">
        <f t="shared" si="63"/>
        <v>435</v>
      </c>
      <c r="N654" s="24">
        <f t="shared" si="64"/>
        <v>7.8160919540229884E-2</v>
      </c>
      <c r="O654" s="24">
        <v>7.8160919540229898E-2</v>
      </c>
      <c r="P654" s="24">
        <f t="shared" si="65"/>
        <v>-1.3877787807814457E-17</v>
      </c>
      <c r="Q654" s="22"/>
    </row>
    <row r="655" spans="1:17" ht="15" customHeight="1" x14ac:dyDescent="0.25">
      <c r="A655" s="22" t="s">
        <v>407</v>
      </c>
      <c r="B655" s="22">
        <v>22</v>
      </c>
      <c r="C655" s="22" t="s">
        <v>403</v>
      </c>
      <c r="D655" s="22">
        <v>105</v>
      </c>
      <c r="E655" s="22" t="s">
        <v>378</v>
      </c>
      <c r="F655" s="22" t="s">
        <v>183</v>
      </c>
      <c r="G655" s="23">
        <v>38098</v>
      </c>
      <c r="H655" s="22">
        <v>4</v>
      </c>
      <c r="I655" s="22">
        <v>16</v>
      </c>
      <c r="J655" s="22">
        <f t="shared" si="60"/>
        <v>435</v>
      </c>
      <c r="K655" s="22">
        <f t="shared" si="61"/>
        <v>413</v>
      </c>
      <c r="L655" s="22">
        <f t="shared" si="62"/>
        <v>22</v>
      </c>
      <c r="M655" s="22">
        <f t="shared" si="63"/>
        <v>435</v>
      </c>
      <c r="N655" s="24">
        <f t="shared" si="64"/>
        <v>5.057471264367816E-2</v>
      </c>
      <c r="O655" s="24">
        <v>5.0574712643678202E-2</v>
      </c>
      <c r="P655" s="24">
        <f t="shared" si="65"/>
        <v>-4.163336342344337E-17</v>
      </c>
      <c r="Q655" s="22"/>
    </row>
    <row r="656" spans="1:17" ht="15" customHeight="1" x14ac:dyDescent="0.25">
      <c r="A656" s="22" t="s">
        <v>411</v>
      </c>
      <c r="B656" s="22">
        <v>0</v>
      </c>
      <c r="C656" s="22" t="s">
        <v>189</v>
      </c>
      <c r="D656" s="22"/>
      <c r="E656" s="22" t="s">
        <v>378</v>
      </c>
      <c r="F656" s="22" t="s">
        <v>183</v>
      </c>
      <c r="G656" s="23">
        <v>40295</v>
      </c>
      <c r="H656" s="22">
        <v>3</v>
      </c>
      <c r="I656" s="22">
        <v>0</v>
      </c>
      <c r="J656" s="22">
        <f t="shared" si="60"/>
        <v>3</v>
      </c>
      <c r="K656" s="22">
        <f t="shared" si="61"/>
        <v>0</v>
      </c>
      <c r="L656" s="22">
        <f t="shared" si="62"/>
        <v>3</v>
      </c>
      <c r="M656" s="22">
        <f t="shared" si="63"/>
        <v>232</v>
      </c>
      <c r="N656" s="24">
        <f t="shared" si="64"/>
        <v>1.2931034482758621E-2</v>
      </c>
      <c r="O656" s="24"/>
      <c r="P656" s="24" t="str">
        <f t="shared" si="65"/>
        <v/>
      </c>
      <c r="Q656" s="22"/>
    </row>
    <row r="657" spans="1:17" ht="15" customHeight="1" x14ac:dyDescent="0.25">
      <c r="A657" s="22" t="s">
        <v>411</v>
      </c>
      <c r="B657" s="22">
        <v>3</v>
      </c>
      <c r="C657" s="22" t="s">
        <v>464</v>
      </c>
      <c r="D657" s="22">
        <v>-180</v>
      </c>
      <c r="E657" s="22" t="s">
        <v>378</v>
      </c>
      <c r="F657" s="22" t="s">
        <v>183</v>
      </c>
      <c r="G657" s="23">
        <v>40295</v>
      </c>
      <c r="H657" s="22">
        <v>0</v>
      </c>
      <c r="I657" s="22">
        <v>1</v>
      </c>
      <c r="J657" s="22">
        <f t="shared" si="60"/>
        <v>3</v>
      </c>
      <c r="K657" s="22">
        <f t="shared" si="61"/>
        <v>1</v>
      </c>
      <c r="L657" s="22">
        <f t="shared" si="62"/>
        <v>2</v>
      </c>
      <c r="M657" s="22">
        <f t="shared" si="63"/>
        <v>232</v>
      </c>
      <c r="N657" s="24">
        <f t="shared" si="64"/>
        <v>8.6206896551724137E-3</v>
      </c>
      <c r="O657" s="24"/>
      <c r="P657" s="24" t="str">
        <f t="shared" si="65"/>
        <v/>
      </c>
      <c r="Q657" s="22"/>
    </row>
    <row r="658" spans="1:17" ht="15" customHeight="1" x14ac:dyDescent="0.25">
      <c r="A658" s="22" t="s">
        <v>411</v>
      </c>
      <c r="B658" s="22">
        <v>4</v>
      </c>
      <c r="C658" s="22" t="s">
        <v>465</v>
      </c>
      <c r="D658" s="22">
        <v>-165</v>
      </c>
      <c r="E658" s="22" t="s">
        <v>378</v>
      </c>
      <c r="F658" s="22" t="s">
        <v>183</v>
      </c>
      <c r="G658" s="23">
        <v>40295</v>
      </c>
      <c r="H658" s="22">
        <v>0</v>
      </c>
      <c r="I658" s="22">
        <v>0</v>
      </c>
      <c r="J658" s="22">
        <f t="shared" si="60"/>
        <v>3</v>
      </c>
      <c r="K658" s="22">
        <f t="shared" si="61"/>
        <v>1</v>
      </c>
      <c r="L658" s="22">
        <f t="shared" si="62"/>
        <v>2</v>
      </c>
      <c r="M658" s="22">
        <f t="shared" si="63"/>
        <v>232</v>
      </c>
      <c r="N658" s="24">
        <f t="shared" si="64"/>
        <v>8.6206896551724137E-3</v>
      </c>
      <c r="O658" s="24"/>
      <c r="P658" s="24" t="str">
        <f t="shared" si="65"/>
        <v/>
      </c>
      <c r="Q658" s="22"/>
    </row>
    <row r="659" spans="1:17" ht="15" customHeight="1" x14ac:dyDescent="0.25">
      <c r="A659" s="22" t="s">
        <v>411</v>
      </c>
      <c r="B659" s="22">
        <v>5</v>
      </c>
      <c r="C659" s="22" t="s">
        <v>466</v>
      </c>
      <c r="D659" s="22">
        <v>-150</v>
      </c>
      <c r="E659" s="22" t="s">
        <v>378</v>
      </c>
      <c r="F659" s="22" t="s">
        <v>183</v>
      </c>
      <c r="G659" s="23">
        <v>40295</v>
      </c>
      <c r="H659" s="22">
        <v>2</v>
      </c>
      <c r="I659" s="22">
        <v>0</v>
      </c>
      <c r="J659" s="22">
        <f t="shared" si="60"/>
        <v>5</v>
      </c>
      <c r="K659" s="22">
        <f t="shared" si="61"/>
        <v>1</v>
      </c>
      <c r="L659" s="22">
        <f t="shared" si="62"/>
        <v>4</v>
      </c>
      <c r="M659" s="22">
        <f t="shared" si="63"/>
        <v>232</v>
      </c>
      <c r="N659" s="24">
        <f t="shared" si="64"/>
        <v>1.7241379310344827E-2</v>
      </c>
      <c r="O659" s="24"/>
      <c r="P659" s="24" t="str">
        <f t="shared" si="65"/>
        <v/>
      </c>
      <c r="Q659" s="22"/>
    </row>
    <row r="660" spans="1:17" ht="15" customHeight="1" x14ac:dyDescent="0.25">
      <c r="A660" s="22" t="s">
        <v>411</v>
      </c>
      <c r="B660" s="22">
        <v>6</v>
      </c>
      <c r="C660" s="22" t="s">
        <v>467</v>
      </c>
      <c r="D660" s="22">
        <v>-135</v>
      </c>
      <c r="E660" s="22" t="s">
        <v>378</v>
      </c>
      <c r="F660" s="22" t="s">
        <v>183</v>
      </c>
      <c r="G660" s="23">
        <v>40295</v>
      </c>
      <c r="H660" s="22">
        <v>4</v>
      </c>
      <c r="I660" s="22">
        <v>0</v>
      </c>
      <c r="J660" s="22">
        <f t="shared" si="60"/>
        <v>9</v>
      </c>
      <c r="K660" s="22">
        <f t="shared" si="61"/>
        <v>1</v>
      </c>
      <c r="L660" s="22">
        <f t="shared" si="62"/>
        <v>8</v>
      </c>
      <c r="M660" s="22">
        <f t="shared" si="63"/>
        <v>232</v>
      </c>
      <c r="N660" s="24">
        <f t="shared" si="64"/>
        <v>3.4482758620689655E-2</v>
      </c>
      <c r="O660" s="24"/>
      <c r="P660" s="24" t="str">
        <f t="shared" si="65"/>
        <v/>
      </c>
      <c r="Q660" s="22"/>
    </row>
    <row r="661" spans="1:17" ht="15" customHeight="1" x14ac:dyDescent="0.25">
      <c r="A661" s="22" t="s">
        <v>411</v>
      </c>
      <c r="B661" s="22">
        <v>7</v>
      </c>
      <c r="C661" s="22" t="s">
        <v>212</v>
      </c>
      <c r="D661" s="22">
        <v>-120</v>
      </c>
      <c r="E661" s="22" t="s">
        <v>378</v>
      </c>
      <c r="F661" s="22" t="s">
        <v>183</v>
      </c>
      <c r="G661" s="23">
        <v>40295</v>
      </c>
      <c r="H661" s="22">
        <v>8</v>
      </c>
      <c r="I661" s="22">
        <v>1</v>
      </c>
      <c r="J661" s="22">
        <f t="shared" si="60"/>
        <v>17</v>
      </c>
      <c r="K661" s="22">
        <f t="shared" si="61"/>
        <v>2</v>
      </c>
      <c r="L661" s="22">
        <f t="shared" si="62"/>
        <v>15</v>
      </c>
      <c r="M661" s="22">
        <f t="shared" si="63"/>
        <v>232</v>
      </c>
      <c r="N661" s="24">
        <f t="shared" si="64"/>
        <v>6.4655172413793108E-2</v>
      </c>
      <c r="O661" s="24"/>
      <c r="P661" s="24" t="str">
        <f t="shared" si="65"/>
        <v/>
      </c>
      <c r="Q661" s="22"/>
    </row>
    <row r="662" spans="1:17" ht="15" customHeight="1" x14ac:dyDescent="0.25">
      <c r="A662" s="22" t="s">
        <v>411</v>
      </c>
      <c r="B662" s="22">
        <v>8</v>
      </c>
      <c r="C662" s="22" t="s">
        <v>226</v>
      </c>
      <c r="D662" s="22">
        <v>-105</v>
      </c>
      <c r="E662" s="22" t="s">
        <v>378</v>
      </c>
      <c r="F662" s="22" t="s">
        <v>183</v>
      </c>
      <c r="G662" s="23">
        <v>40295</v>
      </c>
      <c r="H662" s="22">
        <v>10</v>
      </c>
      <c r="I662" s="22">
        <v>0</v>
      </c>
      <c r="J662" s="22">
        <f t="shared" si="60"/>
        <v>27</v>
      </c>
      <c r="K662" s="22">
        <f t="shared" si="61"/>
        <v>2</v>
      </c>
      <c r="L662" s="22">
        <f t="shared" si="62"/>
        <v>25</v>
      </c>
      <c r="M662" s="22">
        <f t="shared" si="63"/>
        <v>232</v>
      </c>
      <c r="N662" s="24">
        <f t="shared" si="64"/>
        <v>0.10775862068965517</v>
      </c>
      <c r="O662" s="24"/>
      <c r="P662" s="24" t="str">
        <f t="shared" si="65"/>
        <v/>
      </c>
      <c r="Q662" s="22"/>
    </row>
    <row r="663" spans="1:17" ht="15" customHeight="1" x14ac:dyDescent="0.25">
      <c r="A663" s="22" t="s">
        <v>411</v>
      </c>
      <c r="B663" s="22">
        <v>9</v>
      </c>
      <c r="C663" s="22" t="s">
        <v>264</v>
      </c>
      <c r="D663" s="22">
        <v>-90</v>
      </c>
      <c r="E663" s="22" t="s">
        <v>378</v>
      </c>
      <c r="F663" s="22" t="s">
        <v>183</v>
      </c>
      <c r="G663" s="23">
        <v>40295</v>
      </c>
      <c r="H663" s="22">
        <v>27</v>
      </c>
      <c r="I663" s="22">
        <v>0</v>
      </c>
      <c r="J663" s="22">
        <f t="shared" si="60"/>
        <v>54</v>
      </c>
      <c r="K663" s="22">
        <f t="shared" si="61"/>
        <v>2</v>
      </c>
      <c r="L663" s="22">
        <f t="shared" si="62"/>
        <v>52</v>
      </c>
      <c r="M663" s="22">
        <f t="shared" si="63"/>
        <v>232</v>
      </c>
      <c r="N663" s="24">
        <f t="shared" si="64"/>
        <v>0.22413793103448276</v>
      </c>
      <c r="O663" s="24"/>
      <c r="P663" s="24" t="str">
        <f t="shared" si="65"/>
        <v/>
      </c>
      <c r="Q663" s="22"/>
    </row>
    <row r="664" spans="1:17" ht="15" customHeight="1" x14ac:dyDescent="0.25">
      <c r="A664" s="22" t="s">
        <v>411</v>
      </c>
      <c r="B664" s="22">
        <v>10</v>
      </c>
      <c r="C664" s="22" t="s">
        <v>191</v>
      </c>
      <c r="D664" s="22">
        <v>-75</v>
      </c>
      <c r="E664" s="22" t="s">
        <v>378</v>
      </c>
      <c r="F664" s="22" t="s">
        <v>183</v>
      </c>
      <c r="G664" s="23">
        <v>40295</v>
      </c>
      <c r="H664" s="22">
        <v>31</v>
      </c>
      <c r="I664" s="22">
        <v>3</v>
      </c>
      <c r="J664" s="22">
        <f t="shared" si="60"/>
        <v>85</v>
      </c>
      <c r="K664" s="22">
        <f t="shared" si="61"/>
        <v>5</v>
      </c>
      <c r="L664" s="22">
        <f t="shared" si="62"/>
        <v>80</v>
      </c>
      <c r="M664" s="22">
        <f t="shared" si="63"/>
        <v>232</v>
      </c>
      <c r="N664" s="24">
        <f t="shared" si="64"/>
        <v>0.34482758620689657</v>
      </c>
      <c r="O664" s="24"/>
      <c r="P664" s="24" t="str">
        <f t="shared" si="65"/>
        <v/>
      </c>
      <c r="Q664" s="22"/>
    </row>
    <row r="665" spans="1:17" ht="15" customHeight="1" x14ac:dyDescent="0.25">
      <c r="A665" s="22" t="s">
        <v>411</v>
      </c>
      <c r="B665" s="22">
        <v>11</v>
      </c>
      <c r="C665" s="22" t="s">
        <v>231</v>
      </c>
      <c r="D665" s="22">
        <v>-60</v>
      </c>
      <c r="E665" s="22" t="s">
        <v>378</v>
      </c>
      <c r="F665" s="22" t="s">
        <v>183</v>
      </c>
      <c r="G665" s="23">
        <v>40295</v>
      </c>
      <c r="H665" s="22">
        <v>35</v>
      </c>
      <c r="I665" s="22">
        <v>9</v>
      </c>
      <c r="J665" s="22">
        <f t="shared" si="60"/>
        <v>120</v>
      </c>
      <c r="K665" s="22">
        <f t="shared" si="61"/>
        <v>14</v>
      </c>
      <c r="L665" s="22">
        <f t="shared" si="62"/>
        <v>106</v>
      </c>
      <c r="M665" s="22">
        <f t="shared" si="63"/>
        <v>232</v>
      </c>
      <c r="N665" s="24">
        <f t="shared" si="64"/>
        <v>0.45689655172413796</v>
      </c>
      <c r="O665" s="24"/>
      <c r="P665" s="24" t="str">
        <f t="shared" si="65"/>
        <v/>
      </c>
      <c r="Q665" s="22"/>
    </row>
    <row r="666" spans="1:17" ht="15" customHeight="1" x14ac:dyDescent="0.25">
      <c r="A666" s="22" t="s">
        <v>411</v>
      </c>
      <c r="B666" s="22">
        <v>12</v>
      </c>
      <c r="C666" s="22" t="s">
        <v>239</v>
      </c>
      <c r="D666" s="22">
        <v>-45</v>
      </c>
      <c r="E666" s="22" t="s">
        <v>378</v>
      </c>
      <c r="F666" s="22" t="s">
        <v>183</v>
      </c>
      <c r="G666" s="23">
        <v>40295</v>
      </c>
      <c r="H666" s="22">
        <v>30</v>
      </c>
      <c r="I666" s="22">
        <v>23</v>
      </c>
      <c r="J666" s="22">
        <f t="shared" si="60"/>
        <v>150</v>
      </c>
      <c r="K666" s="22">
        <f t="shared" si="61"/>
        <v>37</v>
      </c>
      <c r="L666" s="22">
        <f t="shared" si="62"/>
        <v>113</v>
      </c>
      <c r="M666" s="22">
        <f t="shared" si="63"/>
        <v>232</v>
      </c>
      <c r="N666" s="24">
        <f t="shared" si="64"/>
        <v>0.48706896551724138</v>
      </c>
      <c r="O666" s="24"/>
      <c r="P666" s="24" t="str">
        <f t="shared" si="65"/>
        <v/>
      </c>
      <c r="Q666" s="22"/>
    </row>
    <row r="667" spans="1:17" ht="15" customHeight="1" x14ac:dyDescent="0.25">
      <c r="A667" s="22" t="s">
        <v>411</v>
      </c>
      <c r="B667" s="22">
        <v>13</v>
      </c>
      <c r="C667" s="22" t="s">
        <v>387</v>
      </c>
      <c r="D667" s="22">
        <v>-30</v>
      </c>
      <c r="E667" s="22" t="s">
        <v>378</v>
      </c>
      <c r="F667" s="22" t="s">
        <v>183</v>
      </c>
      <c r="G667" s="23">
        <v>40295</v>
      </c>
      <c r="H667" s="22">
        <v>21</v>
      </c>
      <c r="I667" s="22">
        <v>29</v>
      </c>
      <c r="J667" s="22">
        <f t="shared" si="60"/>
        <v>171</v>
      </c>
      <c r="K667" s="22">
        <f t="shared" si="61"/>
        <v>66</v>
      </c>
      <c r="L667" s="22">
        <f t="shared" si="62"/>
        <v>105</v>
      </c>
      <c r="M667" s="22">
        <f t="shared" si="63"/>
        <v>232</v>
      </c>
      <c r="N667" s="24">
        <f t="shared" si="64"/>
        <v>0.45258620689655171</v>
      </c>
      <c r="O667" s="24"/>
      <c r="P667" s="24" t="str">
        <f t="shared" si="65"/>
        <v/>
      </c>
      <c r="Q667" s="22"/>
    </row>
    <row r="668" spans="1:17" ht="15" customHeight="1" x14ac:dyDescent="0.25">
      <c r="A668" s="22" t="s">
        <v>411</v>
      </c>
      <c r="B668" s="22">
        <v>14</v>
      </c>
      <c r="C668" s="22" t="s">
        <v>468</v>
      </c>
      <c r="D668" s="22">
        <v>-15</v>
      </c>
      <c r="E668" s="22" t="s">
        <v>378</v>
      </c>
      <c r="F668" s="22" t="s">
        <v>183</v>
      </c>
      <c r="G668" s="23">
        <v>40295</v>
      </c>
      <c r="H668" s="22">
        <v>21</v>
      </c>
      <c r="I668" s="22">
        <v>33</v>
      </c>
      <c r="J668" s="22">
        <f t="shared" si="60"/>
        <v>192</v>
      </c>
      <c r="K668" s="22">
        <f t="shared" si="61"/>
        <v>99</v>
      </c>
      <c r="L668" s="22">
        <f t="shared" si="62"/>
        <v>93</v>
      </c>
      <c r="M668" s="22">
        <f t="shared" si="63"/>
        <v>232</v>
      </c>
      <c r="N668" s="24">
        <f t="shared" si="64"/>
        <v>0.40086206896551724</v>
      </c>
      <c r="O668" s="24"/>
      <c r="P668" s="24" t="str">
        <f t="shared" si="65"/>
        <v/>
      </c>
      <c r="Q668" s="22"/>
    </row>
    <row r="669" spans="1:17" ht="15" customHeight="1" x14ac:dyDescent="0.25">
      <c r="A669" s="22" t="s">
        <v>411</v>
      </c>
      <c r="B669" s="22">
        <v>15</v>
      </c>
      <c r="C669" s="22" t="s">
        <v>469</v>
      </c>
      <c r="D669" s="22">
        <v>0</v>
      </c>
      <c r="E669" s="22" t="s">
        <v>378</v>
      </c>
      <c r="F669" s="22" t="s">
        <v>183</v>
      </c>
      <c r="G669" s="23">
        <v>40295</v>
      </c>
      <c r="H669" s="22">
        <v>11</v>
      </c>
      <c r="I669" s="22">
        <v>29</v>
      </c>
      <c r="J669" s="22">
        <f t="shared" si="60"/>
        <v>203</v>
      </c>
      <c r="K669" s="22">
        <f t="shared" si="61"/>
        <v>128</v>
      </c>
      <c r="L669" s="22">
        <f t="shared" si="62"/>
        <v>75</v>
      </c>
      <c r="M669" s="22">
        <f t="shared" si="63"/>
        <v>232</v>
      </c>
      <c r="N669" s="24">
        <f t="shared" si="64"/>
        <v>0.32327586206896552</v>
      </c>
      <c r="O669" s="24"/>
      <c r="P669" s="24" t="str">
        <f t="shared" si="65"/>
        <v/>
      </c>
      <c r="Q669" s="22"/>
    </row>
    <row r="670" spans="1:17" ht="15" customHeight="1" x14ac:dyDescent="0.25">
      <c r="A670" s="22" t="s">
        <v>411</v>
      </c>
      <c r="B670" s="22">
        <v>16</v>
      </c>
      <c r="C670" s="22" t="s">
        <v>351</v>
      </c>
      <c r="D670" s="22">
        <v>15</v>
      </c>
      <c r="E670" s="22" t="s">
        <v>378</v>
      </c>
      <c r="F670" s="22" t="s">
        <v>183</v>
      </c>
      <c r="G670" s="23">
        <v>40295</v>
      </c>
      <c r="H670" s="22">
        <v>7</v>
      </c>
      <c r="I670" s="22">
        <v>23</v>
      </c>
      <c r="J670" s="22">
        <f t="shared" si="60"/>
        <v>210</v>
      </c>
      <c r="K670" s="22">
        <f t="shared" si="61"/>
        <v>151</v>
      </c>
      <c r="L670" s="22">
        <f t="shared" si="62"/>
        <v>59</v>
      </c>
      <c r="M670" s="22">
        <f t="shared" si="63"/>
        <v>232</v>
      </c>
      <c r="N670" s="24">
        <f t="shared" si="64"/>
        <v>0.25431034482758619</v>
      </c>
      <c r="O670" s="24"/>
      <c r="P670" s="24" t="str">
        <f t="shared" si="65"/>
        <v/>
      </c>
      <c r="Q670" s="22"/>
    </row>
    <row r="671" spans="1:17" ht="15" customHeight="1" x14ac:dyDescent="0.25">
      <c r="A671" s="22" t="s">
        <v>411</v>
      </c>
      <c r="B671" s="22">
        <v>17</v>
      </c>
      <c r="C671" s="22" t="s">
        <v>311</v>
      </c>
      <c r="D671" s="22">
        <v>30</v>
      </c>
      <c r="E671" s="22" t="s">
        <v>378</v>
      </c>
      <c r="F671" s="22" t="s">
        <v>183</v>
      </c>
      <c r="G671" s="23">
        <v>40295</v>
      </c>
      <c r="H671" s="22">
        <v>10</v>
      </c>
      <c r="I671" s="22">
        <v>19</v>
      </c>
      <c r="J671" s="22">
        <f t="shared" si="60"/>
        <v>220</v>
      </c>
      <c r="K671" s="22">
        <f t="shared" si="61"/>
        <v>170</v>
      </c>
      <c r="L671" s="22">
        <f t="shared" si="62"/>
        <v>50</v>
      </c>
      <c r="M671" s="22">
        <f t="shared" si="63"/>
        <v>232</v>
      </c>
      <c r="N671" s="24">
        <f t="shared" si="64"/>
        <v>0.21551724137931033</v>
      </c>
      <c r="O671" s="24"/>
      <c r="P671" s="24" t="str">
        <f t="shared" si="65"/>
        <v/>
      </c>
      <c r="Q671" s="22"/>
    </row>
    <row r="672" spans="1:17" ht="15" customHeight="1" x14ac:dyDescent="0.25">
      <c r="A672" s="22" t="s">
        <v>411</v>
      </c>
      <c r="B672" s="22">
        <v>18</v>
      </c>
      <c r="C672" s="22" t="s">
        <v>211</v>
      </c>
      <c r="D672" s="22">
        <v>45</v>
      </c>
      <c r="E672" s="22" t="s">
        <v>378</v>
      </c>
      <c r="F672" s="22" t="s">
        <v>183</v>
      </c>
      <c r="G672" s="23">
        <v>40295</v>
      </c>
      <c r="H672" s="22">
        <v>12</v>
      </c>
      <c r="I672" s="22">
        <v>21</v>
      </c>
      <c r="J672" s="22">
        <f t="shared" si="60"/>
        <v>232</v>
      </c>
      <c r="K672" s="22">
        <f t="shared" si="61"/>
        <v>191</v>
      </c>
      <c r="L672" s="22">
        <f t="shared" si="62"/>
        <v>41</v>
      </c>
      <c r="M672" s="22">
        <f t="shared" si="63"/>
        <v>232</v>
      </c>
      <c r="N672" s="24">
        <f t="shared" si="64"/>
        <v>0.17672413793103448</v>
      </c>
      <c r="O672" s="24"/>
      <c r="P672" s="24" t="str">
        <f t="shared" si="65"/>
        <v/>
      </c>
      <c r="Q672" s="22"/>
    </row>
    <row r="673" spans="1:17" ht="15" customHeight="1" x14ac:dyDescent="0.25">
      <c r="A673" s="22" t="s">
        <v>416</v>
      </c>
      <c r="B673" s="22">
        <v>0</v>
      </c>
      <c r="C673" s="22" t="s">
        <v>189</v>
      </c>
      <c r="D673" s="22"/>
      <c r="E673" s="22" t="s">
        <v>378</v>
      </c>
      <c r="F673" s="22" t="s">
        <v>205</v>
      </c>
      <c r="G673" s="23">
        <v>40565</v>
      </c>
      <c r="H673" s="22">
        <v>68</v>
      </c>
      <c r="I673" s="22">
        <v>18</v>
      </c>
      <c r="J673" s="22">
        <f t="shared" si="60"/>
        <v>68</v>
      </c>
      <c r="K673" s="22">
        <f t="shared" si="61"/>
        <v>18</v>
      </c>
      <c r="L673" s="22">
        <f t="shared" si="62"/>
        <v>50</v>
      </c>
      <c r="M673" s="22">
        <f t="shared" si="63"/>
        <v>245</v>
      </c>
      <c r="N673" s="24">
        <f t="shared" si="64"/>
        <v>0.20408163265306123</v>
      </c>
      <c r="O673" s="24"/>
      <c r="P673" s="24" t="str">
        <f t="shared" si="65"/>
        <v/>
      </c>
      <c r="Q673" s="22"/>
    </row>
    <row r="674" spans="1:17" ht="15" customHeight="1" x14ac:dyDescent="0.25">
      <c r="A674" s="22" t="s">
        <v>416</v>
      </c>
      <c r="B674" s="22">
        <v>3</v>
      </c>
      <c r="C674" s="22" t="s">
        <v>464</v>
      </c>
      <c r="D674" s="22">
        <v>-180</v>
      </c>
      <c r="E674" s="22" t="s">
        <v>378</v>
      </c>
      <c r="F674" s="22" t="s">
        <v>205</v>
      </c>
      <c r="G674" s="23">
        <v>40565</v>
      </c>
      <c r="H674" s="22">
        <v>9</v>
      </c>
      <c r="I674" s="22">
        <v>3</v>
      </c>
      <c r="J674" s="22">
        <f t="shared" si="60"/>
        <v>77</v>
      </c>
      <c r="K674" s="22">
        <f t="shared" si="61"/>
        <v>21</v>
      </c>
      <c r="L674" s="22">
        <f t="shared" si="62"/>
        <v>56</v>
      </c>
      <c r="M674" s="22">
        <f t="shared" si="63"/>
        <v>245</v>
      </c>
      <c r="N674" s="24">
        <f t="shared" si="64"/>
        <v>0.22857142857142856</v>
      </c>
      <c r="O674" s="24"/>
      <c r="P674" s="24" t="str">
        <f t="shared" si="65"/>
        <v/>
      </c>
      <c r="Q674" s="22"/>
    </row>
    <row r="675" spans="1:17" ht="15" customHeight="1" x14ac:dyDescent="0.25">
      <c r="A675" s="22" t="s">
        <v>416</v>
      </c>
      <c r="B675" s="22">
        <v>4</v>
      </c>
      <c r="C675" s="22" t="s">
        <v>465</v>
      </c>
      <c r="D675" s="22">
        <v>-165</v>
      </c>
      <c r="E675" s="22" t="s">
        <v>378</v>
      </c>
      <c r="F675" s="22" t="s">
        <v>205</v>
      </c>
      <c r="G675" s="23">
        <v>40565</v>
      </c>
      <c r="H675" s="22">
        <v>16</v>
      </c>
      <c r="I675" s="22">
        <v>8</v>
      </c>
      <c r="J675" s="22">
        <f t="shared" si="60"/>
        <v>93</v>
      </c>
      <c r="K675" s="22">
        <f t="shared" si="61"/>
        <v>29</v>
      </c>
      <c r="L675" s="22">
        <f t="shared" si="62"/>
        <v>64</v>
      </c>
      <c r="M675" s="22">
        <f t="shared" si="63"/>
        <v>245</v>
      </c>
      <c r="N675" s="24">
        <f t="shared" si="64"/>
        <v>0.26122448979591839</v>
      </c>
      <c r="O675" s="24"/>
      <c r="P675" s="24" t="str">
        <f t="shared" si="65"/>
        <v/>
      </c>
      <c r="Q675" s="22"/>
    </row>
    <row r="676" spans="1:17" ht="15" customHeight="1" x14ac:dyDescent="0.25">
      <c r="A676" s="22" t="s">
        <v>416</v>
      </c>
      <c r="B676" s="22">
        <v>5</v>
      </c>
      <c r="C676" s="22" t="s">
        <v>466</v>
      </c>
      <c r="D676" s="22">
        <v>-150</v>
      </c>
      <c r="E676" s="22" t="s">
        <v>378</v>
      </c>
      <c r="F676" s="22" t="s">
        <v>205</v>
      </c>
      <c r="G676" s="23">
        <v>40565</v>
      </c>
      <c r="H676" s="22">
        <v>25</v>
      </c>
      <c r="I676" s="22">
        <v>8</v>
      </c>
      <c r="J676" s="22">
        <f t="shared" si="60"/>
        <v>118</v>
      </c>
      <c r="K676" s="22">
        <f t="shared" si="61"/>
        <v>37</v>
      </c>
      <c r="L676" s="22">
        <f t="shared" si="62"/>
        <v>81</v>
      </c>
      <c r="M676" s="22">
        <f t="shared" si="63"/>
        <v>245</v>
      </c>
      <c r="N676" s="24">
        <f t="shared" si="64"/>
        <v>0.33061224489795921</v>
      </c>
      <c r="O676" s="24"/>
      <c r="P676" s="24" t="str">
        <f t="shared" si="65"/>
        <v/>
      </c>
      <c r="Q676" s="22"/>
    </row>
    <row r="677" spans="1:17" ht="15" customHeight="1" x14ac:dyDescent="0.25">
      <c r="A677" s="22" t="s">
        <v>416</v>
      </c>
      <c r="B677" s="22">
        <v>6</v>
      </c>
      <c r="C677" s="22" t="s">
        <v>467</v>
      </c>
      <c r="D677" s="22">
        <v>-135</v>
      </c>
      <c r="E677" s="22" t="s">
        <v>378</v>
      </c>
      <c r="F677" s="22" t="s">
        <v>205</v>
      </c>
      <c r="G677" s="23">
        <v>40565</v>
      </c>
      <c r="H677" s="22">
        <v>21</v>
      </c>
      <c r="I677" s="22">
        <v>5</v>
      </c>
      <c r="J677" s="22">
        <f t="shared" si="60"/>
        <v>139</v>
      </c>
      <c r="K677" s="22">
        <f t="shared" si="61"/>
        <v>42</v>
      </c>
      <c r="L677" s="22">
        <f t="shared" si="62"/>
        <v>97</v>
      </c>
      <c r="M677" s="22">
        <f t="shared" si="63"/>
        <v>245</v>
      </c>
      <c r="N677" s="24">
        <f t="shared" si="64"/>
        <v>0.39591836734693875</v>
      </c>
      <c r="O677" s="24"/>
      <c r="P677" s="24" t="str">
        <f t="shared" si="65"/>
        <v/>
      </c>
      <c r="Q677" s="22"/>
    </row>
    <row r="678" spans="1:17" ht="15" customHeight="1" x14ac:dyDescent="0.25">
      <c r="A678" s="22" t="s">
        <v>416</v>
      </c>
      <c r="B678" s="22">
        <v>7</v>
      </c>
      <c r="C678" s="22" t="s">
        <v>212</v>
      </c>
      <c r="D678" s="22">
        <v>-120</v>
      </c>
      <c r="E678" s="22" t="s">
        <v>378</v>
      </c>
      <c r="F678" s="22" t="s">
        <v>205</v>
      </c>
      <c r="G678" s="23">
        <v>40565</v>
      </c>
      <c r="H678" s="22">
        <v>22</v>
      </c>
      <c r="I678" s="22">
        <v>5</v>
      </c>
      <c r="J678" s="22">
        <f t="shared" si="60"/>
        <v>161</v>
      </c>
      <c r="K678" s="22">
        <f t="shared" si="61"/>
        <v>47</v>
      </c>
      <c r="L678" s="22">
        <f t="shared" si="62"/>
        <v>114</v>
      </c>
      <c r="M678" s="22">
        <f t="shared" si="63"/>
        <v>245</v>
      </c>
      <c r="N678" s="24">
        <f t="shared" si="64"/>
        <v>0.46530612244897956</v>
      </c>
      <c r="O678" s="24"/>
      <c r="P678" s="24" t="str">
        <f t="shared" si="65"/>
        <v/>
      </c>
      <c r="Q678" s="22"/>
    </row>
    <row r="679" spans="1:17" ht="15" customHeight="1" x14ac:dyDescent="0.25">
      <c r="A679" s="22" t="s">
        <v>416</v>
      </c>
      <c r="B679" s="22">
        <v>8</v>
      </c>
      <c r="C679" s="22" t="s">
        <v>226</v>
      </c>
      <c r="D679" s="22">
        <v>-105</v>
      </c>
      <c r="E679" s="22" t="s">
        <v>378</v>
      </c>
      <c r="F679" s="22" t="s">
        <v>205</v>
      </c>
      <c r="G679" s="23">
        <v>40565</v>
      </c>
      <c r="H679" s="22">
        <v>12</v>
      </c>
      <c r="I679" s="22">
        <v>15</v>
      </c>
      <c r="J679" s="22">
        <f t="shared" si="60"/>
        <v>173</v>
      </c>
      <c r="K679" s="22">
        <f t="shared" si="61"/>
        <v>62</v>
      </c>
      <c r="L679" s="22">
        <f t="shared" si="62"/>
        <v>111</v>
      </c>
      <c r="M679" s="22">
        <f t="shared" si="63"/>
        <v>245</v>
      </c>
      <c r="N679" s="24">
        <f t="shared" si="64"/>
        <v>0.45306122448979591</v>
      </c>
      <c r="O679" s="24"/>
      <c r="P679" s="24" t="str">
        <f t="shared" si="65"/>
        <v/>
      </c>
      <c r="Q679" s="22"/>
    </row>
    <row r="680" spans="1:17" ht="15" customHeight="1" x14ac:dyDescent="0.25">
      <c r="A680" s="22" t="s">
        <v>416</v>
      </c>
      <c r="B680" s="22">
        <v>9</v>
      </c>
      <c r="C680" s="22" t="s">
        <v>264</v>
      </c>
      <c r="D680" s="22">
        <v>-90</v>
      </c>
      <c r="E680" s="22" t="s">
        <v>378</v>
      </c>
      <c r="F680" s="22" t="s">
        <v>205</v>
      </c>
      <c r="G680" s="23">
        <v>40565</v>
      </c>
      <c r="H680" s="22">
        <v>13</v>
      </c>
      <c r="I680" s="22">
        <v>7</v>
      </c>
      <c r="J680" s="22">
        <f t="shared" si="60"/>
        <v>186</v>
      </c>
      <c r="K680" s="22">
        <f t="shared" si="61"/>
        <v>69</v>
      </c>
      <c r="L680" s="22">
        <f t="shared" si="62"/>
        <v>117</v>
      </c>
      <c r="M680" s="22">
        <f t="shared" si="63"/>
        <v>245</v>
      </c>
      <c r="N680" s="24">
        <f t="shared" si="64"/>
        <v>0.47755102040816327</v>
      </c>
      <c r="O680" s="24"/>
      <c r="P680" s="24" t="str">
        <f t="shared" si="65"/>
        <v/>
      </c>
      <c r="Q680" s="22"/>
    </row>
    <row r="681" spans="1:17" ht="15" customHeight="1" x14ac:dyDescent="0.25">
      <c r="A681" s="22" t="s">
        <v>416</v>
      </c>
      <c r="B681" s="22">
        <v>10</v>
      </c>
      <c r="C681" s="22" t="s">
        <v>191</v>
      </c>
      <c r="D681" s="22">
        <v>-75</v>
      </c>
      <c r="E681" s="22" t="s">
        <v>378</v>
      </c>
      <c r="F681" s="22" t="s">
        <v>205</v>
      </c>
      <c r="G681" s="23">
        <v>40565</v>
      </c>
      <c r="H681" s="22">
        <v>28</v>
      </c>
      <c r="I681" s="22">
        <v>16</v>
      </c>
      <c r="J681" s="22">
        <f t="shared" si="60"/>
        <v>214</v>
      </c>
      <c r="K681" s="22">
        <f t="shared" si="61"/>
        <v>85</v>
      </c>
      <c r="L681" s="22">
        <f t="shared" si="62"/>
        <v>129</v>
      </c>
      <c r="M681" s="22">
        <f t="shared" si="63"/>
        <v>245</v>
      </c>
      <c r="N681" s="24">
        <f t="shared" si="64"/>
        <v>0.52653061224489794</v>
      </c>
      <c r="O681" s="24"/>
      <c r="P681" s="24" t="str">
        <f t="shared" si="65"/>
        <v/>
      </c>
      <c r="Q681" s="22"/>
    </row>
    <row r="682" spans="1:17" ht="15" customHeight="1" x14ac:dyDescent="0.25">
      <c r="A682" s="22" t="s">
        <v>416</v>
      </c>
      <c r="B682" s="22">
        <v>11</v>
      </c>
      <c r="C682" s="22" t="s">
        <v>231</v>
      </c>
      <c r="D682" s="22">
        <v>-60</v>
      </c>
      <c r="E682" s="22" t="s">
        <v>378</v>
      </c>
      <c r="F682" s="22" t="s">
        <v>205</v>
      </c>
      <c r="G682" s="23">
        <v>40565</v>
      </c>
      <c r="H682" s="22">
        <v>9</v>
      </c>
      <c r="I682" s="22">
        <v>6</v>
      </c>
      <c r="J682" s="22">
        <f t="shared" si="60"/>
        <v>223</v>
      </c>
      <c r="K682" s="22">
        <f t="shared" si="61"/>
        <v>91</v>
      </c>
      <c r="L682" s="22">
        <f t="shared" si="62"/>
        <v>132</v>
      </c>
      <c r="M682" s="22">
        <f t="shared" si="63"/>
        <v>245</v>
      </c>
      <c r="N682" s="24">
        <f t="shared" si="64"/>
        <v>0.53877551020408165</v>
      </c>
      <c r="O682" s="24"/>
      <c r="P682" s="24" t="str">
        <f t="shared" si="65"/>
        <v/>
      </c>
      <c r="Q682" s="22"/>
    </row>
    <row r="683" spans="1:17" ht="15" customHeight="1" x14ac:dyDescent="0.25">
      <c r="A683" s="22" t="s">
        <v>416</v>
      </c>
      <c r="B683" s="22">
        <v>12</v>
      </c>
      <c r="C683" s="22" t="s">
        <v>239</v>
      </c>
      <c r="D683" s="22">
        <v>-45</v>
      </c>
      <c r="E683" s="22" t="s">
        <v>378</v>
      </c>
      <c r="F683" s="22" t="s">
        <v>205</v>
      </c>
      <c r="G683" s="23">
        <v>40565</v>
      </c>
      <c r="H683" s="22">
        <v>4</v>
      </c>
      <c r="I683" s="22">
        <v>18</v>
      </c>
      <c r="J683" s="22">
        <f t="shared" si="60"/>
        <v>227</v>
      </c>
      <c r="K683" s="22">
        <f t="shared" si="61"/>
        <v>109</v>
      </c>
      <c r="L683" s="22">
        <f t="shared" si="62"/>
        <v>118</v>
      </c>
      <c r="M683" s="22">
        <f t="shared" si="63"/>
        <v>245</v>
      </c>
      <c r="N683" s="24">
        <f t="shared" si="64"/>
        <v>0.48163265306122449</v>
      </c>
      <c r="O683" s="24"/>
      <c r="P683" s="24" t="str">
        <f t="shared" si="65"/>
        <v/>
      </c>
      <c r="Q683" s="22"/>
    </row>
    <row r="684" spans="1:17" ht="15" customHeight="1" x14ac:dyDescent="0.25">
      <c r="A684" s="22" t="s">
        <v>416</v>
      </c>
      <c r="B684" s="22">
        <v>13</v>
      </c>
      <c r="C684" s="22" t="s">
        <v>387</v>
      </c>
      <c r="D684" s="22">
        <v>-30</v>
      </c>
      <c r="E684" s="22" t="s">
        <v>378</v>
      </c>
      <c r="F684" s="22" t="s">
        <v>205</v>
      </c>
      <c r="G684" s="23">
        <v>40565</v>
      </c>
      <c r="H684" s="22">
        <v>5</v>
      </c>
      <c r="I684" s="22">
        <v>28</v>
      </c>
      <c r="J684" s="22">
        <f t="shared" si="60"/>
        <v>232</v>
      </c>
      <c r="K684" s="22">
        <f t="shared" si="61"/>
        <v>137</v>
      </c>
      <c r="L684" s="22">
        <f t="shared" si="62"/>
        <v>95</v>
      </c>
      <c r="M684" s="22">
        <f t="shared" si="63"/>
        <v>245</v>
      </c>
      <c r="N684" s="24">
        <f t="shared" si="64"/>
        <v>0.38775510204081631</v>
      </c>
      <c r="O684" s="24"/>
      <c r="P684" s="24" t="str">
        <f t="shared" si="65"/>
        <v/>
      </c>
      <c r="Q684" s="22"/>
    </row>
    <row r="685" spans="1:17" ht="15" customHeight="1" x14ac:dyDescent="0.25">
      <c r="A685" s="22" t="s">
        <v>416</v>
      </c>
      <c r="B685" s="22">
        <v>14</v>
      </c>
      <c r="C685" s="22" t="s">
        <v>468</v>
      </c>
      <c r="D685" s="22">
        <v>-15</v>
      </c>
      <c r="E685" s="22" t="s">
        <v>378</v>
      </c>
      <c r="F685" s="22" t="s">
        <v>205</v>
      </c>
      <c r="G685" s="23">
        <v>40565</v>
      </c>
      <c r="H685" s="22">
        <v>5</v>
      </c>
      <c r="I685" s="22">
        <v>29</v>
      </c>
      <c r="J685" s="22">
        <f t="shared" si="60"/>
        <v>237</v>
      </c>
      <c r="K685" s="22">
        <f t="shared" si="61"/>
        <v>166</v>
      </c>
      <c r="L685" s="22">
        <f t="shared" si="62"/>
        <v>71</v>
      </c>
      <c r="M685" s="22">
        <f t="shared" si="63"/>
        <v>245</v>
      </c>
      <c r="N685" s="24">
        <f t="shared" si="64"/>
        <v>0.28979591836734692</v>
      </c>
      <c r="O685" s="24"/>
      <c r="P685" s="24" t="str">
        <f t="shared" si="65"/>
        <v/>
      </c>
      <c r="Q685" s="22"/>
    </row>
    <row r="686" spans="1:17" ht="15" customHeight="1" x14ac:dyDescent="0.25">
      <c r="A686" s="22" t="s">
        <v>416</v>
      </c>
      <c r="B686" s="22">
        <v>15</v>
      </c>
      <c r="C686" s="22" t="s">
        <v>469</v>
      </c>
      <c r="D686" s="22">
        <v>0</v>
      </c>
      <c r="E686" s="22" t="s">
        <v>378</v>
      </c>
      <c r="F686" s="22" t="s">
        <v>205</v>
      </c>
      <c r="G686" s="23">
        <v>40565</v>
      </c>
      <c r="H686" s="22">
        <v>3</v>
      </c>
      <c r="I686" s="22">
        <v>21</v>
      </c>
      <c r="J686" s="22">
        <f t="shared" si="60"/>
        <v>240</v>
      </c>
      <c r="K686" s="22">
        <f t="shared" si="61"/>
        <v>187</v>
      </c>
      <c r="L686" s="22">
        <f t="shared" si="62"/>
        <v>53</v>
      </c>
      <c r="M686" s="22">
        <f t="shared" si="63"/>
        <v>245</v>
      </c>
      <c r="N686" s="24">
        <f t="shared" si="64"/>
        <v>0.21632653061224491</v>
      </c>
      <c r="O686" s="24"/>
      <c r="P686" s="24" t="str">
        <f t="shared" si="65"/>
        <v/>
      </c>
      <c r="Q686" s="22"/>
    </row>
    <row r="687" spans="1:17" ht="15" customHeight="1" x14ac:dyDescent="0.25">
      <c r="A687" s="22" t="s">
        <v>416</v>
      </c>
      <c r="B687" s="22">
        <v>16</v>
      </c>
      <c r="C687" s="22" t="s">
        <v>351</v>
      </c>
      <c r="D687" s="22">
        <v>15</v>
      </c>
      <c r="E687" s="22" t="s">
        <v>378</v>
      </c>
      <c r="F687" s="22" t="s">
        <v>205</v>
      </c>
      <c r="G687" s="23">
        <v>40565</v>
      </c>
      <c r="H687" s="22">
        <v>2</v>
      </c>
      <c r="I687" s="22">
        <v>10</v>
      </c>
      <c r="J687" s="22">
        <f t="shared" si="60"/>
        <v>242</v>
      </c>
      <c r="K687" s="22">
        <f t="shared" si="61"/>
        <v>197</v>
      </c>
      <c r="L687" s="22">
        <f t="shared" si="62"/>
        <v>45</v>
      </c>
      <c r="M687" s="22">
        <f t="shared" si="63"/>
        <v>245</v>
      </c>
      <c r="N687" s="24">
        <f t="shared" si="64"/>
        <v>0.18367346938775511</v>
      </c>
      <c r="O687" s="24"/>
      <c r="P687" s="24" t="str">
        <f t="shared" si="65"/>
        <v/>
      </c>
      <c r="Q687" s="22"/>
    </row>
    <row r="688" spans="1:17" ht="15" customHeight="1" x14ac:dyDescent="0.25">
      <c r="A688" s="22" t="s">
        <v>416</v>
      </c>
      <c r="B688" s="22">
        <v>17</v>
      </c>
      <c r="C688" s="22" t="s">
        <v>311</v>
      </c>
      <c r="D688" s="22">
        <v>30</v>
      </c>
      <c r="E688" s="22" t="s">
        <v>378</v>
      </c>
      <c r="F688" s="22" t="s">
        <v>205</v>
      </c>
      <c r="G688" s="23">
        <v>40565</v>
      </c>
      <c r="H688" s="22">
        <v>1</v>
      </c>
      <c r="I688" s="22">
        <v>15</v>
      </c>
      <c r="J688" s="22">
        <f t="shared" si="60"/>
        <v>243</v>
      </c>
      <c r="K688" s="22">
        <f t="shared" si="61"/>
        <v>212</v>
      </c>
      <c r="L688" s="22">
        <f t="shared" si="62"/>
        <v>31</v>
      </c>
      <c r="M688" s="22">
        <f t="shared" si="63"/>
        <v>245</v>
      </c>
      <c r="N688" s="24">
        <f t="shared" si="64"/>
        <v>0.12653061224489795</v>
      </c>
      <c r="O688" s="24"/>
      <c r="P688" s="24" t="str">
        <f t="shared" si="65"/>
        <v/>
      </c>
      <c r="Q688" s="22"/>
    </row>
    <row r="689" spans="1:17" ht="15" customHeight="1" x14ac:dyDescent="0.25">
      <c r="A689" s="22" t="s">
        <v>416</v>
      </c>
      <c r="B689" s="22">
        <v>18</v>
      </c>
      <c r="C689" s="22" t="s">
        <v>211</v>
      </c>
      <c r="D689" s="22">
        <v>45</v>
      </c>
      <c r="E689" s="22" t="s">
        <v>378</v>
      </c>
      <c r="F689" s="22" t="s">
        <v>205</v>
      </c>
      <c r="G689" s="23">
        <v>40565</v>
      </c>
      <c r="H689" s="22">
        <v>2</v>
      </c>
      <c r="I689" s="22">
        <v>7</v>
      </c>
      <c r="J689" s="22">
        <f t="shared" si="60"/>
        <v>245</v>
      </c>
      <c r="K689" s="22">
        <f t="shared" si="61"/>
        <v>219</v>
      </c>
      <c r="L689" s="22">
        <f t="shared" si="62"/>
        <v>26</v>
      </c>
      <c r="M689" s="22">
        <f t="shared" si="63"/>
        <v>245</v>
      </c>
      <c r="N689" s="24">
        <f t="shared" si="64"/>
        <v>0.10612244897959183</v>
      </c>
      <c r="O689" s="24"/>
      <c r="P689" s="24" t="str">
        <f t="shared" si="65"/>
        <v/>
      </c>
      <c r="Q689" s="22"/>
    </row>
    <row r="690" spans="1:17" ht="15" customHeight="1" x14ac:dyDescent="0.25">
      <c r="A690" s="22" t="s">
        <v>419</v>
      </c>
      <c r="B690" s="22">
        <v>0</v>
      </c>
      <c r="C690" s="22" t="s">
        <v>189</v>
      </c>
      <c r="D690" s="22"/>
      <c r="E690" s="22" t="s">
        <v>378</v>
      </c>
      <c r="F690" s="22" t="s">
        <v>205</v>
      </c>
      <c r="G690" s="23">
        <v>40591</v>
      </c>
      <c r="H690" s="22">
        <v>19</v>
      </c>
      <c r="I690" s="22">
        <v>1</v>
      </c>
      <c r="J690" s="22">
        <f t="shared" si="60"/>
        <v>19</v>
      </c>
      <c r="K690" s="22">
        <f t="shared" si="61"/>
        <v>1</v>
      </c>
      <c r="L690" s="22">
        <f t="shared" si="62"/>
        <v>18</v>
      </c>
      <c r="M690" s="22">
        <f t="shared" si="63"/>
        <v>293</v>
      </c>
      <c r="N690" s="24">
        <f t="shared" si="64"/>
        <v>6.1433447098976107E-2</v>
      </c>
      <c r="O690" s="24"/>
      <c r="P690" s="24" t="str">
        <f t="shared" si="65"/>
        <v/>
      </c>
      <c r="Q690" s="22"/>
    </row>
    <row r="691" spans="1:17" ht="15" customHeight="1" x14ac:dyDescent="0.25">
      <c r="A691" s="22" t="s">
        <v>419</v>
      </c>
      <c r="B691" s="22">
        <v>2</v>
      </c>
      <c r="C691" s="22" t="s">
        <v>325</v>
      </c>
      <c r="D691" s="22">
        <v>-195</v>
      </c>
      <c r="E691" s="22" t="s">
        <v>378</v>
      </c>
      <c r="F691" s="22" t="s">
        <v>205</v>
      </c>
      <c r="G691" s="23">
        <v>40591</v>
      </c>
      <c r="H691" s="22">
        <v>12</v>
      </c>
      <c r="I691" s="22">
        <v>0</v>
      </c>
      <c r="J691" s="22">
        <f t="shared" si="60"/>
        <v>31</v>
      </c>
      <c r="K691" s="22">
        <f t="shared" si="61"/>
        <v>1</v>
      </c>
      <c r="L691" s="22">
        <f t="shared" si="62"/>
        <v>30</v>
      </c>
      <c r="M691" s="22">
        <f t="shared" si="63"/>
        <v>293</v>
      </c>
      <c r="N691" s="24">
        <f t="shared" si="64"/>
        <v>0.10238907849829351</v>
      </c>
      <c r="O691" s="24"/>
      <c r="P691" s="24" t="str">
        <f t="shared" si="65"/>
        <v/>
      </c>
      <c r="Q691" s="22"/>
    </row>
    <row r="692" spans="1:17" ht="15" customHeight="1" x14ac:dyDescent="0.25">
      <c r="A692" s="22" t="s">
        <v>419</v>
      </c>
      <c r="B692" s="22">
        <v>3</v>
      </c>
      <c r="C692" s="22" t="s">
        <v>464</v>
      </c>
      <c r="D692" s="22">
        <v>-180</v>
      </c>
      <c r="E692" s="22" t="s">
        <v>378</v>
      </c>
      <c r="F692" s="22" t="s">
        <v>205</v>
      </c>
      <c r="G692" s="23">
        <v>40591</v>
      </c>
      <c r="H692" s="22">
        <v>27</v>
      </c>
      <c r="I692" s="22">
        <v>2</v>
      </c>
      <c r="J692" s="22">
        <f t="shared" si="60"/>
        <v>58</v>
      </c>
      <c r="K692" s="22">
        <f t="shared" si="61"/>
        <v>3</v>
      </c>
      <c r="L692" s="22">
        <f t="shared" si="62"/>
        <v>55</v>
      </c>
      <c r="M692" s="22">
        <f t="shared" si="63"/>
        <v>293</v>
      </c>
      <c r="N692" s="24">
        <f t="shared" si="64"/>
        <v>0.18771331058020477</v>
      </c>
      <c r="O692" s="24"/>
      <c r="P692" s="24" t="str">
        <f t="shared" si="65"/>
        <v/>
      </c>
      <c r="Q692" s="22"/>
    </row>
    <row r="693" spans="1:17" ht="15" customHeight="1" x14ac:dyDescent="0.25">
      <c r="A693" s="22" t="s">
        <v>419</v>
      </c>
      <c r="B693" s="22">
        <v>4</v>
      </c>
      <c r="C693" s="22" t="s">
        <v>465</v>
      </c>
      <c r="D693" s="22">
        <v>-165</v>
      </c>
      <c r="E693" s="22" t="s">
        <v>378</v>
      </c>
      <c r="F693" s="22" t="s">
        <v>205</v>
      </c>
      <c r="G693" s="23">
        <v>40591</v>
      </c>
      <c r="H693" s="22">
        <v>27</v>
      </c>
      <c r="I693" s="22">
        <v>4</v>
      </c>
      <c r="J693" s="22">
        <f t="shared" si="60"/>
        <v>85</v>
      </c>
      <c r="K693" s="22">
        <f t="shared" si="61"/>
        <v>7</v>
      </c>
      <c r="L693" s="22">
        <f t="shared" si="62"/>
        <v>78</v>
      </c>
      <c r="M693" s="22">
        <f t="shared" si="63"/>
        <v>293</v>
      </c>
      <c r="N693" s="24">
        <f t="shared" si="64"/>
        <v>0.26621160409556316</v>
      </c>
      <c r="O693" s="24"/>
      <c r="P693" s="24" t="str">
        <f t="shared" si="65"/>
        <v/>
      </c>
      <c r="Q693" s="22"/>
    </row>
    <row r="694" spans="1:17" ht="15" customHeight="1" x14ac:dyDescent="0.25">
      <c r="A694" s="22" t="s">
        <v>419</v>
      </c>
      <c r="B694" s="22">
        <v>5</v>
      </c>
      <c r="C694" s="22" t="s">
        <v>466</v>
      </c>
      <c r="D694" s="22">
        <v>-150</v>
      </c>
      <c r="E694" s="22" t="s">
        <v>378</v>
      </c>
      <c r="F694" s="22" t="s">
        <v>205</v>
      </c>
      <c r="G694" s="23">
        <v>40591</v>
      </c>
      <c r="H694" s="22">
        <v>31</v>
      </c>
      <c r="I694" s="22">
        <v>2</v>
      </c>
      <c r="J694" s="22">
        <f t="shared" si="60"/>
        <v>116</v>
      </c>
      <c r="K694" s="22">
        <f t="shared" si="61"/>
        <v>9</v>
      </c>
      <c r="L694" s="22">
        <f t="shared" si="62"/>
        <v>107</v>
      </c>
      <c r="M694" s="22">
        <f t="shared" si="63"/>
        <v>293</v>
      </c>
      <c r="N694" s="24">
        <f t="shared" si="64"/>
        <v>0.3651877133105802</v>
      </c>
      <c r="O694" s="24"/>
      <c r="P694" s="24" t="str">
        <f t="shared" si="65"/>
        <v/>
      </c>
      <c r="Q694" s="22"/>
    </row>
    <row r="695" spans="1:17" ht="15" customHeight="1" x14ac:dyDescent="0.25">
      <c r="A695" s="22" t="s">
        <v>419</v>
      </c>
      <c r="B695" s="22">
        <v>6</v>
      </c>
      <c r="C695" s="22" t="s">
        <v>467</v>
      </c>
      <c r="D695" s="22">
        <v>-135</v>
      </c>
      <c r="E695" s="22" t="s">
        <v>378</v>
      </c>
      <c r="F695" s="22" t="s">
        <v>205</v>
      </c>
      <c r="G695" s="23">
        <v>40591</v>
      </c>
      <c r="H695" s="22">
        <v>26</v>
      </c>
      <c r="I695" s="22">
        <v>1</v>
      </c>
      <c r="J695" s="22">
        <f t="shared" si="60"/>
        <v>142</v>
      </c>
      <c r="K695" s="22">
        <f t="shared" si="61"/>
        <v>10</v>
      </c>
      <c r="L695" s="22">
        <f t="shared" si="62"/>
        <v>132</v>
      </c>
      <c r="M695" s="22">
        <f t="shared" si="63"/>
        <v>293</v>
      </c>
      <c r="N695" s="24">
        <f t="shared" si="64"/>
        <v>0.45051194539249145</v>
      </c>
      <c r="O695" s="24"/>
      <c r="P695" s="24" t="str">
        <f t="shared" si="65"/>
        <v/>
      </c>
      <c r="Q695" s="22"/>
    </row>
    <row r="696" spans="1:17" ht="15" customHeight="1" x14ac:dyDescent="0.25">
      <c r="A696" s="22" t="s">
        <v>419</v>
      </c>
      <c r="B696" s="22">
        <v>7</v>
      </c>
      <c r="C696" s="22" t="s">
        <v>212</v>
      </c>
      <c r="D696" s="22">
        <v>-120</v>
      </c>
      <c r="E696" s="22" t="s">
        <v>378</v>
      </c>
      <c r="F696" s="22" t="s">
        <v>205</v>
      </c>
      <c r="G696" s="23">
        <v>40591</v>
      </c>
      <c r="H696" s="22">
        <v>24</v>
      </c>
      <c r="I696" s="22">
        <v>5</v>
      </c>
      <c r="J696" s="22">
        <f t="shared" si="60"/>
        <v>166</v>
      </c>
      <c r="K696" s="22">
        <f t="shared" si="61"/>
        <v>15</v>
      </c>
      <c r="L696" s="22">
        <f t="shared" si="62"/>
        <v>151</v>
      </c>
      <c r="M696" s="22">
        <f t="shared" si="63"/>
        <v>293</v>
      </c>
      <c r="N696" s="24">
        <f t="shared" si="64"/>
        <v>0.51535836177474403</v>
      </c>
      <c r="O696" s="24"/>
      <c r="P696" s="24" t="str">
        <f t="shared" si="65"/>
        <v/>
      </c>
      <c r="Q696" s="22"/>
    </row>
    <row r="697" spans="1:17" ht="15" customHeight="1" x14ac:dyDescent="0.25">
      <c r="A697" s="22" t="s">
        <v>419</v>
      </c>
      <c r="B697" s="22">
        <v>8</v>
      </c>
      <c r="C697" s="22" t="s">
        <v>226</v>
      </c>
      <c r="D697" s="22">
        <v>-105</v>
      </c>
      <c r="E697" s="22" t="s">
        <v>378</v>
      </c>
      <c r="F697" s="22" t="s">
        <v>205</v>
      </c>
      <c r="G697" s="23">
        <v>40591</v>
      </c>
      <c r="H697" s="22">
        <v>24</v>
      </c>
      <c r="I697" s="22">
        <v>9</v>
      </c>
      <c r="J697" s="22">
        <f t="shared" si="60"/>
        <v>190</v>
      </c>
      <c r="K697" s="22">
        <f t="shared" si="61"/>
        <v>24</v>
      </c>
      <c r="L697" s="22">
        <f t="shared" si="62"/>
        <v>166</v>
      </c>
      <c r="M697" s="22">
        <f t="shared" si="63"/>
        <v>293</v>
      </c>
      <c r="N697" s="24">
        <f t="shared" si="64"/>
        <v>0.56655290102389078</v>
      </c>
      <c r="O697" s="24"/>
      <c r="P697" s="24" t="str">
        <f t="shared" si="65"/>
        <v/>
      </c>
      <c r="Q697" s="22"/>
    </row>
    <row r="698" spans="1:17" ht="15" customHeight="1" x14ac:dyDescent="0.25">
      <c r="A698" s="22" t="s">
        <v>419</v>
      </c>
      <c r="B698" s="22">
        <v>9</v>
      </c>
      <c r="C698" s="22" t="s">
        <v>264</v>
      </c>
      <c r="D698" s="22">
        <v>-90</v>
      </c>
      <c r="E698" s="22" t="s">
        <v>378</v>
      </c>
      <c r="F698" s="22" t="s">
        <v>205</v>
      </c>
      <c r="G698" s="23">
        <v>40591</v>
      </c>
      <c r="H698" s="22">
        <v>21</v>
      </c>
      <c r="I698" s="22">
        <v>12</v>
      </c>
      <c r="J698" s="22">
        <f t="shared" si="60"/>
        <v>211</v>
      </c>
      <c r="K698" s="22">
        <f t="shared" si="61"/>
        <v>36</v>
      </c>
      <c r="L698" s="22">
        <f t="shared" si="62"/>
        <v>175</v>
      </c>
      <c r="M698" s="22">
        <f t="shared" si="63"/>
        <v>293</v>
      </c>
      <c r="N698" s="24">
        <f t="shared" si="64"/>
        <v>0.59726962457337884</v>
      </c>
      <c r="O698" s="24"/>
      <c r="P698" s="24" t="str">
        <f t="shared" si="65"/>
        <v/>
      </c>
      <c r="Q698" s="22"/>
    </row>
    <row r="699" spans="1:17" ht="15" customHeight="1" x14ac:dyDescent="0.25">
      <c r="A699" s="22" t="s">
        <v>419</v>
      </c>
      <c r="B699" s="22">
        <v>10</v>
      </c>
      <c r="C699" s="22" t="s">
        <v>191</v>
      </c>
      <c r="D699" s="22">
        <v>-75</v>
      </c>
      <c r="E699" s="22" t="s">
        <v>378</v>
      </c>
      <c r="F699" s="22" t="s">
        <v>205</v>
      </c>
      <c r="G699" s="23">
        <v>40591</v>
      </c>
      <c r="H699" s="22">
        <v>15</v>
      </c>
      <c r="I699" s="22">
        <v>24</v>
      </c>
      <c r="J699" s="22">
        <f t="shared" si="60"/>
        <v>226</v>
      </c>
      <c r="K699" s="22">
        <f t="shared" si="61"/>
        <v>60</v>
      </c>
      <c r="L699" s="22">
        <f t="shared" si="62"/>
        <v>166</v>
      </c>
      <c r="M699" s="22">
        <f t="shared" si="63"/>
        <v>293</v>
      </c>
      <c r="N699" s="24">
        <f t="shared" si="64"/>
        <v>0.56655290102389078</v>
      </c>
      <c r="O699" s="24"/>
      <c r="P699" s="24" t="str">
        <f t="shared" si="65"/>
        <v/>
      </c>
      <c r="Q699" s="22"/>
    </row>
    <row r="700" spans="1:17" ht="15" customHeight="1" x14ac:dyDescent="0.25">
      <c r="A700" s="22" t="s">
        <v>419</v>
      </c>
      <c r="B700" s="22">
        <v>11</v>
      </c>
      <c r="C700" s="22" t="s">
        <v>231</v>
      </c>
      <c r="D700" s="22">
        <v>-60</v>
      </c>
      <c r="E700" s="22" t="s">
        <v>378</v>
      </c>
      <c r="F700" s="22" t="s">
        <v>205</v>
      </c>
      <c r="G700" s="23">
        <v>40591</v>
      </c>
      <c r="H700" s="22">
        <v>23</v>
      </c>
      <c r="I700" s="22">
        <v>25</v>
      </c>
      <c r="J700" s="22">
        <f t="shared" si="60"/>
        <v>249</v>
      </c>
      <c r="K700" s="22">
        <f t="shared" si="61"/>
        <v>85</v>
      </c>
      <c r="L700" s="22">
        <f t="shared" si="62"/>
        <v>164</v>
      </c>
      <c r="M700" s="22">
        <f t="shared" si="63"/>
        <v>293</v>
      </c>
      <c r="N700" s="24">
        <f t="shared" si="64"/>
        <v>0.55972696245733788</v>
      </c>
      <c r="O700" s="24"/>
      <c r="P700" s="24" t="str">
        <f t="shared" si="65"/>
        <v/>
      </c>
      <c r="Q700" s="22"/>
    </row>
    <row r="701" spans="1:17" ht="15" customHeight="1" x14ac:dyDescent="0.25">
      <c r="A701" s="22" t="s">
        <v>419</v>
      </c>
      <c r="B701" s="22">
        <v>12</v>
      </c>
      <c r="C701" s="22" t="s">
        <v>239</v>
      </c>
      <c r="D701" s="22">
        <v>-45</v>
      </c>
      <c r="E701" s="22" t="s">
        <v>378</v>
      </c>
      <c r="F701" s="22" t="s">
        <v>205</v>
      </c>
      <c r="G701" s="23">
        <v>40591</v>
      </c>
      <c r="H701" s="22">
        <v>10</v>
      </c>
      <c r="I701" s="22">
        <v>48</v>
      </c>
      <c r="J701" s="22">
        <f t="shared" si="60"/>
        <v>259</v>
      </c>
      <c r="K701" s="22">
        <f t="shared" si="61"/>
        <v>133</v>
      </c>
      <c r="L701" s="22">
        <f t="shared" si="62"/>
        <v>126</v>
      </c>
      <c r="M701" s="22">
        <f t="shared" si="63"/>
        <v>293</v>
      </c>
      <c r="N701" s="24">
        <f t="shared" si="64"/>
        <v>0.43003412969283278</v>
      </c>
      <c r="O701" s="24"/>
      <c r="P701" s="24" t="str">
        <f t="shared" si="65"/>
        <v/>
      </c>
      <c r="Q701" s="22"/>
    </row>
    <row r="702" spans="1:17" ht="15" customHeight="1" x14ac:dyDescent="0.25">
      <c r="A702" s="22" t="s">
        <v>419</v>
      </c>
      <c r="B702" s="22">
        <v>13</v>
      </c>
      <c r="C702" s="22" t="s">
        <v>387</v>
      </c>
      <c r="D702" s="22">
        <v>-30</v>
      </c>
      <c r="E702" s="22" t="s">
        <v>378</v>
      </c>
      <c r="F702" s="22" t="s">
        <v>205</v>
      </c>
      <c r="G702" s="23">
        <v>40591</v>
      </c>
      <c r="H702" s="22">
        <v>18</v>
      </c>
      <c r="I702" s="22">
        <v>37</v>
      </c>
      <c r="J702" s="22">
        <f t="shared" si="60"/>
        <v>277</v>
      </c>
      <c r="K702" s="22">
        <f t="shared" si="61"/>
        <v>170</v>
      </c>
      <c r="L702" s="22">
        <f t="shared" si="62"/>
        <v>107</v>
      </c>
      <c r="M702" s="22">
        <f t="shared" si="63"/>
        <v>293</v>
      </c>
      <c r="N702" s="24">
        <f t="shared" si="64"/>
        <v>0.3651877133105802</v>
      </c>
      <c r="O702" s="24"/>
      <c r="P702" s="24" t="str">
        <f t="shared" si="65"/>
        <v/>
      </c>
      <c r="Q702" s="22"/>
    </row>
    <row r="703" spans="1:17" ht="15" customHeight="1" x14ac:dyDescent="0.25">
      <c r="A703" s="22" t="s">
        <v>419</v>
      </c>
      <c r="B703" s="22">
        <v>14</v>
      </c>
      <c r="C703" s="22" t="s">
        <v>468</v>
      </c>
      <c r="D703" s="22">
        <v>-15</v>
      </c>
      <c r="E703" s="22" t="s">
        <v>378</v>
      </c>
      <c r="F703" s="22" t="s">
        <v>205</v>
      </c>
      <c r="G703" s="23">
        <v>40591</v>
      </c>
      <c r="H703" s="22">
        <v>9</v>
      </c>
      <c r="I703" s="22">
        <v>35</v>
      </c>
      <c r="J703" s="22">
        <f t="shared" si="60"/>
        <v>286</v>
      </c>
      <c r="K703" s="22">
        <f t="shared" si="61"/>
        <v>205</v>
      </c>
      <c r="L703" s="22">
        <f t="shared" si="62"/>
        <v>81</v>
      </c>
      <c r="M703" s="22">
        <f t="shared" si="63"/>
        <v>293</v>
      </c>
      <c r="N703" s="24">
        <f t="shared" si="64"/>
        <v>0.2764505119453925</v>
      </c>
      <c r="O703" s="24"/>
      <c r="P703" s="24" t="str">
        <f t="shared" si="65"/>
        <v/>
      </c>
      <c r="Q703" s="22"/>
    </row>
    <row r="704" spans="1:17" ht="15" customHeight="1" x14ac:dyDescent="0.25">
      <c r="A704" s="22" t="s">
        <v>419</v>
      </c>
      <c r="B704" s="22">
        <v>15</v>
      </c>
      <c r="C704" s="22" t="s">
        <v>469</v>
      </c>
      <c r="D704" s="22">
        <v>0</v>
      </c>
      <c r="E704" s="22" t="s">
        <v>378</v>
      </c>
      <c r="F704" s="22" t="s">
        <v>205</v>
      </c>
      <c r="G704" s="23">
        <v>40591</v>
      </c>
      <c r="H704" s="22">
        <v>2</v>
      </c>
      <c r="I704" s="22">
        <v>27</v>
      </c>
      <c r="J704" s="22">
        <f t="shared" si="60"/>
        <v>288</v>
      </c>
      <c r="K704" s="22">
        <f t="shared" si="61"/>
        <v>232</v>
      </c>
      <c r="L704" s="22">
        <f t="shared" si="62"/>
        <v>56</v>
      </c>
      <c r="M704" s="22">
        <f t="shared" si="63"/>
        <v>293</v>
      </c>
      <c r="N704" s="24">
        <f t="shared" si="64"/>
        <v>0.19112627986348124</v>
      </c>
      <c r="O704" s="24"/>
      <c r="P704" s="24" t="str">
        <f t="shared" si="65"/>
        <v/>
      </c>
      <c r="Q704" s="22"/>
    </row>
    <row r="705" spans="1:17" ht="15" customHeight="1" x14ac:dyDescent="0.25">
      <c r="A705" s="22" t="s">
        <v>419</v>
      </c>
      <c r="B705" s="22">
        <v>16</v>
      </c>
      <c r="C705" s="22" t="s">
        <v>351</v>
      </c>
      <c r="D705" s="22">
        <v>15</v>
      </c>
      <c r="E705" s="22" t="s">
        <v>378</v>
      </c>
      <c r="F705" s="22" t="s">
        <v>205</v>
      </c>
      <c r="G705" s="23">
        <v>40591</v>
      </c>
      <c r="H705" s="22">
        <v>2</v>
      </c>
      <c r="I705" s="22">
        <v>28</v>
      </c>
      <c r="J705" s="22">
        <f t="shared" si="60"/>
        <v>290</v>
      </c>
      <c r="K705" s="22">
        <f t="shared" si="61"/>
        <v>260</v>
      </c>
      <c r="L705" s="22">
        <f t="shared" si="62"/>
        <v>30</v>
      </c>
      <c r="M705" s="22">
        <f t="shared" si="63"/>
        <v>293</v>
      </c>
      <c r="N705" s="24">
        <f t="shared" si="64"/>
        <v>0.10238907849829351</v>
      </c>
      <c r="O705" s="24"/>
      <c r="P705" s="24" t="str">
        <f t="shared" si="65"/>
        <v/>
      </c>
      <c r="Q705" s="22"/>
    </row>
    <row r="706" spans="1:17" ht="15" customHeight="1" x14ac:dyDescent="0.25">
      <c r="A706" s="22" t="s">
        <v>419</v>
      </c>
      <c r="B706" s="22">
        <v>17</v>
      </c>
      <c r="C706" s="22" t="s">
        <v>311</v>
      </c>
      <c r="D706" s="22">
        <v>30</v>
      </c>
      <c r="E706" s="22" t="s">
        <v>378</v>
      </c>
      <c r="F706" s="22" t="s">
        <v>205</v>
      </c>
      <c r="G706" s="23">
        <v>40591</v>
      </c>
      <c r="H706" s="22">
        <v>1</v>
      </c>
      <c r="I706" s="22">
        <v>11</v>
      </c>
      <c r="J706" s="22">
        <f t="shared" ref="J706:J743" si="66">SUMIFS($H$2:$H$1200,$A$2:$A$1200,$A706,$B$2:$B$1200,"&lt;="&amp;$B706)</f>
        <v>291</v>
      </c>
      <c r="K706" s="22">
        <f t="shared" ref="K706:K743" si="67">SUMIFS($I$2:$I$1200,$A$2:$A$1200,$A706,$B$2:$B$1200,"&lt;="&amp;$B706)</f>
        <v>271</v>
      </c>
      <c r="L706" s="22">
        <f t="shared" ref="L706:L769" si="68">J706-K706</f>
        <v>20</v>
      </c>
      <c r="M706" s="22">
        <f t="shared" ref="M706:M743" si="69">SUMIF($A$2:$A$1200,$A706,$H$2:$H$1200)</f>
        <v>293</v>
      </c>
      <c r="N706" s="24">
        <f t="shared" ref="N706:N769" si="70">IF(M706=0,"",L706/M706)</f>
        <v>6.8259385665529013E-2</v>
      </c>
      <c r="O706" s="24"/>
      <c r="P706" s="24" t="str">
        <f t="shared" ref="P706:P769" si="71">IF(OR(N706="",O706=""),"",N706-O706)</f>
        <v/>
      </c>
      <c r="Q706" s="22"/>
    </row>
    <row r="707" spans="1:17" ht="15" customHeight="1" x14ac:dyDescent="0.25">
      <c r="A707" s="22" t="s">
        <v>419</v>
      </c>
      <c r="B707" s="22">
        <v>18</v>
      </c>
      <c r="C707" s="22" t="s">
        <v>211</v>
      </c>
      <c r="D707" s="22">
        <v>45</v>
      </c>
      <c r="E707" s="22" t="s">
        <v>378</v>
      </c>
      <c r="F707" s="22" t="s">
        <v>205</v>
      </c>
      <c r="G707" s="23">
        <v>40591</v>
      </c>
      <c r="H707" s="22">
        <v>2</v>
      </c>
      <c r="I707" s="22">
        <v>8</v>
      </c>
      <c r="J707" s="22">
        <f t="shared" si="66"/>
        <v>293</v>
      </c>
      <c r="K707" s="22">
        <f t="shared" si="67"/>
        <v>279</v>
      </c>
      <c r="L707" s="22">
        <f t="shared" si="68"/>
        <v>14</v>
      </c>
      <c r="M707" s="22">
        <f t="shared" si="69"/>
        <v>293</v>
      </c>
      <c r="N707" s="24">
        <f t="shared" si="70"/>
        <v>4.778156996587031E-2</v>
      </c>
      <c r="O707" s="24"/>
      <c r="P707" s="24" t="str">
        <f t="shared" si="71"/>
        <v/>
      </c>
      <c r="Q707" s="22"/>
    </row>
    <row r="708" spans="1:17" ht="15" customHeight="1" x14ac:dyDescent="0.25">
      <c r="A708" s="22" t="s">
        <v>422</v>
      </c>
      <c r="B708" s="22">
        <v>0</v>
      </c>
      <c r="C708" s="22" t="s">
        <v>189</v>
      </c>
      <c r="D708" s="22"/>
      <c r="E708" s="22" t="s">
        <v>378</v>
      </c>
      <c r="F708" s="22" t="s">
        <v>183</v>
      </c>
      <c r="G708" s="23">
        <v>40640</v>
      </c>
      <c r="H708" s="22">
        <v>5</v>
      </c>
      <c r="I708" s="22">
        <v>0</v>
      </c>
      <c r="J708" s="22">
        <f t="shared" si="66"/>
        <v>5</v>
      </c>
      <c r="K708" s="22">
        <f t="shared" si="67"/>
        <v>0</v>
      </c>
      <c r="L708" s="22">
        <f t="shared" si="68"/>
        <v>5</v>
      </c>
      <c r="M708" s="22">
        <f t="shared" si="69"/>
        <v>304</v>
      </c>
      <c r="N708" s="24">
        <f t="shared" si="70"/>
        <v>1.6447368421052631E-2</v>
      </c>
      <c r="O708" s="24"/>
      <c r="P708" s="24" t="str">
        <f t="shared" si="71"/>
        <v/>
      </c>
      <c r="Q708" s="22"/>
    </row>
    <row r="709" spans="1:17" ht="15" customHeight="1" x14ac:dyDescent="0.25">
      <c r="A709" s="22" t="s">
        <v>422</v>
      </c>
      <c r="B709" s="22">
        <v>3</v>
      </c>
      <c r="C709" s="22" t="s">
        <v>464</v>
      </c>
      <c r="D709" s="22">
        <v>-180</v>
      </c>
      <c r="E709" s="22" t="s">
        <v>378</v>
      </c>
      <c r="F709" s="22" t="s">
        <v>183</v>
      </c>
      <c r="G709" s="23">
        <v>40640</v>
      </c>
      <c r="H709" s="22">
        <v>9</v>
      </c>
      <c r="I709" s="22">
        <v>0</v>
      </c>
      <c r="J709" s="22">
        <f t="shared" si="66"/>
        <v>14</v>
      </c>
      <c r="K709" s="22">
        <f t="shared" si="67"/>
        <v>0</v>
      </c>
      <c r="L709" s="22">
        <f t="shared" si="68"/>
        <v>14</v>
      </c>
      <c r="M709" s="22">
        <f t="shared" si="69"/>
        <v>304</v>
      </c>
      <c r="N709" s="24">
        <f t="shared" si="70"/>
        <v>4.6052631578947366E-2</v>
      </c>
      <c r="O709" s="24"/>
      <c r="P709" s="24" t="str">
        <f t="shared" si="71"/>
        <v/>
      </c>
      <c r="Q709" s="22"/>
    </row>
    <row r="710" spans="1:17" ht="15" customHeight="1" x14ac:dyDescent="0.25">
      <c r="A710" s="22" t="s">
        <v>422</v>
      </c>
      <c r="B710" s="22">
        <v>4</v>
      </c>
      <c r="C710" s="22" t="s">
        <v>465</v>
      </c>
      <c r="D710" s="22">
        <v>-165</v>
      </c>
      <c r="E710" s="22" t="s">
        <v>378</v>
      </c>
      <c r="F710" s="22" t="s">
        <v>183</v>
      </c>
      <c r="G710" s="23">
        <v>40640</v>
      </c>
      <c r="H710" s="22">
        <v>10</v>
      </c>
      <c r="I710" s="22">
        <v>0</v>
      </c>
      <c r="J710" s="22">
        <f t="shared" si="66"/>
        <v>24</v>
      </c>
      <c r="K710" s="22">
        <f t="shared" si="67"/>
        <v>0</v>
      </c>
      <c r="L710" s="22">
        <f t="shared" si="68"/>
        <v>24</v>
      </c>
      <c r="M710" s="22">
        <f t="shared" si="69"/>
        <v>304</v>
      </c>
      <c r="N710" s="24">
        <f t="shared" si="70"/>
        <v>7.8947368421052627E-2</v>
      </c>
      <c r="O710" s="24"/>
      <c r="P710" s="24" t="str">
        <f t="shared" si="71"/>
        <v/>
      </c>
      <c r="Q710" s="22"/>
    </row>
    <row r="711" spans="1:17" ht="15" customHeight="1" x14ac:dyDescent="0.25">
      <c r="A711" s="22" t="s">
        <v>422</v>
      </c>
      <c r="B711" s="22">
        <v>5</v>
      </c>
      <c r="C711" s="22" t="s">
        <v>466</v>
      </c>
      <c r="D711" s="22">
        <v>-150</v>
      </c>
      <c r="E711" s="22" t="s">
        <v>378</v>
      </c>
      <c r="F711" s="22" t="s">
        <v>183</v>
      </c>
      <c r="G711" s="23">
        <v>40640</v>
      </c>
      <c r="H711" s="22">
        <v>32</v>
      </c>
      <c r="I711" s="22">
        <v>1</v>
      </c>
      <c r="J711" s="22">
        <f t="shared" si="66"/>
        <v>56</v>
      </c>
      <c r="K711" s="22">
        <f t="shared" si="67"/>
        <v>1</v>
      </c>
      <c r="L711" s="22">
        <f t="shared" si="68"/>
        <v>55</v>
      </c>
      <c r="M711" s="22">
        <f t="shared" si="69"/>
        <v>304</v>
      </c>
      <c r="N711" s="24">
        <f t="shared" si="70"/>
        <v>0.18092105263157895</v>
      </c>
      <c r="O711" s="24"/>
      <c r="P711" s="24" t="str">
        <f t="shared" si="71"/>
        <v/>
      </c>
      <c r="Q711" s="22"/>
    </row>
    <row r="712" spans="1:17" ht="15" customHeight="1" x14ac:dyDescent="0.25">
      <c r="A712" s="22" t="s">
        <v>422</v>
      </c>
      <c r="B712" s="22">
        <v>6</v>
      </c>
      <c r="C712" s="22" t="s">
        <v>467</v>
      </c>
      <c r="D712" s="22">
        <v>-135</v>
      </c>
      <c r="E712" s="22" t="s">
        <v>378</v>
      </c>
      <c r="F712" s="22" t="s">
        <v>183</v>
      </c>
      <c r="G712" s="23">
        <v>40640</v>
      </c>
      <c r="H712" s="22">
        <v>26</v>
      </c>
      <c r="I712" s="22">
        <v>3</v>
      </c>
      <c r="J712" s="22">
        <f t="shared" si="66"/>
        <v>82</v>
      </c>
      <c r="K712" s="22">
        <f t="shared" si="67"/>
        <v>4</v>
      </c>
      <c r="L712" s="22">
        <f t="shared" si="68"/>
        <v>78</v>
      </c>
      <c r="M712" s="22">
        <f t="shared" si="69"/>
        <v>304</v>
      </c>
      <c r="N712" s="24">
        <f t="shared" si="70"/>
        <v>0.25657894736842107</v>
      </c>
      <c r="O712" s="24"/>
      <c r="P712" s="24" t="str">
        <f t="shared" si="71"/>
        <v/>
      </c>
      <c r="Q712" s="22"/>
    </row>
    <row r="713" spans="1:17" ht="15" customHeight="1" x14ac:dyDescent="0.25">
      <c r="A713" s="22" t="s">
        <v>422</v>
      </c>
      <c r="B713" s="22">
        <v>7</v>
      </c>
      <c r="C713" s="22" t="s">
        <v>212</v>
      </c>
      <c r="D713" s="22">
        <v>-120</v>
      </c>
      <c r="E713" s="22" t="s">
        <v>378</v>
      </c>
      <c r="F713" s="22" t="s">
        <v>183</v>
      </c>
      <c r="G713" s="23">
        <v>40640</v>
      </c>
      <c r="H713" s="22">
        <v>32</v>
      </c>
      <c r="I713" s="22">
        <v>6</v>
      </c>
      <c r="J713" s="22">
        <f t="shared" si="66"/>
        <v>114</v>
      </c>
      <c r="K713" s="22">
        <f t="shared" si="67"/>
        <v>10</v>
      </c>
      <c r="L713" s="22">
        <f t="shared" si="68"/>
        <v>104</v>
      </c>
      <c r="M713" s="22">
        <f t="shared" si="69"/>
        <v>304</v>
      </c>
      <c r="N713" s="24">
        <f t="shared" si="70"/>
        <v>0.34210526315789475</v>
      </c>
      <c r="O713" s="24"/>
      <c r="P713" s="24" t="str">
        <f t="shared" si="71"/>
        <v/>
      </c>
      <c r="Q713" s="22"/>
    </row>
    <row r="714" spans="1:17" ht="15" customHeight="1" x14ac:dyDescent="0.25">
      <c r="A714" s="22" t="s">
        <v>422</v>
      </c>
      <c r="B714" s="22">
        <v>8</v>
      </c>
      <c r="C714" s="22" t="s">
        <v>226</v>
      </c>
      <c r="D714" s="22">
        <v>-105</v>
      </c>
      <c r="E714" s="22" t="s">
        <v>378</v>
      </c>
      <c r="F714" s="22" t="s">
        <v>183</v>
      </c>
      <c r="G714" s="23">
        <v>40640</v>
      </c>
      <c r="H714" s="22">
        <v>42</v>
      </c>
      <c r="I714" s="22">
        <v>7</v>
      </c>
      <c r="J714" s="22">
        <f t="shared" si="66"/>
        <v>156</v>
      </c>
      <c r="K714" s="22">
        <f t="shared" si="67"/>
        <v>17</v>
      </c>
      <c r="L714" s="22">
        <f t="shared" si="68"/>
        <v>139</v>
      </c>
      <c r="M714" s="22">
        <f t="shared" si="69"/>
        <v>304</v>
      </c>
      <c r="N714" s="24">
        <f t="shared" si="70"/>
        <v>0.45723684210526316</v>
      </c>
      <c r="O714" s="24"/>
      <c r="P714" s="24" t="str">
        <f t="shared" si="71"/>
        <v/>
      </c>
      <c r="Q714" s="22"/>
    </row>
    <row r="715" spans="1:17" ht="15" customHeight="1" x14ac:dyDescent="0.25">
      <c r="A715" s="22" t="s">
        <v>422</v>
      </c>
      <c r="B715" s="22">
        <v>9</v>
      </c>
      <c r="C715" s="22" t="s">
        <v>264</v>
      </c>
      <c r="D715" s="22">
        <v>-90</v>
      </c>
      <c r="E715" s="22" t="s">
        <v>378</v>
      </c>
      <c r="F715" s="22" t="s">
        <v>183</v>
      </c>
      <c r="G715" s="23">
        <v>40640</v>
      </c>
      <c r="H715" s="22">
        <v>37</v>
      </c>
      <c r="I715" s="22">
        <v>14</v>
      </c>
      <c r="J715" s="22">
        <f t="shared" si="66"/>
        <v>193</v>
      </c>
      <c r="K715" s="22">
        <f t="shared" si="67"/>
        <v>31</v>
      </c>
      <c r="L715" s="22">
        <f t="shared" si="68"/>
        <v>162</v>
      </c>
      <c r="M715" s="22">
        <f t="shared" si="69"/>
        <v>304</v>
      </c>
      <c r="N715" s="24">
        <f t="shared" si="70"/>
        <v>0.53289473684210531</v>
      </c>
      <c r="O715" s="24"/>
      <c r="P715" s="24" t="str">
        <f t="shared" si="71"/>
        <v/>
      </c>
      <c r="Q715" s="22"/>
    </row>
    <row r="716" spans="1:17" ht="15" customHeight="1" x14ac:dyDescent="0.25">
      <c r="A716" s="22" t="s">
        <v>422</v>
      </c>
      <c r="B716" s="22">
        <v>10</v>
      </c>
      <c r="C716" s="22" t="s">
        <v>191</v>
      </c>
      <c r="D716" s="22">
        <v>-75</v>
      </c>
      <c r="E716" s="22" t="s">
        <v>378</v>
      </c>
      <c r="F716" s="22" t="s">
        <v>183</v>
      </c>
      <c r="G716" s="23">
        <v>40640</v>
      </c>
      <c r="H716" s="22">
        <v>34</v>
      </c>
      <c r="I716" s="22">
        <v>15</v>
      </c>
      <c r="J716" s="22">
        <f t="shared" si="66"/>
        <v>227</v>
      </c>
      <c r="K716" s="22">
        <f t="shared" si="67"/>
        <v>46</v>
      </c>
      <c r="L716" s="22">
        <f t="shared" si="68"/>
        <v>181</v>
      </c>
      <c r="M716" s="22">
        <f t="shared" si="69"/>
        <v>304</v>
      </c>
      <c r="N716" s="24">
        <f t="shared" si="70"/>
        <v>0.59539473684210531</v>
      </c>
      <c r="O716" s="24"/>
      <c r="P716" s="24" t="str">
        <f t="shared" si="71"/>
        <v/>
      </c>
      <c r="Q716" s="22"/>
    </row>
    <row r="717" spans="1:17" ht="15" customHeight="1" x14ac:dyDescent="0.25">
      <c r="A717" s="22" t="s">
        <v>422</v>
      </c>
      <c r="B717" s="22">
        <v>11</v>
      </c>
      <c r="C717" s="22" t="s">
        <v>231</v>
      </c>
      <c r="D717" s="22">
        <v>-60</v>
      </c>
      <c r="E717" s="22" t="s">
        <v>378</v>
      </c>
      <c r="F717" s="22" t="s">
        <v>183</v>
      </c>
      <c r="G717" s="23">
        <v>40640</v>
      </c>
      <c r="H717" s="22">
        <v>18</v>
      </c>
      <c r="I717" s="22">
        <v>17</v>
      </c>
      <c r="J717" s="22">
        <f t="shared" si="66"/>
        <v>245</v>
      </c>
      <c r="K717" s="22">
        <f t="shared" si="67"/>
        <v>63</v>
      </c>
      <c r="L717" s="22">
        <f t="shared" si="68"/>
        <v>182</v>
      </c>
      <c r="M717" s="22">
        <f t="shared" si="69"/>
        <v>304</v>
      </c>
      <c r="N717" s="24">
        <f t="shared" si="70"/>
        <v>0.59868421052631582</v>
      </c>
      <c r="O717" s="24"/>
      <c r="P717" s="24" t="str">
        <f t="shared" si="71"/>
        <v/>
      </c>
      <c r="Q717" s="22"/>
    </row>
    <row r="718" spans="1:17" ht="15" customHeight="1" x14ac:dyDescent="0.25">
      <c r="A718" s="22" t="s">
        <v>422</v>
      </c>
      <c r="B718" s="22">
        <v>12</v>
      </c>
      <c r="C718" s="22" t="s">
        <v>239</v>
      </c>
      <c r="D718" s="22">
        <v>-45</v>
      </c>
      <c r="E718" s="22" t="s">
        <v>378</v>
      </c>
      <c r="F718" s="22" t="s">
        <v>183</v>
      </c>
      <c r="G718" s="23">
        <v>40640</v>
      </c>
      <c r="H718" s="22">
        <v>13</v>
      </c>
      <c r="I718" s="22">
        <v>17</v>
      </c>
      <c r="J718" s="22">
        <f t="shared" si="66"/>
        <v>258</v>
      </c>
      <c r="K718" s="22">
        <f t="shared" si="67"/>
        <v>80</v>
      </c>
      <c r="L718" s="22">
        <f t="shared" si="68"/>
        <v>178</v>
      </c>
      <c r="M718" s="22">
        <f t="shared" si="69"/>
        <v>304</v>
      </c>
      <c r="N718" s="24">
        <f t="shared" si="70"/>
        <v>0.58552631578947367</v>
      </c>
      <c r="O718" s="24"/>
      <c r="P718" s="24" t="str">
        <f t="shared" si="71"/>
        <v/>
      </c>
      <c r="Q718" s="22"/>
    </row>
    <row r="719" spans="1:17" ht="15" customHeight="1" x14ac:dyDescent="0.25">
      <c r="A719" s="22" t="s">
        <v>422</v>
      </c>
      <c r="B719" s="22">
        <v>13</v>
      </c>
      <c r="C719" s="22" t="s">
        <v>387</v>
      </c>
      <c r="D719" s="22">
        <v>-30</v>
      </c>
      <c r="E719" s="22" t="s">
        <v>378</v>
      </c>
      <c r="F719" s="22" t="s">
        <v>183</v>
      </c>
      <c r="G719" s="23">
        <v>40640</v>
      </c>
      <c r="H719" s="22">
        <v>14</v>
      </c>
      <c r="I719" s="22">
        <v>21</v>
      </c>
      <c r="J719" s="22">
        <f t="shared" si="66"/>
        <v>272</v>
      </c>
      <c r="K719" s="22">
        <f t="shared" si="67"/>
        <v>101</v>
      </c>
      <c r="L719" s="22">
        <f t="shared" si="68"/>
        <v>171</v>
      </c>
      <c r="M719" s="22">
        <f t="shared" si="69"/>
        <v>304</v>
      </c>
      <c r="N719" s="24">
        <f t="shared" si="70"/>
        <v>0.5625</v>
      </c>
      <c r="O719" s="24"/>
      <c r="P719" s="24" t="str">
        <f t="shared" si="71"/>
        <v/>
      </c>
      <c r="Q719" s="22"/>
    </row>
    <row r="720" spans="1:17" ht="15" customHeight="1" x14ac:dyDescent="0.25">
      <c r="A720" s="22" t="s">
        <v>422</v>
      </c>
      <c r="B720" s="22">
        <v>14</v>
      </c>
      <c r="C720" s="22" t="s">
        <v>468</v>
      </c>
      <c r="D720" s="22">
        <v>-15</v>
      </c>
      <c r="E720" s="22" t="s">
        <v>378</v>
      </c>
      <c r="F720" s="22" t="s">
        <v>183</v>
      </c>
      <c r="G720" s="23">
        <v>40640</v>
      </c>
      <c r="H720" s="22">
        <v>11</v>
      </c>
      <c r="I720" s="22">
        <v>24</v>
      </c>
      <c r="J720" s="22">
        <f t="shared" si="66"/>
        <v>283</v>
      </c>
      <c r="K720" s="22">
        <f t="shared" si="67"/>
        <v>125</v>
      </c>
      <c r="L720" s="22">
        <f t="shared" si="68"/>
        <v>158</v>
      </c>
      <c r="M720" s="22">
        <f t="shared" si="69"/>
        <v>304</v>
      </c>
      <c r="N720" s="24">
        <f t="shared" si="70"/>
        <v>0.51973684210526316</v>
      </c>
      <c r="O720" s="24"/>
      <c r="P720" s="24" t="str">
        <f t="shared" si="71"/>
        <v/>
      </c>
      <c r="Q720" s="22"/>
    </row>
    <row r="721" spans="1:17" ht="15" customHeight="1" x14ac:dyDescent="0.25">
      <c r="A721" s="22" t="s">
        <v>422</v>
      </c>
      <c r="B721" s="22">
        <v>15</v>
      </c>
      <c r="C721" s="22" t="s">
        <v>469</v>
      </c>
      <c r="D721" s="22">
        <v>0</v>
      </c>
      <c r="E721" s="22" t="s">
        <v>378</v>
      </c>
      <c r="F721" s="22" t="s">
        <v>183</v>
      </c>
      <c r="G721" s="23">
        <v>40640</v>
      </c>
      <c r="H721" s="22">
        <v>8</v>
      </c>
      <c r="I721" s="22">
        <v>24</v>
      </c>
      <c r="J721" s="22">
        <f t="shared" si="66"/>
        <v>291</v>
      </c>
      <c r="K721" s="22">
        <f t="shared" si="67"/>
        <v>149</v>
      </c>
      <c r="L721" s="22">
        <f t="shared" si="68"/>
        <v>142</v>
      </c>
      <c r="M721" s="22">
        <f t="shared" si="69"/>
        <v>304</v>
      </c>
      <c r="N721" s="24">
        <f t="shared" si="70"/>
        <v>0.46710526315789475</v>
      </c>
      <c r="O721" s="24"/>
      <c r="P721" s="24" t="str">
        <f t="shared" si="71"/>
        <v/>
      </c>
      <c r="Q721" s="22"/>
    </row>
    <row r="722" spans="1:17" ht="15" customHeight="1" x14ac:dyDescent="0.25">
      <c r="A722" s="22" t="s">
        <v>422</v>
      </c>
      <c r="B722" s="22">
        <v>16</v>
      </c>
      <c r="C722" s="22" t="s">
        <v>351</v>
      </c>
      <c r="D722" s="22">
        <v>15</v>
      </c>
      <c r="E722" s="22" t="s">
        <v>378</v>
      </c>
      <c r="F722" s="22" t="s">
        <v>183</v>
      </c>
      <c r="G722" s="23">
        <v>40640</v>
      </c>
      <c r="H722" s="22">
        <v>3</v>
      </c>
      <c r="I722" s="22">
        <v>29</v>
      </c>
      <c r="J722" s="22">
        <f t="shared" si="66"/>
        <v>294</v>
      </c>
      <c r="K722" s="22">
        <f t="shared" si="67"/>
        <v>178</v>
      </c>
      <c r="L722" s="22">
        <f t="shared" si="68"/>
        <v>116</v>
      </c>
      <c r="M722" s="22">
        <f t="shared" si="69"/>
        <v>304</v>
      </c>
      <c r="N722" s="24">
        <f t="shared" si="70"/>
        <v>0.38157894736842107</v>
      </c>
      <c r="O722" s="24"/>
      <c r="P722" s="24" t="str">
        <f t="shared" si="71"/>
        <v/>
      </c>
      <c r="Q722" s="22"/>
    </row>
    <row r="723" spans="1:17" ht="15" customHeight="1" x14ac:dyDescent="0.25">
      <c r="A723" s="22" t="s">
        <v>422</v>
      </c>
      <c r="B723" s="22">
        <v>17</v>
      </c>
      <c r="C723" s="22" t="s">
        <v>311</v>
      </c>
      <c r="D723" s="22">
        <v>30</v>
      </c>
      <c r="E723" s="22" t="s">
        <v>378</v>
      </c>
      <c r="F723" s="22" t="s">
        <v>183</v>
      </c>
      <c r="G723" s="23">
        <v>40640</v>
      </c>
      <c r="H723" s="22">
        <v>7</v>
      </c>
      <c r="I723" s="22">
        <v>25</v>
      </c>
      <c r="J723" s="22">
        <f t="shared" si="66"/>
        <v>301</v>
      </c>
      <c r="K723" s="22">
        <f t="shared" si="67"/>
        <v>203</v>
      </c>
      <c r="L723" s="22">
        <f t="shared" si="68"/>
        <v>98</v>
      </c>
      <c r="M723" s="22">
        <f t="shared" si="69"/>
        <v>304</v>
      </c>
      <c r="N723" s="24">
        <f t="shared" si="70"/>
        <v>0.32236842105263158</v>
      </c>
      <c r="O723" s="24"/>
      <c r="P723" s="24" t="str">
        <f t="shared" si="71"/>
        <v/>
      </c>
      <c r="Q723" s="22"/>
    </row>
    <row r="724" spans="1:17" ht="15" customHeight="1" x14ac:dyDescent="0.25">
      <c r="A724" s="22" t="s">
        <v>422</v>
      </c>
      <c r="B724" s="22">
        <v>18</v>
      </c>
      <c r="C724" s="22" t="s">
        <v>211</v>
      </c>
      <c r="D724" s="22">
        <v>45</v>
      </c>
      <c r="E724" s="22" t="s">
        <v>378</v>
      </c>
      <c r="F724" s="22" t="s">
        <v>183</v>
      </c>
      <c r="G724" s="23">
        <v>40640</v>
      </c>
      <c r="H724" s="22">
        <v>3</v>
      </c>
      <c r="I724" s="22">
        <v>21</v>
      </c>
      <c r="J724" s="22">
        <f t="shared" si="66"/>
        <v>304</v>
      </c>
      <c r="K724" s="22">
        <f t="shared" si="67"/>
        <v>224</v>
      </c>
      <c r="L724" s="22">
        <f t="shared" si="68"/>
        <v>80</v>
      </c>
      <c r="M724" s="22">
        <f t="shared" si="69"/>
        <v>304</v>
      </c>
      <c r="N724" s="24">
        <f t="shared" si="70"/>
        <v>0.26315789473684209</v>
      </c>
      <c r="O724" s="24"/>
      <c r="P724" s="24" t="str">
        <f t="shared" si="71"/>
        <v/>
      </c>
      <c r="Q724" s="22"/>
    </row>
    <row r="725" spans="1:17" ht="15" customHeight="1" x14ac:dyDescent="0.25">
      <c r="A725" s="22" t="s">
        <v>428</v>
      </c>
      <c r="B725" s="22">
        <v>0</v>
      </c>
      <c r="C725" s="22" t="s">
        <v>189</v>
      </c>
      <c r="D725" s="22"/>
      <c r="E725" s="22" t="s">
        <v>378</v>
      </c>
      <c r="F725" s="22" t="s">
        <v>183</v>
      </c>
      <c r="G725" s="23">
        <v>40653</v>
      </c>
      <c r="H725" s="22">
        <v>1</v>
      </c>
      <c r="I725" s="22">
        <v>0</v>
      </c>
      <c r="J725" s="22">
        <f t="shared" si="66"/>
        <v>1</v>
      </c>
      <c r="K725" s="22">
        <f t="shared" si="67"/>
        <v>0</v>
      </c>
      <c r="L725" s="22">
        <f t="shared" si="68"/>
        <v>1</v>
      </c>
      <c r="M725" s="22">
        <f t="shared" si="69"/>
        <v>393</v>
      </c>
      <c r="N725" s="24">
        <f t="shared" si="70"/>
        <v>2.5445292620865142E-3</v>
      </c>
      <c r="O725" s="24"/>
      <c r="P725" s="24" t="str">
        <f t="shared" si="71"/>
        <v/>
      </c>
      <c r="Q725" s="22"/>
    </row>
    <row r="726" spans="1:17" ht="15" customHeight="1" x14ac:dyDescent="0.25">
      <c r="A726" s="22" t="s">
        <v>428</v>
      </c>
      <c r="B726" s="22">
        <v>1</v>
      </c>
      <c r="C726" s="22" t="s">
        <v>471</v>
      </c>
      <c r="D726" s="22">
        <v>-210</v>
      </c>
      <c r="E726" s="22" t="s">
        <v>378</v>
      </c>
      <c r="F726" s="22" t="s">
        <v>183</v>
      </c>
      <c r="G726" s="23">
        <v>40653</v>
      </c>
      <c r="H726" s="22">
        <v>2</v>
      </c>
      <c r="I726" s="22">
        <v>0</v>
      </c>
      <c r="J726" s="22">
        <f t="shared" si="66"/>
        <v>3</v>
      </c>
      <c r="K726" s="22">
        <f t="shared" si="67"/>
        <v>0</v>
      </c>
      <c r="L726" s="22">
        <f t="shared" si="68"/>
        <v>3</v>
      </c>
      <c r="M726" s="22">
        <f t="shared" si="69"/>
        <v>393</v>
      </c>
      <c r="N726" s="24">
        <f t="shared" si="70"/>
        <v>7.6335877862595417E-3</v>
      </c>
      <c r="O726" s="24"/>
      <c r="P726" s="24" t="str">
        <f t="shared" si="71"/>
        <v/>
      </c>
      <c r="Q726" s="22"/>
    </row>
    <row r="727" spans="1:17" ht="15" customHeight="1" x14ac:dyDescent="0.25">
      <c r="A727" s="22" t="s">
        <v>428</v>
      </c>
      <c r="B727" s="22">
        <v>2</v>
      </c>
      <c r="C727" s="22" t="s">
        <v>325</v>
      </c>
      <c r="D727" s="22">
        <v>-195</v>
      </c>
      <c r="E727" s="22" t="s">
        <v>378</v>
      </c>
      <c r="F727" s="22" t="s">
        <v>183</v>
      </c>
      <c r="G727" s="23">
        <v>40653</v>
      </c>
      <c r="H727" s="22">
        <v>2</v>
      </c>
      <c r="I727" s="22">
        <v>0</v>
      </c>
      <c r="J727" s="22">
        <f t="shared" si="66"/>
        <v>5</v>
      </c>
      <c r="K727" s="22">
        <f t="shared" si="67"/>
        <v>0</v>
      </c>
      <c r="L727" s="22">
        <f t="shared" si="68"/>
        <v>5</v>
      </c>
      <c r="M727" s="22">
        <f t="shared" si="69"/>
        <v>393</v>
      </c>
      <c r="N727" s="24">
        <f t="shared" si="70"/>
        <v>1.2722646310432569E-2</v>
      </c>
      <c r="O727" s="24"/>
      <c r="P727" s="24" t="str">
        <f t="shared" si="71"/>
        <v/>
      </c>
      <c r="Q727" s="22"/>
    </row>
    <row r="728" spans="1:17" ht="15" customHeight="1" x14ac:dyDescent="0.25">
      <c r="A728" s="22" t="s">
        <v>428</v>
      </c>
      <c r="B728" s="22">
        <v>3</v>
      </c>
      <c r="C728" s="22" t="s">
        <v>464</v>
      </c>
      <c r="D728" s="22">
        <v>-180</v>
      </c>
      <c r="E728" s="22" t="s">
        <v>378</v>
      </c>
      <c r="F728" s="22" t="s">
        <v>183</v>
      </c>
      <c r="G728" s="23">
        <v>40653</v>
      </c>
      <c r="H728" s="22">
        <v>10</v>
      </c>
      <c r="I728" s="22">
        <v>0</v>
      </c>
      <c r="J728" s="22">
        <f t="shared" si="66"/>
        <v>15</v>
      </c>
      <c r="K728" s="22">
        <f t="shared" si="67"/>
        <v>0</v>
      </c>
      <c r="L728" s="22">
        <f t="shared" si="68"/>
        <v>15</v>
      </c>
      <c r="M728" s="22">
        <f t="shared" si="69"/>
        <v>393</v>
      </c>
      <c r="N728" s="24">
        <f t="shared" si="70"/>
        <v>3.8167938931297711E-2</v>
      </c>
      <c r="O728" s="24"/>
      <c r="P728" s="24" t="str">
        <f t="shared" si="71"/>
        <v/>
      </c>
      <c r="Q728" s="22"/>
    </row>
    <row r="729" spans="1:17" ht="15" customHeight="1" x14ac:dyDescent="0.25">
      <c r="A729" s="22" t="s">
        <v>428</v>
      </c>
      <c r="B729" s="22">
        <v>4</v>
      </c>
      <c r="C729" s="22" t="s">
        <v>465</v>
      </c>
      <c r="D729" s="22">
        <v>-165</v>
      </c>
      <c r="E729" s="22" t="s">
        <v>378</v>
      </c>
      <c r="F729" s="22" t="s">
        <v>183</v>
      </c>
      <c r="G729" s="23">
        <v>40653</v>
      </c>
      <c r="H729" s="22">
        <v>15</v>
      </c>
      <c r="I729" s="22">
        <v>1</v>
      </c>
      <c r="J729" s="22">
        <f t="shared" si="66"/>
        <v>30</v>
      </c>
      <c r="K729" s="22">
        <f t="shared" si="67"/>
        <v>1</v>
      </c>
      <c r="L729" s="22">
        <f t="shared" si="68"/>
        <v>29</v>
      </c>
      <c r="M729" s="22">
        <f t="shared" si="69"/>
        <v>393</v>
      </c>
      <c r="N729" s="24">
        <f t="shared" si="70"/>
        <v>7.3791348600508899E-2</v>
      </c>
      <c r="O729" s="24"/>
      <c r="P729" s="24" t="str">
        <f t="shared" si="71"/>
        <v/>
      </c>
      <c r="Q729" s="22"/>
    </row>
    <row r="730" spans="1:17" ht="15" customHeight="1" x14ac:dyDescent="0.25">
      <c r="A730" s="22" t="s">
        <v>428</v>
      </c>
      <c r="B730" s="22">
        <v>5</v>
      </c>
      <c r="C730" s="22" t="s">
        <v>466</v>
      </c>
      <c r="D730" s="22">
        <v>-150</v>
      </c>
      <c r="E730" s="22" t="s">
        <v>378</v>
      </c>
      <c r="F730" s="22" t="s">
        <v>183</v>
      </c>
      <c r="G730" s="23">
        <v>40653</v>
      </c>
      <c r="H730" s="22">
        <v>25</v>
      </c>
      <c r="I730" s="22">
        <v>2</v>
      </c>
      <c r="J730" s="22">
        <f t="shared" si="66"/>
        <v>55</v>
      </c>
      <c r="K730" s="22">
        <f t="shared" si="67"/>
        <v>3</v>
      </c>
      <c r="L730" s="22">
        <f t="shared" si="68"/>
        <v>52</v>
      </c>
      <c r="M730" s="22">
        <f t="shared" si="69"/>
        <v>393</v>
      </c>
      <c r="N730" s="24">
        <f t="shared" si="70"/>
        <v>0.13231552162849872</v>
      </c>
      <c r="O730" s="24"/>
      <c r="P730" s="24" t="str">
        <f t="shared" si="71"/>
        <v/>
      </c>
      <c r="Q730" s="22"/>
    </row>
    <row r="731" spans="1:17" ht="15" customHeight="1" x14ac:dyDescent="0.25">
      <c r="A731" s="22" t="s">
        <v>428</v>
      </c>
      <c r="B731" s="22">
        <v>6</v>
      </c>
      <c r="C731" s="22" t="s">
        <v>467</v>
      </c>
      <c r="D731" s="22">
        <v>-135</v>
      </c>
      <c r="E731" s="22" t="s">
        <v>378</v>
      </c>
      <c r="F731" s="22" t="s">
        <v>183</v>
      </c>
      <c r="G731" s="23">
        <v>40653</v>
      </c>
      <c r="H731" s="22">
        <v>38</v>
      </c>
      <c r="I731" s="22">
        <v>13</v>
      </c>
      <c r="J731" s="22">
        <f t="shared" si="66"/>
        <v>93</v>
      </c>
      <c r="K731" s="22">
        <f t="shared" si="67"/>
        <v>16</v>
      </c>
      <c r="L731" s="22">
        <f t="shared" si="68"/>
        <v>77</v>
      </c>
      <c r="M731" s="22">
        <f t="shared" si="69"/>
        <v>393</v>
      </c>
      <c r="N731" s="24">
        <f t="shared" si="70"/>
        <v>0.19592875318066158</v>
      </c>
      <c r="O731" s="24"/>
      <c r="P731" s="24" t="str">
        <f t="shared" si="71"/>
        <v/>
      </c>
      <c r="Q731" s="22"/>
    </row>
    <row r="732" spans="1:17" ht="15" customHeight="1" x14ac:dyDescent="0.25">
      <c r="A732" s="22" t="s">
        <v>428</v>
      </c>
      <c r="B732" s="22">
        <v>7</v>
      </c>
      <c r="C732" s="22" t="s">
        <v>212</v>
      </c>
      <c r="D732" s="22">
        <v>-120</v>
      </c>
      <c r="E732" s="22" t="s">
        <v>378</v>
      </c>
      <c r="F732" s="22" t="s">
        <v>183</v>
      </c>
      <c r="G732" s="23">
        <v>40653</v>
      </c>
      <c r="H732" s="22">
        <v>39</v>
      </c>
      <c r="I732" s="22">
        <v>7</v>
      </c>
      <c r="J732" s="22">
        <f t="shared" si="66"/>
        <v>132</v>
      </c>
      <c r="K732" s="22">
        <f t="shared" si="67"/>
        <v>23</v>
      </c>
      <c r="L732" s="22">
        <f t="shared" si="68"/>
        <v>109</v>
      </c>
      <c r="M732" s="22">
        <f t="shared" si="69"/>
        <v>393</v>
      </c>
      <c r="N732" s="24">
        <f t="shared" si="70"/>
        <v>0.27735368956743001</v>
      </c>
      <c r="O732" s="24"/>
      <c r="P732" s="24" t="str">
        <f t="shared" si="71"/>
        <v/>
      </c>
      <c r="Q732" s="22"/>
    </row>
    <row r="733" spans="1:17" ht="15" customHeight="1" x14ac:dyDescent="0.25">
      <c r="A733" s="22" t="s">
        <v>428</v>
      </c>
      <c r="B733" s="22">
        <v>8</v>
      </c>
      <c r="C733" s="22" t="s">
        <v>226</v>
      </c>
      <c r="D733" s="22">
        <v>-105</v>
      </c>
      <c r="E733" s="22" t="s">
        <v>378</v>
      </c>
      <c r="F733" s="22" t="s">
        <v>183</v>
      </c>
      <c r="G733" s="23">
        <v>40653</v>
      </c>
      <c r="H733" s="22">
        <v>58</v>
      </c>
      <c r="I733" s="22">
        <v>24</v>
      </c>
      <c r="J733" s="22">
        <f t="shared" si="66"/>
        <v>190</v>
      </c>
      <c r="K733" s="22">
        <f t="shared" si="67"/>
        <v>47</v>
      </c>
      <c r="L733" s="22">
        <f t="shared" si="68"/>
        <v>143</v>
      </c>
      <c r="M733" s="22">
        <f t="shared" si="69"/>
        <v>393</v>
      </c>
      <c r="N733" s="24">
        <f t="shared" si="70"/>
        <v>0.36386768447837148</v>
      </c>
      <c r="O733" s="24"/>
      <c r="P733" s="24" t="str">
        <f t="shared" si="71"/>
        <v/>
      </c>
      <c r="Q733" s="22"/>
    </row>
    <row r="734" spans="1:17" ht="15" customHeight="1" x14ac:dyDescent="0.25">
      <c r="A734" s="22" t="s">
        <v>428</v>
      </c>
      <c r="B734" s="22">
        <v>9</v>
      </c>
      <c r="C734" s="22" t="s">
        <v>264</v>
      </c>
      <c r="D734" s="22">
        <v>-90</v>
      </c>
      <c r="E734" s="22" t="s">
        <v>378</v>
      </c>
      <c r="F734" s="22" t="s">
        <v>183</v>
      </c>
      <c r="G734" s="23">
        <v>40653</v>
      </c>
      <c r="H734" s="22">
        <v>50</v>
      </c>
      <c r="I734" s="22">
        <v>35</v>
      </c>
      <c r="J734" s="22">
        <f t="shared" si="66"/>
        <v>240</v>
      </c>
      <c r="K734" s="22">
        <f t="shared" si="67"/>
        <v>82</v>
      </c>
      <c r="L734" s="22">
        <f t="shared" si="68"/>
        <v>158</v>
      </c>
      <c r="M734" s="22">
        <f t="shared" si="69"/>
        <v>393</v>
      </c>
      <c r="N734" s="24">
        <f t="shared" si="70"/>
        <v>0.4020356234096692</v>
      </c>
      <c r="O734" s="24"/>
      <c r="P734" s="24" t="str">
        <f t="shared" si="71"/>
        <v/>
      </c>
      <c r="Q734" s="22"/>
    </row>
    <row r="735" spans="1:17" ht="15" customHeight="1" x14ac:dyDescent="0.25">
      <c r="A735" s="22" t="s">
        <v>428</v>
      </c>
      <c r="B735" s="22">
        <v>10</v>
      </c>
      <c r="C735" s="22" t="s">
        <v>191</v>
      </c>
      <c r="D735" s="22">
        <v>-75</v>
      </c>
      <c r="E735" s="22" t="s">
        <v>378</v>
      </c>
      <c r="F735" s="22" t="s">
        <v>183</v>
      </c>
      <c r="G735" s="23">
        <v>40653</v>
      </c>
      <c r="H735" s="22">
        <v>40</v>
      </c>
      <c r="I735" s="22">
        <v>32</v>
      </c>
      <c r="J735" s="22">
        <f t="shared" si="66"/>
        <v>280</v>
      </c>
      <c r="K735" s="22">
        <f t="shared" si="67"/>
        <v>114</v>
      </c>
      <c r="L735" s="22">
        <f t="shared" si="68"/>
        <v>166</v>
      </c>
      <c r="M735" s="22">
        <f t="shared" si="69"/>
        <v>393</v>
      </c>
      <c r="N735" s="24">
        <f t="shared" si="70"/>
        <v>0.42239185750636132</v>
      </c>
      <c r="O735" s="24"/>
      <c r="P735" s="24" t="str">
        <f t="shared" si="71"/>
        <v/>
      </c>
      <c r="Q735" s="22"/>
    </row>
    <row r="736" spans="1:17" ht="15" customHeight="1" x14ac:dyDescent="0.25">
      <c r="A736" s="22" t="s">
        <v>428</v>
      </c>
      <c r="B736" s="22">
        <v>11</v>
      </c>
      <c r="C736" s="22" t="s">
        <v>231</v>
      </c>
      <c r="D736" s="22">
        <v>-60</v>
      </c>
      <c r="E736" s="22" t="s">
        <v>378</v>
      </c>
      <c r="F736" s="22" t="s">
        <v>183</v>
      </c>
      <c r="G736" s="23">
        <v>40653</v>
      </c>
      <c r="H736" s="22">
        <v>45</v>
      </c>
      <c r="I736" s="22">
        <v>41</v>
      </c>
      <c r="J736" s="22">
        <f t="shared" si="66"/>
        <v>325</v>
      </c>
      <c r="K736" s="22">
        <f t="shared" si="67"/>
        <v>155</v>
      </c>
      <c r="L736" s="22">
        <f t="shared" si="68"/>
        <v>170</v>
      </c>
      <c r="M736" s="22">
        <f t="shared" si="69"/>
        <v>393</v>
      </c>
      <c r="N736" s="24">
        <f t="shared" si="70"/>
        <v>0.43256997455470736</v>
      </c>
      <c r="O736" s="24"/>
      <c r="P736" s="24" t="str">
        <f t="shared" si="71"/>
        <v/>
      </c>
      <c r="Q736" s="22"/>
    </row>
    <row r="737" spans="1:17" ht="15" customHeight="1" x14ac:dyDescent="0.25">
      <c r="A737" s="22" t="s">
        <v>428</v>
      </c>
      <c r="B737" s="22">
        <v>12</v>
      </c>
      <c r="C737" s="22" t="s">
        <v>239</v>
      </c>
      <c r="D737" s="22">
        <v>-45</v>
      </c>
      <c r="E737" s="22" t="s">
        <v>378</v>
      </c>
      <c r="F737" s="22" t="s">
        <v>183</v>
      </c>
      <c r="G737" s="23">
        <v>40653</v>
      </c>
      <c r="H737" s="22">
        <v>24</v>
      </c>
      <c r="I737" s="22">
        <v>44</v>
      </c>
      <c r="J737" s="22">
        <f t="shared" si="66"/>
        <v>349</v>
      </c>
      <c r="K737" s="22">
        <f t="shared" si="67"/>
        <v>199</v>
      </c>
      <c r="L737" s="22">
        <f t="shared" si="68"/>
        <v>150</v>
      </c>
      <c r="M737" s="22">
        <f t="shared" si="69"/>
        <v>393</v>
      </c>
      <c r="N737" s="24">
        <f t="shared" si="70"/>
        <v>0.38167938931297712</v>
      </c>
      <c r="O737" s="24"/>
      <c r="P737" s="24" t="str">
        <f t="shared" si="71"/>
        <v/>
      </c>
      <c r="Q737" s="22"/>
    </row>
    <row r="738" spans="1:17" ht="15" customHeight="1" x14ac:dyDescent="0.25">
      <c r="A738" s="22" t="s">
        <v>428</v>
      </c>
      <c r="B738" s="22">
        <v>13</v>
      </c>
      <c r="C738" s="22" t="s">
        <v>387</v>
      </c>
      <c r="D738" s="22">
        <v>-30</v>
      </c>
      <c r="E738" s="22" t="s">
        <v>378</v>
      </c>
      <c r="F738" s="22" t="s">
        <v>183</v>
      </c>
      <c r="G738" s="23">
        <v>40653</v>
      </c>
      <c r="H738" s="22">
        <v>18</v>
      </c>
      <c r="I738" s="22">
        <v>46</v>
      </c>
      <c r="J738" s="22">
        <f t="shared" si="66"/>
        <v>367</v>
      </c>
      <c r="K738" s="22">
        <f t="shared" si="67"/>
        <v>245</v>
      </c>
      <c r="L738" s="22">
        <f t="shared" si="68"/>
        <v>122</v>
      </c>
      <c r="M738" s="22">
        <f t="shared" si="69"/>
        <v>393</v>
      </c>
      <c r="N738" s="24">
        <f t="shared" si="70"/>
        <v>0.31043256997455471</v>
      </c>
      <c r="O738" s="24"/>
      <c r="P738" s="24" t="str">
        <f t="shared" si="71"/>
        <v/>
      </c>
      <c r="Q738" s="22"/>
    </row>
    <row r="739" spans="1:17" ht="15" customHeight="1" x14ac:dyDescent="0.25">
      <c r="A739" s="22" t="s">
        <v>428</v>
      </c>
      <c r="B739" s="22">
        <v>14</v>
      </c>
      <c r="C739" s="22" t="s">
        <v>468</v>
      </c>
      <c r="D739" s="22">
        <v>-15</v>
      </c>
      <c r="E739" s="22" t="s">
        <v>378</v>
      </c>
      <c r="F739" s="22" t="s">
        <v>183</v>
      </c>
      <c r="G739" s="23">
        <v>40653</v>
      </c>
      <c r="H739" s="22">
        <v>10</v>
      </c>
      <c r="I739" s="22">
        <v>40</v>
      </c>
      <c r="J739" s="22">
        <f t="shared" si="66"/>
        <v>377</v>
      </c>
      <c r="K739" s="22">
        <f t="shared" si="67"/>
        <v>285</v>
      </c>
      <c r="L739" s="22">
        <f t="shared" si="68"/>
        <v>92</v>
      </c>
      <c r="M739" s="22">
        <f t="shared" si="69"/>
        <v>393</v>
      </c>
      <c r="N739" s="24">
        <f t="shared" si="70"/>
        <v>0.2340966921119593</v>
      </c>
      <c r="O739" s="24"/>
      <c r="P739" s="24" t="str">
        <f t="shared" si="71"/>
        <v/>
      </c>
      <c r="Q739" s="22"/>
    </row>
    <row r="740" spans="1:17" ht="15" customHeight="1" x14ac:dyDescent="0.25">
      <c r="A740" s="22" t="s">
        <v>428</v>
      </c>
      <c r="B740" s="22">
        <v>15</v>
      </c>
      <c r="C740" s="22" t="s">
        <v>469</v>
      </c>
      <c r="D740" s="22">
        <v>0</v>
      </c>
      <c r="E740" s="22" t="s">
        <v>378</v>
      </c>
      <c r="F740" s="22" t="s">
        <v>183</v>
      </c>
      <c r="G740" s="23">
        <v>40653</v>
      </c>
      <c r="H740" s="22">
        <v>8</v>
      </c>
      <c r="I740" s="22">
        <v>36</v>
      </c>
      <c r="J740" s="22">
        <f t="shared" si="66"/>
        <v>385</v>
      </c>
      <c r="K740" s="22">
        <f t="shared" si="67"/>
        <v>321</v>
      </c>
      <c r="L740" s="22">
        <f t="shared" si="68"/>
        <v>64</v>
      </c>
      <c r="M740" s="22">
        <f t="shared" si="69"/>
        <v>393</v>
      </c>
      <c r="N740" s="24">
        <f t="shared" si="70"/>
        <v>0.16284987277353691</v>
      </c>
      <c r="O740" s="24"/>
      <c r="P740" s="24" t="str">
        <f t="shared" si="71"/>
        <v/>
      </c>
      <c r="Q740" s="22"/>
    </row>
    <row r="741" spans="1:17" ht="15" customHeight="1" x14ac:dyDescent="0.25">
      <c r="A741" s="22" t="s">
        <v>428</v>
      </c>
      <c r="B741" s="22">
        <v>16</v>
      </c>
      <c r="C741" s="22" t="s">
        <v>351</v>
      </c>
      <c r="D741" s="22">
        <v>15</v>
      </c>
      <c r="E741" s="22" t="s">
        <v>378</v>
      </c>
      <c r="F741" s="22" t="s">
        <v>183</v>
      </c>
      <c r="G741" s="23">
        <v>40653</v>
      </c>
      <c r="H741" s="22">
        <v>5</v>
      </c>
      <c r="I741" s="22">
        <v>26</v>
      </c>
      <c r="J741" s="22">
        <f t="shared" si="66"/>
        <v>390</v>
      </c>
      <c r="K741" s="22">
        <f t="shared" si="67"/>
        <v>347</v>
      </c>
      <c r="L741" s="22">
        <f t="shared" si="68"/>
        <v>43</v>
      </c>
      <c r="M741" s="22">
        <f t="shared" si="69"/>
        <v>393</v>
      </c>
      <c r="N741" s="24">
        <f t="shared" si="70"/>
        <v>0.10941475826972011</v>
      </c>
      <c r="O741" s="24"/>
      <c r="P741" s="24" t="str">
        <f t="shared" si="71"/>
        <v/>
      </c>
      <c r="Q741" s="22"/>
    </row>
    <row r="742" spans="1:17" ht="15" customHeight="1" x14ac:dyDescent="0.25">
      <c r="A742" s="22" t="s">
        <v>428</v>
      </c>
      <c r="B742" s="22">
        <v>17</v>
      </c>
      <c r="C742" s="22" t="s">
        <v>311</v>
      </c>
      <c r="D742" s="22">
        <v>30</v>
      </c>
      <c r="E742" s="22" t="s">
        <v>378</v>
      </c>
      <c r="F742" s="22" t="s">
        <v>183</v>
      </c>
      <c r="G742" s="23">
        <v>40653</v>
      </c>
      <c r="H742" s="22">
        <v>2</v>
      </c>
      <c r="I742" s="22">
        <v>14</v>
      </c>
      <c r="J742" s="22">
        <f t="shared" si="66"/>
        <v>392</v>
      </c>
      <c r="K742" s="22">
        <f t="shared" si="67"/>
        <v>361</v>
      </c>
      <c r="L742" s="22">
        <f t="shared" si="68"/>
        <v>31</v>
      </c>
      <c r="M742" s="22">
        <f t="shared" si="69"/>
        <v>393</v>
      </c>
      <c r="N742" s="24">
        <f t="shared" si="70"/>
        <v>7.8880407124681931E-2</v>
      </c>
      <c r="O742" s="24"/>
      <c r="P742" s="24" t="str">
        <f t="shared" si="71"/>
        <v/>
      </c>
      <c r="Q742" s="22"/>
    </row>
    <row r="743" spans="1:17" ht="15" customHeight="1" x14ac:dyDescent="0.25">
      <c r="A743" s="22" t="s">
        <v>428</v>
      </c>
      <c r="B743" s="22">
        <v>18</v>
      </c>
      <c r="C743" s="22" t="s">
        <v>211</v>
      </c>
      <c r="D743" s="22">
        <v>45</v>
      </c>
      <c r="E743" s="22" t="s">
        <v>378</v>
      </c>
      <c r="F743" s="22" t="s">
        <v>183</v>
      </c>
      <c r="G743" s="23">
        <v>40653</v>
      </c>
      <c r="H743" s="22">
        <v>1</v>
      </c>
      <c r="I743" s="22">
        <v>17</v>
      </c>
      <c r="J743" s="22">
        <f t="shared" si="66"/>
        <v>393</v>
      </c>
      <c r="K743" s="22">
        <f t="shared" si="67"/>
        <v>378</v>
      </c>
      <c r="L743" s="22">
        <f t="shared" si="68"/>
        <v>15</v>
      </c>
      <c r="M743" s="22">
        <f t="shared" si="69"/>
        <v>393</v>
      </c>
      <c r="N743" s="24">
        <f t="shared" si="70"/>
        <v>3.8167938931297711E-2</v>
      </c>
      <c r="O743" s="24"/>
      <c r="P743" s="24" t="str">
        <f t="shared" si="71"/>
        <v/>
      </c>
      <c r="Q743" s="22"/>
    </row>
  </sheetData>
  <autoFilter ref="A1:Q743"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6"/>
  <sheetViews>
    <sheetView zoomScaleNormal="100" workbookViewId="0">
      <pane xSplit="3" ySplit="3" topLeftCell="D4" activePane="bottomRight" state="frozen"/>
      <selection pane="topRight" activeCell="D1" sqref="D1"/>
      <selection pane="bottomLeft" activeCell="A4" sqref="A4"/>
      <selection pane="bottomRight"/>
    </sheetView>
  </sheetViews>
  <sheetFormatPr defaultColWidth="8.7109375" defaultRowHeight="15" x14ac:dyDescent="0.25"/>
  <cols>
    <col min="1" max="1" width="9" customWidth="1"/>
    <col min="2" max="2" width="14" customWidth="1"/>
    <col min="3" max="3" width="12" customWidth="1"/>
    <col min="4" max="47" width="22" customWidth="1"/>
  </cols>
  <sheetData>
    <row r="1" spans="1:47" ht="30" customHeight="1" x14ac:dyDescent="0.25">
      <c r="D1" s="26" t="s">
        <v>180</v>
      </c>
      <c r="E1" s="27" t="s">
        <v>180</v>
      </c>
      <c r="F1" s="26" t="s">
        <v>180</v>
      </c>
      <c r="G1" s="27" t="s">
        <v>180</v>
      </c>
      <c r="H1" s="27" t="s">
        <v>180</v>
      </c>
      <c r="I1" s="27" t="s">
        <v>180</v>
      </c>
      <c r="J1" s="27" t="s">
        <v>180</v>
      </c>
      <c r="K1" s="27" t="s">
        <v>180</v>
      </c>
      <c r="L1" s="26" t="s">
        <v>247</v>
      </c>
      <c r="M1" s="27" t="s">
        <v>247</v>
      </c>
      <c r="N1" s="26" t="s">
        <v>247</v>
      </c>
      <c r="O1" s="27" t="s">
        <v>247</v>
      </c>
      <c r="P1" s="26" t="s">
        <v>247</v>
      </c>
      <c r="Q1" s="27" t="s">
        <v>247</v>
      </c>
      <c r="R1" s="27" t="s">
        <v>247</v>
      </c>
      <c r="S1" s="27" t="s">
        <v>247</v>
      </c>
      <c r="T1" s="27" t="s">
        <v>247</v>
      </c>
      <c r="U1" s="27" t="s">
        <v>298</v>
      </c>
      <c r="V1" s="26" t="s">
        <v>298</v>
      </c>
      <c r="W1" s="26" t="s">
        <v>298</v>
      </c>
      <c r="X1" s="26" t="s">
        <v>298</v>
      </c>
      <c r="Y1" s="26" t="s">
        <v>298</v>
      </c>
      <c r="Z1" s="27" t="s">
        <v>298</v>
      </c>
      <c r="AA1" s="26" t="s">
        <v>298</v>
      </c>
      <c r="AB1" s="27" t="s">
        <v>298</v>
      </c>
      <c r="AC1" s="26" t="s">
        <v>298</v>
      </c>
      <c r="AD1" s="27" t="s">
        <v>298</v>
      </c>
      <c r="AE1" s="27" t="s">
        <v>298</v>
      </c>
      <c r="AF1" s="27" t="s">
        <v>298</v>
      </c>
      <c r="AG1" s="27" t="s">
        <v>298</v>
      </c>
      <c r="AH1" s="27" t="s">
        <v>298</v>
      </c>
      <c r="AI1" s="27" t="s">
        <v>378</v>
      </c>
      <c r="AJ1" s="26" t="s">
        <v>378</v>
      </c>
      <c r="AK1" s="26" t="s">
        <v>378</v>
      </c>
      <c r="AL1" s="26" t="s">
        <v>378</v>
      </c>
      <c r="AM1" s="26" t="s">
        <v>378</v>
      </c>
      <c r="AN1" s="26" t="s">
        <v>378</v>
      </c>
      <c r="AO1" s="26" t="s">
        <v>378</v>
      </c>
      <c r="AP1" s="27" t="s">
        <v>378</v>
      </c>
      <c r="AQ1" s="27" t="s">
        <v>378</v>
      </c>
      <c r="AR1" s="27" t="s">
        <v>378</v>
      </c>
      <c r="AS1" s="27" t="s">
        <v>378</v>
      </c>
      <c r="AT1" s="27" t="s">
        <v>378</v>
      </c>
      <c r="AU1" s="27" t="s">
        <v>378</v>
      </c>
    </row>
    <row r="2" spans="1:47" ht="15" customHeight="1" x14ac:dyDescent="0.25">
      <c r="D2" s="26" t="s">
        <v>473</v>
      </c>
      <c r="E2" s="28" t="s">
        <v>474</v>
      </c>
      <c r="F2" s="26" t="s">
        <v>475</v>
      </c>
      <c r="G2" s="28" t="s">
        <v>476</v>
      </c>
      <c r="H2" s="28" t="s">
        <v>477</v>
      </c>
      <c r="I2" s="28" t="s">
        <v>478</v>
      </c>
      <c r="J2" s="28" t="s">
        <v>479</v>
      </c>
      <c r="K2" s="28" t="s">
        <v>480</v>
      </c>
      <c r="L2" s="26" t="s">
        <v>481</v>
      </c>
      <c r="M2" s="28" t="s">
        <v>482</v>
      </c>
      <c r="N2" s="26" t="s">
        <v>483</v>
      </c>
      <c r="O2" s="28" t="s">
        <v>484</v>
      </c>
      <c r="P2" s="26" t="s">
        <v>473</v>
      </c>
      <c r="Q2" s="28" t="s">
        <v>474</v>
      </c>
      <c r="R2" s="28" t="s">
        <v>485</v>
      </c>
      <c r="S2" s="28" t="s">
        <v>486</v>
      </c>
      <c r="T2" s="28" t="s">
        <v>487</v>
      </c>
      <c r="U2" s="28" t="s">
        <v>488</v>
      </c>
      <c r="V2" s="26" t="s">
        <v>489</v>
      </c>
      <c r="W2" s="26" t="s">
        <v>489</v>
      </c>
      <c r="X2" s="26" t="s">
        <v>489</v>
      </c>
      <c r="Y2" s="26" t="s">
        <v>490</v>
      </c>
      <c r="Z2" s="28" t="s">
        <v>491</v>
      </c>
      <c r="AA2" s="26" t="s">
        <v>492</v>
      </c>
      <c r="AB2" s="28" t="s">
        <v>493</v>
      </c>
      <c r="AC2" s="26" t="s">
        <v>475</v>
      </c>
      <c r="AD2" s="28" t="s">
        <v>476</v>
      </c>
      <c r="AE2" s="28" t="s">
        <v>494</v>
      </c>
      <c r="AF2" s="28" t="s">
        <v>495</v>
      </c>
      <c r="AG2" s="28" t="s">
        <v>496</v>
      </c>
      <c r="AH2" s="28" t="s">
        <v>497</v>
      </c>
      <c r="AI2" s="28" t="s">
        <v>498</v>
      </c>
      <c r="AJ2" s="26" t="s">
        <v>499</v>
      </c>
      <c r="AK2" s="26" t="s">
        <v>499</v>
      </c>
      <c r="AL2" s="26" t="s">
        <v>499</v>
      </c>
      <c r="AM2" s="26" t="s">
        <v>499</v>
      </c>
      <c r="AN2" s="26" t="s">
        <v>499</v>
      </c>
      <c r="AO2" s="26" t="s">
        <v>500</v>
      </c>
      <c r="AP2" s="28" t="s">
        <v>501</v>
      </c>
      <c r="AQ2" s="28" t="s">
        <v>502</v>
      </c>
      <c r="AR2" s="28" t="s">
        <v>503</v>
      </c>
      <c r="AS2" s="28" t="s">
        <v>504</v>
      </c>
      <c r="AT2" s="28" t="s">
        <v>505</v>
      </c>
      <c r="AU2" s="28" t="s">
        <v>506</v>
      </c>
    </row>
    <row r="3" spans="1:47" ht="23.25" customHeight="1" x14ac:dyDescent="0.25">
      <c r="A3" s="5" t="s">
        <v>452</v>
      </c>
      <c r="B3" s="5" t="s">
        <v>453</v>
      </c>
      <c r="C3" s="5" t="s">
        <v>454</v>
      </c>
      <c r="D3" s="29" t="s">
        <v>179</v>
      </c>
      <c r="E3" s="29" t="s">
        <v>196</v>
      </c>
      <c r="F3" s="29" t="s">
        <v>203</v>
      </c>
      <c r="G3" s="29" t="s">
        <v>215</v>
      </c>
      <c r="H3" s="29" t="s">
        <v>220</v>
      </c>
      <c r="I3" s="29" t="s">
        <v>228</v>
      </c>
      <c r="J3" s="29" t="s">
        <v>233</v>
      </c>
      <c r="K3" s="29" t="s">
        <v>241</v>
      </c>
      <c r="L3" s="29" t="s">
        <v>246</v>
      </c>
      <c r="M3" s="29" t="s">
        <v>256</v>
      </c>
      <c r="N3" s="29" t="s">
        <v>261</v>
      </c>
      <c r="O3" s="29" t="s">
        <v>267</v>
      </c>
      <c r="P3" s="29" t="s">
        <v>271</v>
      </c>
      <c r="Q3" s="29" t="s">
        <v>275</v>
      </c>
      <c r="R3" s="29" t="s">
        <v>279</v>
      </c>
      <c r="S3" s="29" t="s">
        <v>285</v>
      </c>
      <c r="T3" s="29" t="s">
        <v>291</v>
      </c>
      <c r="U3" s="29" t="s">
        <v>297</v>
      </c>
      <c r="V3" s="29" t="s">
        <v>308</v>
      </c>
      <c r="W3" s="29" t="s">
        <v>316</v>
      </c>
      <c r="X3" s="29" t="s">
        <v>318</v>
      </c>
      <c r="Y3" s="29" t="s">
        <v>320</v>
      </c>
      <c r="Z3" s="29" t="s">
        <v>330</v>
      </c>
      <c r="AA3" s="29" t="s">
        <v>337</v>
      </c>
      <c r="AB3" s="29" t="s">
        <v>344</v>
      </c>
      <c r="AC3" s="29" t="s">
        <v>350</v>
      </c>
      <c r="AD3" s="29" t="s">
        <v>355</v>
      </c>
      <c r="AE3" s="29" t="s">
        <v>358</v>
      </c>
      <c r="AF3" s="29" t="s">
        <v>364</v>
      </c>
      <c r="AG3" s="29" t="s">
        <v>367</v>
      </c>
      <c r="AH3" s="29" t="s">
        <v>373</v>
      </c>
      <c r="AI3" s="29" t="s">
        <v>377</v>
      </c>
      <c r="AJ3" s="29" t="s">
        <v>384</v>
      </c>
      <c r="AK3" s="29" t="s">
        <v>389</v>
      </c>
      <c r="AL3" s="29" t="s">
        <v>392</v>
      </c>
      <c r="AM3" s="29" t="s">
        <v>395</v>
      </c>
      <c r="AN3" s="29" t="s">
        <v>398</v>
      </c>
      <c r="AO3" s="29" t="s">
        <v>401</v>
      </c>
      <c r="AP3" s="29" t="s">
        <v>407</v>
      </c>
      <c r="AQ3" s="29" t="s">
        <v>411</v>
      </c>
      <c r="AR3" s="29" t="s">
        <v>416</v>
      </c>
      <c r="AS3" s="29" t="s">
        <v>419</v>
      </c>
      <c r="AT3" s="29" t="s">
        <v>422</v>
      </c>
      <c r="AU3" s="29" t="s">
        <v>428</v>
      </c>
    </row>
    <row r="4" spans="1:47" ht="15" customHeight="1" x14ac:dyDescent="0.25">
      <c r="A4" s="22">
        <v>0</v>
      </c>
      <c r="B4" s="22" t="s">
        <v>189</v>
      </c>
      <c r="C4" s="22"/>
      <c r="D4" s="30">
        <f>IFERROR(INDEX(Survey_Counts!$N$2:$N$743,MATCH(1,INDEX((Survey_Counts!$A$2:$A$743=D$3)*(Survey_Counts!$B$2:$B$743=$A4),0),0)),"")</f>
        <v>2.6737967914438502E-2</v>
      </c>
      <c r="E4" s="30">
        <f>IFERROR(INDEX(Survey_Counts!$N$2:$N$743,MATCH(1,INDEX((Survey_Counts!$A$2:$A$743=E$3)*(Survey_Counts!$B$2:$B$743=$A4),0),0)),"")</f>
        <v>2.6737967914438502E-2</v>
      </c>
      <c r="F4" s="30">
        <f>IFERROR(INDEX(Survey_Counts!$N$2:$N$743,MATCH(1,INDEX((Survey_Counts!$A$2:$A$743=F$3)*(Survey_Counts!$B$2:$B$743=$A4),0),0)),"")</f>
        <v>6.9264069264069264E-2</v>
      </c>
      <c r="G4" s="30">
        <f>IFERROR(INDEX(Survey_Counts!$N$2:$N$743,MATCH(1,INDEX((Survey_Counts!$A$2:$A$743=G$3)*(Survey_Counts!$B$2:$B$743=$A4),0),0)),"")</f>
        <v>6.9264069264069264E-2</v>
      </c>
      <c r="H4" s="30">
        <f>IFERROR(INDEX(Survey_Counts!$N$2:$N$743,MATCH(1,INDEX((Survey_Counts!$A$2:$A$743=H$3)*(Survey_Counts!$B$2:$B$743=$A4),0),0)),"")</f>
        <v>5.1440329218106998E-2</v>
      </c>
      <c r="I4" s="30">
        <f>IFERROR(INDEX(Survey_Counts!$N$2:$N$743,MATCH(1,INDEX((Survey_Counts!$A$2:$A$743=I$3)*(Survey_Counts!$B$2:$B$743=$A4),0),0)),"")</f>
        <v>5.0890585241730284E-3</v>
      </c>
      <c r="J4" s="30">
        <f>IFERROR(INDEX(Survey_Counts!$N$2:$N$743,MATCH(1,INDEX((Survey_Counts!$A$2:$A$743=J$3)*(Survey_Counts!$B$2:$B$743=$A4),0),0)),"")</f>
        <v>0</v>
      </c>
      <c r="K4" s="30">
        <f>IFERROR(INDEX(Survey_Counts!$N$2:$N$743,MATCH(1,INDEX((Survey_Counts!$A$2:$A$743=K$3)*(Survey_Counts!$B$2:$B$743=$A4),0),0)),"")</f>
        <v>1.4150943396226415E-2</v>
      </c>
      <c r="L4" s="30">
        <f>IFERROR(INDEX(Survey_Counts!$N$2:$N$743,MATCH(1,INDEX((Survey_Counts!$A$2:$A$743=L$3)*(Survey_Counts!$B$2:$B$743=$A4),0),0)),"")</f>
        <v>0.14163822525597269</v>
      </c>
      <c r="M4" s="30">
        <f>IFERROR(INDEX(Survey_Counts!$N$2:$N$743,MATCH(1,INDEX((Survey_Counts!$A$2:$A$743=M$3)*(Survey_Counts!$B$2:$B$743=$A4),0),0)),"")</f>
        <v>0.14163822525597269</v>
      </c>
      <c r="N4" s="30">
        <f>IFERROR(INDEX(Survey_Counts!$N$2:$N$743,MATCH(1,INDEX((Survey_Counts!$A$2:$A$743=N$3)*(Survey_Counts!$B$2:$B$743=$A4),0),0)),"")</f>
        <v>7.5349838536060282E-3</v>
      </c>
      <c r="O4" s="30">
        <f>IFERROR(INDEX(Survey_Counts!$N$2:$N$743,MATCH(1,INDEX((Survey_Counts!$A$2:$A$743=O$3)*(Survey_Counts!$B$2:$B$743=$A4),0),0)),"")</f>
        <v>7.5349838536060282E-3</v>
      </c>
      <c r="P4" s="30">
        <f>IFERROR(INDEX(Survey_Counts!$N$2:$N$743,MATCH(1,INDEX((Survey_Counts!$A$2:$A$743=P$3)*(Survey_Counts!$B$2:$B$743=$A4),0),0)),"")</f>
        <v>3.5294117647058823E-2</v>
      </c>
      <c r="Q4" s="30">
        <f>IFERROR(INDEX(Survey_Counts!$N$2:$N$743,MATCH(1,INDEX((Survey_Counts!$A$2:$A$743=Q$3)*(Survey_Counts!$B$2:$B$743=$A4),0),0)),"")</f>
        <v>3.6585365853658534E-2</v>
      </c>
      <c r="R4" s="30">
        <f>IFERROR(INDEX(Survey_Counts!$N$2:$N$743,MATCH(1,INDEX((Survey_Counts!$A$2:$A$743=R$3)*(Survey_Counts!$B$2:$B$743=$A4),0),0)),"")</f>
        <v>6.2757201646090541E-2</v>
      </c>
      <c r="S4" s="30">
        <f>IFERROR(INDEX(Survey_Counts!$N$2:$N$743,MATCH(1,INDEX((Survey_Counts!$A$2:$A$743=S$3)*(Survey_Counts!$B$2:$B$743=$A4),0),0)),"")</f>
        <v>0</v>
      </c>
      <c r="T4" s="30">
        <f>IFERROR(INDEX(Survey_Counts!$N$2:$N$743,MATCH(1,INDEX((Survey_Counts!$A$2:$A$743=T$3)*(Survey_Counts!$B$2:$B$743=$A4),0),0)),"")</f>
        <v>0</v>
      </c>
      <c r="U4" s="30">
        <f>IFERROR(INDEX(Survey_Counts!$N$2:$N$743,MATCH(1,INDEX((Survey_Counts!$A$2:$A$743=U$3)*(Survey_Counts!$B$2:$B$743=$A4),0),0)),"")</f>
        <v>0.34411085450346418</v>
      </c>
      <c r="V4" s="30">
        <f>IFERROR(INDEX(Survey_Counts!$N$2:$N$743,MATCH(1,INDEX((Survey_Counts!$A$2:$A$743=V$3)*(Survey_Counts!$B$2:$B$743=$A4),0),0)),"")</f>
        <v>9.45945945945946E-2</v>
      </c>
      <c r="W4" s="30">
        <f>IFERROR(INDEX(Survey_Counts!$N$2:$N$743,MATCH(1,INDEX((Survey_Counts!$A$2:$A$743=W$3)*(Survey_Counts!$B$2:$B$743=$A4),0),0)),"")</f>
        <v>8.0308030803080313E-2</v>
      </c>
      <c r="X4" s="30">
        <f>IFERROR(INDEX(Survey_Counts!$N$2:$N$743,MATCH(1,INDEX((Survey_Counts!$A$2:$A$743=X$3)*(Survey_Counts!$B$2:$B$743=$A4),0),0)),"")</f>
        <v>0.11068702290076336</v>
      </c>
      <c r="Y4" s="30" t="str">
        <f>IFERROR(INDEX(Survey_Counts!$N$2:$N$743,MATCH(1,INDEX((Survey_Counts!$A$2:$A$743=Y$3)*(Survey_Counts!$B$2:$B$743=$A4),0),0)),"")</f>
        <v/>
      </c>
      <c r="Z4" s="30">
        <f>IFERROR(INDEX(Survey_Counts!$N$2:$N$743,MATCH(1,INDEX((Survey_Counts!$A$2:$A$743=Z$3)*(Survey_Counts!$B$2:$B$743=$A4),0),0)),"")</f>
        <v>5.5162659123055166E-2</v>
      </c>
      <c r="AA4" s="30" t="str">
        <f>IFERROR(INDEX(Survey_Counts!$N$2:$N$743,MATCH(1,INDEX((Survey_Counts!$A$2:$A$743=AA$3)*(Survey_Counts!$B$2:$B$743=$A4),0),0)),"")</f>
        <v/>
      </c>
      <c r="AB4" s="30">
        <f>IFERROR(INDEX(Survey_Counts!$N$2:$N$743,MATCH(1,INDEX((Survey_Counts!$A$2:$A$743=AB$3)*(Survey_Counts!$B$2:$B$743=$A4),0),0)),"")</f>
        <v>4.2471042471042469E-2</v>
      </c>
      <c r="AC4" s="30" t="str">
        <f>IFERROR(INDEX(Survey_Counts!$N$2:$N$743,MATCH(1,INDEX((Survey_Counts!$A$2:$A$743=AC$3)*(Survey_Counts!$B$2:$B$743=$A4),0),0)),"")</f>
        <v/>
      </c>
      <c r="AD4" s="30">
        <f>IFERROR(INDEX(Survey_Counts!$N$2:$N$743,MATCH(1,INDEX((Survey_Counts!$A$2:$A$743=AD$3)*(Survey_Counts!$B$2:$B$743=$A4),0),0)),"")</f>
        <v>0.13917525773195877</v>
      </c>
      <c r="AE4" s="30" t="str">
        <f>IFERROR(INDEX(Survey_Counts!$N$2:$N$743,MATCH(1,INDEX((Survey_Counts!$A$2:$A$743=AE$3)*(Survey_Counts!$B$2:$B$743=$A4),0),0)),"")</f>
        <v/>
      </c>
      <c r="AF4" s="30" t="str">
        <f>IFERROR(INDEX(Survey_Counts!$N$2:$N$743,MATCH(1,INDEX((Survey_Counts!$A$2:$A$743=AF$3)*(Survey_Counts!$B$2:$B$743=$A4),0),0)),"")</f>
        <v/>
      </c>
      <c r="AG4" s="30">
        <f>IFERROR(INDEX(Survey_Counts!$N$2:$N$743,MATCH(1,INDEX((Survey_Counts!$A$2:$A$743=AG$3)*(Survey_Counts!$B$2:$B$743=$A4),0),0)),"")</f>
        <v>8.368200836820083E-3</v>
      </c>
      <c r="AH4" s="30">
        <f>IFERROR(INDEX(Survey_Counts!$N$2:$N$743,MATCH(1,INDEX((Survey_Counts!$A$2:$A$743=AH$3)*(Survey_Counts!$B$2:$B$743=$A4),0),0)),"")</f>
        <v>0</v>
      </c>
      <c r="AI4" s="30">
        <f>IFERROR(INDEX(Survey_Counts!$N$2:$N$743,MATCH(1,INDEX((Survey_Counts!$A$2:$A$743=AI$3)*(Survey_Counts!$B$2:$B$743=$A4),0),0)),"")</f>
        <v>0.26254102203469293</v>
      </c>
      <c r="AJ4" s="30">
        <f>IFERROR(INDEX(Survey_Counts!$N$2:$N$743,MATCH(1,INDEX((Survey_Counts!$A$2:$A$743=AJ$3)*(Survey_Counts!$B$2:$B$743=$A4),0),0)),"")</f>
        <v>0</v>
      </c>
      <c r="AK4" s="30">
        <f>IFERROR(INDEX(Survey_Counts!$N$2:$N$743,MATCH(1,INDEX((Survey_Counts!$A$2:$A$743=AK$3)*(Survey_Counts!$B$2:$B$743=$A4),0),0)),"")</f>
        <v>7.9601990049751242E-2</v>
      </c>
      <c r="AL4" s="30">
        <f>IFERROR(INDEX(Survey_Counts!$N$2:$N$743,MATCH(1,INDEX((Survey_Counts!$A$2:$A$743=AL$3)*(Survey_Counts!$B$2:$B$743=$A4),0),0)),"")</f>
        <v>4.2483660130718956E-2</v>
      </c>
      <c r="AM4" s="30">
        <f>IFERROR(INDEX(Survey_Counts!$N$2:$N$743,MATCH(1,INDEX((Survey_Counts!$A$2:$A$743=AM$3)*(Survey_Counts!$B$2:$B$743=$A4),0),0)),"")</f>
        <v>9.7643097643097643E-2</v>
      </c>
      <c r="AN4" s="30">
        <f>IFERROR(INDEX(Survey_Counts!$N$2:$N$743,MATCH(1,INDEX((Survey_Counts!$A$2:$A$743=AN$3)*(Survey_Counts!$B$2:$B$743=$A4),0),0)),"")</f>
        <v>9.217877094972067E-2</v>
      </c>
      <c r="AO4" s="30">
        <f>IFERROR(INDEX(Survey_Counts!$N$2:$N$743,MATCH(1,INDEX((Survey_Counts!$A$2:$A$743=AO$3)*(Survey_Counts!$B$2:$B$743=$A4),0),0)),"")</f>
        <v>0</v>
      </c>
      <c r="AP4" s="30">
        <f>IFERROR(INDEX(Survey_Counts!$N$2:$N$743,MATCH(1,INDEX((Survey_Counts!$A$2:$A$743=AP$3)*(Survey_Counts!$B$2:$B$743=$A4),0),0)),"")</f>
        <v>0</v>
      </c>
      <c r="AQ4" s="30">
        <f>IFERROR(INDEX(Survey_Counts!$N$2:$N$743,MATCH(1,INDEX((Survey_Counts!$A$2:$A$743=AQ$3)*(Survey_Counts!$B$2:$B$743=$A4),0),0)),"")</f>
        <v>1.2931034482758621E-2</v>
      </c>
      <c r="AR4" s="30">
        <f>IFERROR(INDEX(Survey_Counts!$N$2:$N$743,MATCH(1,INDEX((Survey_Counts!$A$2:$A$743=AR$3)*(Survey_Counts!$B$2:$B$743=$A4),0),0)),"")</f>
        <v>0.20408163265306123</v>
      </c>
      <c r="AS4" s="30">
        <f>IFERROR(INDEX(Survey_Counts!$N$2:$N$743,MATCH(1,INDEX((Survey_Counts!$A$2:$A$743=AS$3)*(Survey_Counts!$B$2:$B$743=$A4),0),0)),"")</f>
        <v>6.1433447098976107E-2</v>
      </c>
      <c r="AT4" s="30">
        <f>IFERROR(INDEX(Survey_Counts!$N$2:$N$743,MATCH(1,INDEX((Survey_Counts!$A$2:$A$743=AT$3)*(Survey_Counts!$B$2:$B$743=$A4),0),0)),"")</f>
        <v>1.6447368421052631E-2</v>
      </c>
      <c r="AU4" s="30">
        <f>IFERROR(INDEX(Survey_Counts!$N$2:$N$743,MATCH(1,INDEX((Survey_Counts!$A$2:$A$743=AU$3)*(Survey_Counts!$B$2:$B$743=$A4),0),0)),"")</f>
        <v>2.5445292620865142E-3</v>
      </c>
    </row>
    <row r="5" spans="1:47" ht="15" customHeight="1" x14ac:dyDescent="0.25">
      <c r="A5" s="22">
        <v>1</v>
      </c>
      <c r="B5" s="22" t="s">
        <v>471</v>
      </c>
      <c r="C5" s="22">
        <v>-210</v>
      </c>
      <c r="D5" s="30" t="str">
        <f>IFERROR(INDEX(Survey_Counts!$N$2:$N$743,MATCH(1,INDEX((Survey_Counts!$A$2:$A$743=D$3)*(Survey_Counts!$B$2:$B$743=$A5),0),0)),"")</f>
        <v/>
      </c>
      <c r="E5" s="30" t="str">
        <f>IFERROR(INDEX(Survey_Counts!$N$2:$N$743,MATCH(1,INDEX((Survey_Counts!$A$2:$A$743=E$3)*(Survey_Counts!$B$2:$B$743=$A5),0),0)),"")</f>
        <v/>
      </c>
      <c r="F5" s="30" t="str">
        <f>IFERROR(INDEX(Survey_Counts!$N$2:$N$743,MATCH(1,INDEX((Survey_Counts!$A$2:$A$743=F$3)*(Survey_Counts!$B$2:$B$743=$A5),0),0)),"")</f>
        <v/>
      </c>
      <c r="G5" s="30" t="str">
        <f>IFERROR(INDEX(Survey_Counts!$N$2:$N$743,MATCH(1,INDEX((Survey_Counts!$A$2:$A$743=G$3)*(Survey_Counts!$B$2:$B$743=$A5),0),0)),"")</f>
        <v/>
      </c>
      <c r="H5" s="30">
        <f>IFERROR(INDEX(Survey_Counts!$N$2:$N$743,MATCH(1,INDEX((Survey_Counts!$A$2:$A$743=H$3)*(Survey_Counts!$B$2:$B$743=$A5),0),0)),"")</f>
        <v>7.2016460905349799E-2</v>
      </c>
      <c r="I5" s="30" t="str">
        <f>IFERROR(INDEX(Survey_Counts!$N$2:$N$743,MATCH(1,INDEX((Survey_Counts!$A$2:$A$743=I$3)*(Survey_Counts!$B$2:$B$743=$A5),0),0)),"")</f>
        <v/>
      </c>
      <c r="J5" s="30" t="str">
        <f>IFERROR(INDEX(Survey_Counts!$N$2:$N$743,MATCH(1,INDEX((Survey_Counts!$A$2:$A$743=J$3)*(Survey_Counts!$B$2:$B$743=$A5),0),0)),"")</f>
        <v/>
      </c>
      <c r="K5" s="30" t="str">
        <f>IFERROR(INDEX(Survey_Counts!$N$2:$N$743,MATCH(1,INDEX((Survey_Counts!$A$2:$A$743=K$3)*(Survey_Counts!$B$2:$B$743=$A5),0),0)),"")</f>
        <v/>
      </c>
      <c r="L5" s="30" t="str">
        <f>IFERROR(INDEX(Survey_Counts!$N$2:$N$743,MATCH(1,INDEX((Survey_Counts!$A$2:$A$743=L$3)*(Survey_Counts!$B$2:$B$743=$A5),0),0)),"")</f>
        <v/>
      </c>
      <c r="M5" s="30" t="str">
        <f>IFERROR(INDEX(Survey_Counts!$N$2:$N$743,MATCH(1,INDEX((Survey_Counts!$A$2:$A$743=M$3)*(Survey_Counts!$B$2:$B$743=$A5),0),0)),"")</f>
        <v/>
      </c>
      <c r="N5" s="30" t="str">
        <f>IFERROR(INDEX(Survey_Counts!$N$2:$N$743,MATCH(1,INDEX((Survey_Counts!$A$2:$A$743=N$3)*(Survey_Counts!$B$2:$B$743=$A5),0),0)),"")</f>
        <v/>
      </c>
      <c r="O5" s="30" t="str">
        <f>IFERROR(INDEX(Survey_Counts!$N$2:$N$743,MATCH(1,INDEX((Survey_Counts!$A$2:$A$743=O$3)*(Survey_Counts!$B$2:$B$743=$A5),0),0)),"")</f>
        <v/>
      </c>
      <c r="P5" s="30" t="str">
        <f>IFERROR(INDEX(Survey_Counts!$N$2:$N$743,MATCH(1,INDEX((Survey_Counts!$A$2:$A$743=P$3)*(Survey_Counts!$B$2:$B$743=$A5),0),0)),"")</f>
        <v/>
      </c>
      <c r="Q5" s="30" t="str">
        <f>IFERROR(INDEX(Survey_Counts!$N$2:$N$743,MATCH(1,INDEX((Survey_Counts!$A$2:$A$743=Q$3)*(Survey_Counts!$B$2:$B$743=$A5),0),0)),"")</f>
        <v/>
      </c>
      <c r="R5" s="30">
        <f>IFERROR(INDEX(Survey_Counts!$N$2:$N$743,MATCH(1,INDEX((Survey_Counts!$A$2:$A$743=R$3)*(Survey_Counts!$B$2:$B$743=$A5),0),0)),"")</f>
        <v>9.7736625514403291E-2</v>
      </c>
      <c r="S5" s="30">
        <f>IFERROR(INDEX(Survey_Counts!$N$2:$N$743,MATCH(1,INDEX((Survey_Counts!$A$2:$A$743=S$3)*(Survey_Counts!$B$2:$B$743=$A5),0),0)),"")</f>
        <v>0.1357142857142857</v>
      </c>
      <c r="T5" s="30">
        <f>IFERROR(INDEX(Survey_Counts!$N$2:$N$743,MATCH(1,INDEX((Survey_Counts!$A$2:$A$743=T$3)*(Survey_Counts!$B$2:$B$743=$A5),0),0)),"")</f>
        <v>0</v>
      </c>
      <c r="U5" s="30" t="str">
        <f>IFERROR(INDEX(Survey_Counts!$N$2:$N$743,MATCH(1,INDEX((Survey_Counts!$A$2:$A$743=U$3)*(Survey_Counts!$B$2:$B$743=$A5),0),0)),"")</f>
        <v/>
      </c>
      <c r="V5" s="30" t="str">
        <f>IFERROR(INDEX(Survey_Counts!$N$2:$N$743,MATCH(1,INDEX((Survey_Counts!$A$2:$A$743=V$3)*(Survey_Counts!$B$2:$B$743=$A5),0),0)),"")</f>
        <v/>
      </c>
      <c r="W5" s="30" t="str">
        <f>IFERROR(INDEX(Survey_Counts!$N$2:$N$743,MATCH(1,INDEX((Survey_Counts!$A$2:$A$743=W$3)*(Survey_Counts!$B$2:$B$743=$A5),0),0)),"")</f>
        <v/>
      </c>
      <c r="X5" s="30" t="str">
        <f>IFERROR(INDEX(Survey_Counts!$N$2:$N$743,MATCH(1,INDEX((Survey_Counts!$A$2:$A$743=X$3)*(Survey_Counts!$B$2:$B$743=$A5),0),0)),"")</f>
        <v/>
      </c>
      <c r="Y5" s="30" t="str">
        <f>IFERROR(INDEX(Survey_Counts!$N$2:$N$743,MATCH(1,INDEX((Survey_Counts!$A$2:$A$743=Y$3)*(Survey_Counts!$B$2:$B$743=$A5),0),0)),"")</f>
        <v/>
      </c>
      <c r="Z5" s="30" t="str">
        <f>IFERROR(INDEX(Survey_Counts!$N$2:$N$743,MATCH(1,INDEX((Survey_Counts!$A$2:$A$743=Z$3)*(Survey_Counts!$B$2:$B$743=$A5),0),0)),"")</f>
        <v/>
      </c>
      <c r="AA5" s="30" t="str">
        <f>IFERROR(INDEX(Survey_Counts!$N$2:$N$743,MATCH(1,INDEX((Survey_Counts!$A$2:$A$743=AA$3)*(Survey_Counts!$B$2:$B$743=$A5),0),0)),"")</f>
        <v/>
      </c>
      <c r="AB5" s="30" t="str">
        <f>IFERROR(INDEX(Survey_Counts!$N$2:$N$743,MATCH(1,INDEX((Survey_Counts!$A$2:$A$743=AB$3)*(Survey_Counts!$B$2:$B$743=$A5),0),0)),"")</f>
        <v/>
      </c>
      <c r="AC5" s="30" t="str">
        <f>IFERROR(INDEX(Survey_Counts!$N$2:$N$743,MATCH(1,INDEX((Survey_Counts!$A$2:$A$743=AC$3)*(Survey_Counts!$B$2:$B$743=$A5),0),0)),"")</f>
        <v/>
      </c>
      <c r="AD5" s="30" t="str">
        <f>IFERROR(INDEX(Survey_Counts!$N$2:$N$743,MATCH(1,INDEX((Survey_Counts!$A$2:$A$743=AD$3)*(Survey_Counts!$B$2:$B$743=$A5),0),0)),"")</f>
        <v/>
      </c>
      <c r="AE5" s="30" t="str">
        <f>IFERROR(INDEX(Survey_Counts!$N$2:$N$743,MATCH(1,INDEX((Survey_Counts!$A$2:$A$743=AE$3)*(Survey_Counts!$B$2:$B$743=$A5),0),0)),"")</f>
        <v/>
      </c>
      <c r="AF5" s="30" t="str">
        <f>IFERROR(INDEX(Survey_Counts!$N$2:$N$743,MATCH(1,INDEX((Survey_Counts!$A$2:$A$743=AF$3)*(Survey_Counts!$B$2:$B$743=$A5),0),0)),"")</f>
        <v/>
      </c>
      <c r="AG5" s="30" t="str">
        <f>IFERROR(INDEX(Survey_Counts!$N$2:$N$743,MATCH(1,INDEX((Survey_Counts!$A$2:$A$743=AG$3)*(Survey_Counts!$B$2:$B$743=$A5),0),0)),"")</f>
        <v/>
      </c>
      <c r="AH5" s="30" t="str">
        <f>IFERROR(INDEX(Survey_Counts!$N$2:$N$743,MATCH(1,INDEX((Survey_Counts!$A$2:$A$743=AH$3)*(Survey_Counts!$B$2:$B$743=$A5),0),0)),"")</f>
        <v/>
      </c>
      <c r="AI5" s="30" t="str">
        <f>IFERROR(INDEX(Survey_Counts!$N$2:$N$743,MATCH(1,INDEX((Survey_Counts!$A$2:$A$743=AI$3)*(Survey_Counts!$B$2:$B$743=$A5),0),0)),"")</f>
        <v/>
      </c>
      <c r="AJ5" s="30" t="str">
        <f>IFERROR(INDEX(Survey_Counts!$N$2:$N$743,MATCH(1,INDEX((Survey_Counts!$A$2:$A$743=AJ$3)*(Survey_Counts!$B$2:$B$743=$A5),0),0)),"")</f>
        <v/>
      </c>
      <c r="AK5" s="30" t="str">
        <f>IFERROR(INDEX(Survey_Counts!$N$2:$N$743,MATCH(1,INDEX((Survey_Counts!$A$2:$A$743=AK$3)*(Survey_Counts!$B$2:$B$743=$A5),0),0)),"")</f>
        <v/>
      </c>
      <c r="AL5" s="30" t="str">
        <f>IFERROR(INDEX(Survey_Counts!$N$2:$N$743,MATCH(1,INDEX((Survey_Counts!$A$2:$A$743=AL$3)*(Survey_Counts!$B$2:$B$743=$A5),0),0)),"")</f>
        <v/>
      </c>
      <c r="AM5" s="30" t="str">
        <f>IFERROR(INDEX(Survey_Counts!$N$2:$N$743,MATCH(1,INDEX((Survey_Counts!$A$2:$A$743=AM$3)*(Survey_Counts!$B$2:$B$743=$A5),0),0)),"")</f>
        <v/>
      </c>
      <c r="AN5" s="30" t="str">
        <f>IFERROR(INDEX(Survey_Counts!$N$2:$N$743,MATCH(1,INDEX((Survey_Counts!$A$2:$A$743=AN$3)*(Survey_Counts!$B$2:$B$743=$A5),0),0)),"")</f>
        <v/>
      </c>
      <c r="AO5" s="30" t="str">
        <f>IFERROR(INDEX(Survey_Counts!$N$2:$N$743,MATCH(1,INDEX((Survey_Counts!$A$2:$A$743=AO$3)*(Survey_Counts!$B$2:$B$743=$A5),0),0)),"")</f>
        <v/>
      </c>
      <c r="AP5" s="30" t="str">
        <f>IFERROR(INDEX(Survey_Counts!$N$2:$N$743,MATCH(1,INDEX((Survey_Counts!$A$2:$A$743=AP$3)*(Survey_Counts!$B$2:$B$743=$A5),0),0)),"")</f>
        <v/>
      </c>
      <c r="AQ5" s="30" t="str">
        <f>IFERROR(INDEX(Survey_Counts!$N$2:$N$743,MATCH(1,INDEX((Survey_Counts!$A$2:$A$743=AQ$3)*(Survey_Counts!$B$2:$B$743=$A5),0),0)),"")</f>
        <v/>
      </c>
      <c r="AR5" s="30" t="str">
        <f>IFERROR(INDEX(Survey_Counts!$N$2:$N$743,MATCH(1,INDEX((Survey_Counts!$A$2:$A$743=AR$3)*(Survey_Counts!$B$2:$B$743=$A5),0),0)),"")</f>
        <v/>
      </c>
      <c r="AS5" s="30" t="str">
        <f>IFERROR(INDEX(Survey_Counts!$N$2:$N$743,MATCH(1,INDEX((Survey_Counts!$A$2:$A$743=AS$3)*(Survey_Counts!$B$2:$B$743=$A5),0),0)),"")</f>
        <v/>
      </c>
      <c r="AT5" s="30" t="str">
        <f>IFERROR(INDEX(Survey_Counts!$N$2:$N$743,MATCH(1,INDEX((Survey_Counts!$A$2:$A$743=AT$3)*(Survey_Counts!$B$2:$B$743=$A5),0),0)),"")</f>
        <v/>
      </c>
      <c r="AU5" s="30">
        <f>IFERROR(INDEX(Survey_Counts!$N$2:$N$743,MATCH(1,INDEX((Survey_Counts!$A$2:$A$743=AU$3)*(Survey_Counts!$B$2:$B$743=$A5),0),0)),"")</f>
        <v>7.6335877862595417E-3</v>
      </c>
    </row>
    <row r="6" spans="1:47" ht="15" customHeight="1" x14ac:dyDescent="0.25">
      <c r="A6" s="22">
        <v>2</v>
      </c>
      <c r="B6" s="22" t="s">
        <v>325</v>
      </c>
      <c r="C6" s="22">
        <v>-195</v>
      </c>
      <c r="D6" s="30" t="str">
        <f>IFERROR(INDEX(Survey_Counts!$N$2:$N$743,MATCH(1,INDEX((Survey_Counts!$A$2:$A$743=D$3)*(Survey_Counts!$B$2:$B$743=$A6),0),0)),"")</f>
        <v/>
      </c>
      <c r="E6" s="30" t="str">
        <f>IFERROR(INDEX(Survey_Counts!$N$2:$N$743,MATCH(1,INDEX((Survey_Counts!$A$2:$A$743=E$3)*(Survey_Counts!$B$2:$B$743=$A6),0),0)),"")</f>
        <v/>
      </c>
      <c r="F6" s="30" t="str">
        <f>IFERROR(INDEX(Survey_Counts!$N$2:$N$743,MATCH(1,INDEX((Survey_Counts!$A$2:$A$743=F$3)*(Survey_Counts!$B$2:$B$743=$A6),0),0)),"")</f>
        <v/>
      </c>
      <c r="G6" s="30" t="str">
        <f>IFERROR(INDEX(Survey_Counts!$N$2:$N$743,MATCH(1,INDEX((Survey_Counts!$A$2:$A$743=G$3)*(Survey_Counts!$B$2:$B$743=$A6),0),0)),"")</f>
        <v/>
      </c>
      <c r="H6" s="30">
        <f>IFERROR(INDEX(Survey_Counts!$N$2:$N$743,MATCH(1,INDEX((Survey_Counts!$A$2:$A$743=H$3)*(Survey_Counts!$B$2:$B$743=$A6),0),0)),"")</f>
        <v>0.12139917695473251</v>
      </c>
      <c r="I6" s="30" t="str">
        <f>IFERROR(INDEX(Survey_Counts!$N$2:$N$743,MATCH(1,INDEX((Survey_Counts!$A$2:$A$743=I$3)*(Survey_Counts!$B$2:$B$743=$A6),0),0)),"")</f>
        <v/>
      </c>
      <c r="J6" s="30" t="str">
        <f>IFERROR(INDEX(Survey_Counts!$N$2:$N$743,MATCH(1,INDEX((Survey_Counts!$A$2:$A$743=J$3)*(Survey_Counts!$B$2:$B$743=$A6),0),0)),"")</f>
        <v/>
      </c>
      <c r="K6" s="30" t="str">
        <f>IFERROR(INDEX(Survey_Counts!$N$2:$N$743,MATCH(1,INDEX((Survey_Counts!$A$2:$A$743=K$3)*(Survey_Counts!$B$2:$B$743=$A6),0),0)),"")</f>
        <v/>
      </c>
      <c r="L6" s="30" t="str">
        <f>IFERROR(INDEX(Survey_Counts!$N$2:$N$743,MATCH(1,INDEX((Survey_Counts!$A$2:$A$743=L$3)*(Survey_Counts!$B$2:$B$743=$A6),0),0)),"")</f>
        <v/>
      </c>
      <c r="M6" s="30" t="str">
        <f>IFERROR(INDEX(Survey_Counts!$N$2:$N$743,MATCH(1,INDEX((Survey_Counts!$A$2:$A$743=M$3)*(Survey_Counts!$B$2:$B$743=$A6),0),0)),"")</f>
        <v/>
      </c>
      <c r="N6" s="30" t="str">
        <f>IFERROR(INDEX(Survey_Counts!$N$2:$N$743,MATCH(1,INDEX((Survey_Counts!$A$2:$A$743=N$3)*(Survey_Counts!$B$2:$B$743=$A6),0),0)),"")</f>
        <v/>
      </c>
      <c r="O6" s="30" t="str">
        <f>IFERROR(INDEX(Survey_Counts!$N$2:$N$743,MATCH(1,INDEX((Survey_Counts!$A$2:$A$743=O$3)*(Survey_Counts!$B$2:$B$743=$A6),0),0)),"")</f>
        <v/>
      </c>
      <c r="P6" s="30">
        <f>IFERROR(INDEX(Survey_Counts!$N$2:$N$743,MATCH(1,INDEX((Survey_Counts!$A$2:$A$743=P$3)*(Survey_Counts!$B$2:$B$743=$A6),0),0)),"")</f>
        <v>7.0588235294117646E-2</v>
      </c>
      <c r="Q6" s="30" t="str">
        <f>IFERROR(INDEX(Survey_Counts!$N$2:$N$743,MATCH(1,INDEX((Survey_Counts!$A$2:$A$743=Q$3)*(Survey_Counts!$B$2:$B$743=$A6),0),0)),"")</f>
        <v/>
      </c>
      <c r="R6" s="30">
        <f>IFERROR(INDEX(Survey_Counts!$N$2:$N$743,MATCH(1,INDEX((Survey_Counts!$A$2:$A$743=R$3)*(Survey_Counts!$B$2:$B$743=$A6),0),0)),"")</f>
        <v>0.16872427983539096</v>
      </c>
      <c r="S6" s="30">
        <f>IFERROR(INDEX(Survey_Counts!$N$2:$N$743,MATCH(1,INDEX((Survey_Counts!$A$2:$A$743=S$3)*(Survey_Counts!$B$2:$B$743=$A6),0),0)),"")</f>
        <v>0.20714285714285716</v>
      </c>
      <c r="T6" s="30">
        <f>IFERROR(INDEX(Survey_Counts!$N$2:$N$743,MATCH(1,INDEX((Survey_Counts!$A$2:$A$743=T$3)*(Survey_Counts!$B$2:$B$743=$A6),0),0)),"")</f>
        <v>0</v>
      </c>
      <c r="U6" s="30" t="str">
        <f>IFERROR(INDEX(Survey_Counts!$N$2:$N$743,MATCH(1,INDEX((Survey_Counts!$A$2:$A$743=U$3)*(Survey_Counts!$B$2:$B$743=$A6),0),0)),"")</f>
        <v/>
      </c>
      <c r="V6" s="30" t="str">
        <f>IFERROR(INDEX(Survey_Counts!$N$2:$N$743,MATCH(1,INDEX((Survey_Counts!$A$2:$A$743=V$3)*(Survey_Counts!$B$2:$B$743=$A6),0),0)),"")</f>
        <v/>
      </c>
      <c r="W6" s="30" t="str">
        <f>IFERROR(INDEX(Survey_Counts!$N$2:$N$743,MATCH(1,INDEX((Survey_Counts!$A$2:$A$743=W$3)*(Survey_Counts!$B$2:$B$743=$A6),0),0)),"")</f>
        <v/>
      </c>
      <c r="X6" s="30" t="str">
        <f>IFERROR(INDEX(Survey_Counts!$N$2:$N$743,MATCH(1,INDEX((Survey_Counts!$A$2:$A$743=X$3)*(Survey_Counts!$B$2:$B$743=$A6),0),0)),"")</f>
        <v/>
      </c>
      <c r="Y6" s="30">
        <f>IFERROR(INDEX(Survey_Counts!$N$2:$N$743,MATCH(1,INDEX((Survey_Counts!$A$2:$A$743=Y$3)*(Survey_Counts!$B$2:$B$743=$A6),0),0)),"")</f>
        <v>5.5162659123055166E-2</v>
      </c>
      <c r="Z6" s="30" t="str">
        <f>IFERROR(INDEX(Survey_Counts!$N$2:$N$743,MATCH(1,INDEX((Survey_Counts!$A$2:$A$743=Z$3)*(Survey_Counts!$B$2:$B$743=$A6),0),0)),"")</f>
        <v/>
      </c>
      <c r="AA6" s="30">
        <f>IFERROR(INDEX(Survey_Counts!$N$2:$N$743,MATCH(1,INDEX((Survey_Counts!$A$2:$A$743=AA$3)*(Survey_Counts!$B$2:$B$743=$A6),0),0)),"")</f>
        <v>4.2471042471042469E-2</v>
      </c>
      <c r="AB6" s="30" t="str">
        <f>IFERROR(INDEX(Survey_Counts!$N$2:$N$743,MATCH(1,INDEX((Survey_Counts!$A$2:$A$743=AB$3)*(Survey_Counts!$B$2:$B$743=$A6),0),0)),"")</f>
        <v/>
      </c>
      <c r="AC6" s="30">
        <f>IFERROR(INDEX(Survey_Counts!$N$2:$N$743,MATCH(1,INDEX((Survey_Counts!$A$2:$A$743=AC$3)*(Survey_Counts!$B$2:$B$743=$A6),0),0)),"")</f>
        <v>0.13917525773195877</v>
      </c>
      <c r="AD6" s="30" t="str">
        <f>IFERROR(INDEX(Survey_Counts!$N$2:$N$743,MATCH(1,INDEX((Survey_Counts!$A$2:$A$743=AD$3)*(Survey_Counts!$B$2:$B$743=$A6),0),0)),"")</f>
        <v/>
      </c>
      <c r="AE6" s="30">
        <f>IFERROR(INDEX(Survey_Counts!$N$2:$N$743,MATCH(1,INDEX((Survey_Counts!$A$2:$A$743=AE$3)*(Survey_Counts!$B$2:$B$743=$A6),0),0)),"")</f>
        <v>0.24736842105263157</v>
      </c>
      <c r="AF6" s="30">
        <f>IFERROR(INDEX(Survey_Counts!$N$2:$N$743,MATCH(1,INDEX((Survey_Counts!$A$2:$A$743=AF$3)*(Survey_Counts!$B$2:$B$743=$A6),0),0)),"")</f>
        <v>3.2432432432432434E-2</v>
      </c>
      <c r="AG6" s="30" t="str">
        <f>IFERROR(INDEX(Survey_Counts!$N$2:$N$743,MATCH(1,INDEX((Survey_Counts!$A$2:$A$743=AG$3)*(Survey_Counts!$B$2:$B$743=$A6),0),0)),"")</f>
        <v/>
      </c>
      <c r="AH6" s="30" t="str">
        <f>IFERROR(INDEX(Survey_Counts!$N$2:$N$743,MATCH(1,INDEX((Survey_Counts!$A$2:$A$743=AH$3)*(Survey_Counts!$B$2:$B$743=$A6),0),0)),"")</f>
        <v/>
      </c>
      <c r="AI6" s="30" t="str">
        <f>IFERROR(INDEX(Survey_Counts!$N$2:$N$743,MATCH(1,INDEX((Survey_Counts!$A$2:$A$743=AI$3)*(Survey_Counts!$B$2:$B$743=$A6),0),0)),"")</f>
        <v/>
      </c>
      <c r="AJ6" s="30" t="str">
        <f>IFERROR(INDEX(Survey_Counts!$N$2:$N$743,MATCH(1,INDEX((Survey_Counts!$A$2:$A$743=AJ$3)*(Survey_Counts!$B$2:$B$743=$A6),0),0)),"")</f>
        <v/>
      </c>
      <c r="AK6" s="30" t="str">
        <f>IFERROR(INDEX(Survey_Counts!$N$2:$N$743,MATCH(1,INDEX((Survey_Counts!$A$2:$A$743=AK$3)*(Survey_Counts!$B$2:$B$743=$A6),0),0)),"")</f>
        <v/>
      </c>
      <c r="AL6" s="30" t="str">
        <f>IFERROR(INDEX(Survey_Counts!$N$2:$N$743,MATCH(1,INDEX((Survey_Counts!$A$2:$A$743=AL$3)*(Survey_Counts!$B$2:$B$743=$A6),0),0)),"")</f>
        <v/>
      </c>
      <c r="AM6" s="30" t="str">
        <f>IFERROR(INDEX(Survey_Counts!$N$2:$N$743,MATCH(1,INDEX((Survey_Counts!$A$2:$A$743=AM$3)*(Survey_Counts!$B$2:$B$743=$A6),0),0)),"")</f>
        <v/>
      </c>
      <c r="AN6" s="30" t="str">
        <f>IFERROR(INDEX(Survey_Counts!$N$2:$N$743,MATCH(1,INDEX((Survey_Counts!$A$2:$A$743=AN$3)*(Survey_Counts!$B$2:$B$743=$A6),0),0)),"")</f>
        <v/>
      </c>
      <c r="AO6" s="30" t="str">
        <f>IFERROR(INDEX(Survey_Counts!$N$2:$N$743,MATCH(1,INDEX((Survey_Counts!$A$2:$A$743=AO$3)*(Survey_Counts!$B$2:$B$743=$A6),0),0)),"")</f>
        <v/>
      </c>
      <c r="AP6" s="30" t="str">
        <f>IFERROR(INDEX(Survey_Counts!$N$2:$N$743,MATCH(1,INDEX((Survey_Counts!$A$2:$A$743=AP$3)*(Survey_Counts!$B$2:$B$743=$A6),0),0)),"")</f>
        <v/>
      </c>
      <c r="AQ6" s="30" t="str">
        <f>IFERROR(INDEX(Survey_Counts!$N$2:$N$743,MATCH(1,INDEX((Survey_Counts!$A$2:$A$743=AQ$3)*(Survey_Counts!$B$2:$B$743=$A6),0),0)),"")</f>
        <v/>
      </c>
      <c r="AR6" s="30" t="str">
        <f>IFERROR(INDEX(Survey_Counts!$N$2:$N$743,MATCH(1,INDEX((Survey_Counts!$A$2:$A$743=AR$3)*(Survey_Counts!$B$2:$B$743=$A6),0),0)),"")</f>
        <v/>
      </c>
      <c r="AS6" s="30">
        <f>IFERROR(INDEX(Survey_Counts!$N$2:$N$743,MATCH(1,INDEX((Survey_Counts!$A$2:$A$743=AS$3)*(Survey_Counts!$B$2:$B$743=$A6),0),0)),"")</f>
        <v>0.10238907849829351</v>
      </c>
      <c r="AT6" s="30" t="str">
        <f>IFERROR(INDEX(Survey_Counts!$N$2:$N$743,MATCH(1,INDEX((Survey_Counts!$A$2:$A$743=AT$3)*(Survey_Counts!$B$2:$B$743=$A6),0),0)),"")</f>
        <v/>
      </c>
      <c r="AU6" s="30">
        <f>IFERROR(INDEX(Survey_Counts!$N$2:$N$743,MATCH(1,INDEX((Survey_Counts!$A$2:$A$743=AU$3)*(Survey_Counts!$B$2:$B$743=$A6),0),0)),"")</f>
        <v>1.2722646310432569E-2</v>
      </c>
    </row>
    <row r="7" spans="1:47" ht="15" customHeight="1" x14ac:dyDescent="0.25">
      <c r="A7" s="22">
        <v>3</v>
      </c>
      <c r="B7" s="22" t="s">
        <v>464</v>
      </c>
      <c r="C7" s="22">
        <v>-180</v>
      </c>
      <c r="D7" s="30">
        <f>IFERROR(INDEX(Survey_Counts!$N$2:$N$743,MATCH(1,INDEX((Survey_Counts!$A$2:$A$743=D$3)*(Survey_Counts!$B$2:$B$743=$A7),0),0)),"")</f>
        <v>8.8235294117647065E-2</v>
      </c>
      <c r="E7" s="30">
        <f>IFERROR(INDEX(Survey_Counts!$N$2:$N$743,MATCH(1,INDEX((Survey_Counts!$A$2:$A$743=E$3)*(Survey_Counts!$B$2:$B$743=$A7),0),0)),"")</f>
        <v>8.8235294117647065E-2</v>
      </c>
      <c r="F7" s="30">
        <f>IFERROR(INDEX(Survey_Counts!$N$2:$N$743,MATCH(1,INDEX((Survey_Counts!$A$2:$A$743=F$3)*(Survey_Counts!$B$2:$B$743=$A7),0),0)),"")</f>
        <v>8.6580086580086577E-2</v>
      </c>
      <c r="G7" s="30">
        <f>IFERROR(INDEX(Survey_Counts!$N$2:$N$743,MATCH(1,INDEX((Survey_Counts!$A$2:$A$743=G$3)*(Survey_Counts!$B$2:$B$743=$A7),0),0)),"")</f>
        <v>8.6580086580086577E-2</v>
      </c>
      <c r="H7" s="30">
        <f>IFERROR(INDEX(Survey_Counts!$N$2:$N$743,MATCH(1,INDEX((Survey_Counts!$A$2:$A$743=H$3)*(Survey_Counts!$B$2:$B$743=$A7),0),0)),"")</f>
        <v>0.19135802469135801</v>
      </c>
      <c r="I7" s="30">
        <f>IFERROR(INDEX(Survey_Counts!$N$2:$N$743,MATCH(1,INDEX((Survey_Counts!$A$2:$A$743=I$3)*(Survey_Counts!$B$2:$B$743=$A7),0),0)),"")</f>
        <v>1.2722646310432569E-2</v>
      </c>
      <c r="J7" s="30">
        <f>IFERROR(INDEX(Survey_Counts!$N$2:$N$743,MATCH(1,INDEX((Survey_Counts!$A$2:$A$743=J$3)*(Survey_Counts!$B$2:$B$743=$A7),0),0)),"")</f>
        <v>7.0422535211267607E-3</v>
      </c>
      <c r="K7" s="30">
        <f>IFERROR(INDEX(Survey_Counts!$N$2:$N$743,MATCH(1,INDEX((Survey_Counts!$A$2:$A$743=K$3)*(Survey_Counts!$B$2:$B$743=$A7),0),0)),"")</f>
        <v>3.7735849056603772E-2</v>
      </c>
      <c r="L7" s="30" t="str">
        <f>IFERROR(INDEX(Survey_Counts!$N$2:$N$743,MATCH(1,INDEX((Survey_Counts!$A$2:$A$743=L$3)*(Survey_Counts!$B$2:$B$743=$A7),0),0)),"")</f>
        <v/>
      </c>
      <c r="M7" s="30" t="str">
        <f>IFERROR(INDEX(Survey_Counts!$N$2:$N$743,MATCH(1,INDEX((Survey_Counts!$A$2:$A$743=M$3)*(Survey_Counts!$B$2:$B$743=$A7),0),0)),"")</f>
        <v/>
      </c>
      <c r="N7" s="30">
        <f>IFERROR(INDEX(Survey_Counts!$N$2:$N$743,MATCH(1,INDEX((Survey_Counts!$A$2:$A$743=N$3)*(Survey_Counts!$B$2:$B$743=$A7),0),0)),"")</f>
        <v>2.5834230355220669E-2</v>
      </c>
      <c r="O7" s="30">
        <f>IFERROR(INDEX(Survey_Counts!$N$2:$N$743,MATCH(1,INDEX((Survey_Counts!$A$2:$A$743=O$3)*(Survey_Counts!$B$2:$B$743=$A7),0),0)),"")</f>
        <v>2.5834230355220669E-2</v>
      </c>
      <c r="P7" s="30">
        <f>IFERROR(INDEX(Survey_Counts!$N$2:$N$743,MATCH(1,INDEX((Survey_Counts!$A$2:$A$743=P$3)*(Survey_Counts!$B$2:$B$743=$A7),0),0)),"")</f>
        <v>0.10588235294117647</v>
      </c>
      <c r="Q7" s="30">
        <f>IFERROR(INDEX(Survey_Counts!$N$2:$N$743,MATCH(1,INDEX((Survey_Counts!$A$2:$A$743=Q$3)*(Survey_Counts!$B$2:$B$743=$A7),0),0)),"")</f>
        <v>7.3170731707317069E-2</v>
      </c>
      <c r="R7" s="30">
        <f>IFERROR(INDEX(Survey_Counts!$N$2:$N$743,MATCH(1,INDEX((Survey_Counts!$A$2:$A$743=R$3)*(Survey_Counts!$B$2:$B$743=$A7),0),0)),"")</f>
        <v>0.2788065843621399</v>
      </c>
      <c r="S7" s="30">
        <f>IFERROR(INDEX(Survey_Counts!$N$2:$N$743,MATCH(1,INDEX((Survey_Counts!$A$2:$A$743=S$3)*(Survey_Counts!$B$2:$B$743=$A7),0),0)),"")</f>
        <v>0.2857142857142857</v>
      </c>
      <c r="T7" s="30">
        <f>IFERROR(INDEX(Survey_Counts!$N$2:$N$743,MATCH(1,INDEX((Survey_Counts!$A$2:$A$743=T$3)*(Survey_Counts!$B$2:$B$743=$A7),0),0)),"")</f>
        <v>0</v>
      </c>
      <c r="U7" s="30" t="str">
        <f>IFERROR(INDEX(Survey_Counts!$N$2:$N$743,MATCH(1,INDEX((Survey_Counts!$A$2:$A$743=U$3)*(Survey_Counts!$B$2:$B$743=$A7),0),0)),"")</f>
        <v/>
      </c>
      <c r="V7" s="30" t="str">
        <f>IFERROR(INDEX(Survey_Counts!$N$2:$N$743,MATCH(1,INDEX((Survey_Counts!$A$2:$A$743=V$3)*(Survey_Counts!$B$2:$B$743=$A7),0),0)),"")</f>
        <v/>
      </c>
      <c r="W7" s="30" t="str">
        <f>IFERROR(INDEX(Survey_Counts!$N$2:$N$743,MATCH(1,INDEX((Survey_Counts!$A$2:$A$743=W$3)*(Survey_Counts!$B$2:$B$743=$A7),0),0)),"")</f>
        <v/>
      </c>
      <c r="X7" s="30" t="str">
        <f>IFERROR(INDEX(Survey_Counts!$N$2:$N$743,MATCH(1,INDEX((Survey_Counts!$A$2:$A$743=X$3)*(Survey_Counts!$B$2:$B$743=$A7),0),0)),"")</f>
        <v/>
      </c>
      <c r="Y7" s="30">
        <f>IFERROR(INDEX(Survey_Counts!$N$2:$N$743,MATCH(1,INDEX((Survey_Counts!$A$2:$A$743=Y$3)*(Survey_Counts!$B$2:$B$743=$A7),0),0)),"")</f>
        <v>9.3352192362093356E-2</v>
      </c>
      <c r="Z7" s="30">
        <f>IFERROR(INDEX(Survey_Counts!$N$2:$N$743,MATCH(1,INDEX((Survey_Counts!$A$2:$A$743=Z$3)*(Survey_Counts!$B$2:$B$743=$A7),0),0)),"")</f>
        <v>9.3352192362093356E-2</v>
      </c>
      <c r="AA7" s="30">
        <f>IFERROR(INDEX(Survey_Counts!$N$2:$N$743,MATCH(1,INDEX((Survey_Counts!$A$2:$A$743=AA$3)*(Survey_Counts!$B$2:$B$743=$A7),0),0)),"")</f>
        <v>8.8803088803088806E-2</v>
      </c>
      <c r="AB7" s="30">
        <f>IFERROR(INDEX(Survey_Counts!$N$2:$N$743,MATCH(1,INDEX((Survey_Counts!$A$2:$A$743=AB$3)*(Survey_Counts!$B$2:$B$743=$A7),0),0)),"")</f>
        <v>8.8803088803088806E-2</v>
      </c>
      <c r="AC7" s="30">
        <f>IFERROR(INDEX(Survey_Counts!$N$2:$N$743,MATCH(1,INDEX((Survey_Counts!$A$2:$A$743=AC$3)*(Survey_Counts!$B$2:$B$743=$A7),0),0)),"")</f>
        <v>0.22164948453608246</v>
      </c>
      <c r="AD7" s="30">
        <f>IFERROR(INDEX(Survey_Counts!$N$2:$N$743,MATCH(1,INDEX((Survey_Counts!$A$2:$A$743=AD$3)*(Survey_Counts!$B$2:$B$743=$A7),0),0)),"")</f>
        <v>0.22164948453608246</v>
      </c>
      <c r="AE7" s="30">
        <f>IFERROR(INDEX(Survey_Counts!$N$2:$N$743,MATCH(1,INDEX((Survey_Counts!$A$2:$A$743=AE$3)*(Survey_Counts!$B$2:$B$743=$A7),0),0)),"")</f>
        <v>0.33684210526315789</v>
      </c>
      <c r="AF7" s="30">
        <f>IFERROR(INDEX(Survey_Counts!$N$2:$N$743,MATCH(1,INDEX((Survey_Counts!$A$2:$A$743=AF$3)*(Survey_Counts!$B$2:$B$743=$A7),0),0)),"")</f>
        <v>8.1081081081081086E-2</v>
      </c>
      <c r="AG7" s="30">
        <f>IFERROR(INDEX(Survey_Counts!$N$2:$N$743,MATCH(1,INDEX((Survey_Counts!$A$2:$A$743=AG$3)*(Survey_Counts!$B$2:$B$743=$A7),0),0)),"")</f>
        <v>8.368200836820083E-3</v>
      </c>
      <c r="AH7" s="30">
        <f>IFERROR(INDEX(Survey_Counts!$N$2:$N$743,MATCH(1,INDEX((Survey_Counts!$A$2:$A$743=AH$3)*(Survey_Counts!$B$2:$B$743=$A7),0),0)),"")</f>
        <v>0</v>
      </c>
      <c r="AI7" s="30" t="str">
        <f>IFERROR(INDEX(Survey_Counts!$N$2:$N$743,MATCH(1,INDEX((Survey_Counts!$A$2:$A$743=AI$3)*(Survey_Counts!$B$2:$B$743=$A7),0),0)),"")</f>
        <v/>
      </c>
      <c r="AJ7" s="30" t="str">
        <f>IFERROR(INDEX(Survey_Counts!$N$2:$N$743,MATCH(1,INDEX((Survey_Counts!$A$2:$A$743=AJ$3)*(Survey_Counts!$B$2:$B$743=$A7),0),0)),"")</f>
        <v/>
      </c>
      <c r="AK7" s="30" t="str">
        <f>IFERROR(INDEX(Survey_Counts!$N$2:$N$743,MATCH(1,INDEX((Survey_Counts!$A$2:$A$743=AK$3)*(Survey_Counts!$B$2:$B$743=$A7),0),0)),"")</f>
        <v/>
      </c>
      <c r="AL7" s="30" t="str">
        <f>IFERROR(INDEX(Survey_Counts!$N$2:$N$743,MATCH(1,INDEX((Survey_Counts!$A$2:$A$743=AL$3)*(Survey_Counts!$B$2:$B$743=$A7),0),0)),"")</f>
        <v/>
      </c>
      <c r="AM7" s="30" t="str">
        <f>IFERROR(INDEX(Survey_Counts!$N$2:$N$743,MATCH(1,INDEX((Survey_Counts!$A$2:$A$743=AM$3)*(Survey_Counts!$B$2:$B$743=$A7),0),0)),"")</f>
        <v/>
      </c>
      <c r="AN7" s="30" t="str">
        <f>IFERROR(INDEX(Survey_Counts!$N$2:$N$743,MATCH(1,INDEX((Survey_Counts!$A$2:$A$743=AN$3)*(Survey_Counts!$B$2:$B$743=$A7),0),0)),"")</f>
        <v/>
      </c>
      <c r="AO7" s="30">
        <f>IFERROR(INDEX(Survey_Counts!$N$2:$N$743,MATCH(1,INDEX((Survey_Counts!$A$2:$A$743=AO$3)*(Survey_Counts!$B$2:$B$743=$A7),0),0)),"")</f>
        <v>9.1954022988505746E-3</v>
      </c>
      <c r="AP7" s="30">
        <f>IFERROR(INDEX(Survey_Counts!$N$2:$N$743,MATCH(1,INDEX((Survey_Counts!$A$2:$A$743=AP$3)*(Survey_Counts!$B$2:$B$743=$A7),0),0)),"")</f>
        <v>9.1954022988505746E-3</v>
      </c>
      <c r="AQ7" s="30">
        <f>IFERROR(INDEX(Survey_Counts!$N$2:$N$743,MATCH(1,INDEX((Survey_Counts!$A$2:$A$743=AQ$3)*(Survey_Counts!$B$2:$B$743=$A7),0),0)),"")</f>
        <v>8.6206896551724137E-3</v>
      </c>
      <c r="AR7" s="30">
        <f>IFERROR(INDEX(Survey_Counts!$N$2:$N$743,MATCH(1,INDEX((Survey_Counts!$A$2:$A$743=AR$3)*(Survey_Counts!$B$2:$B$743=$A7),0),0)),"")</f>
        <v>0.22857142857142856</v>
      </c>
      <c r="AS7" s="30">
        <f>IFERROR(INDEX(Survey_Counts!$N$2:$N$743,MATCH(1,INDEX((Survey_Counts!$A$2:$A$743=AS$3)*(Survey_Counts!$B$2:$B$743=$A7),0),0)),"")</f>
        <v>0.18771331058020477</v>
      </c>
      <c r="AT7" s="30">
        <f>IFERROR(INDEX(Survey_Counts!$N$2:$N$743,MATCH(1,INDEX((Survey_Counts!$A$2:$A$743=AT$3)*(Survey_Counts!$B$2:$B$743=$A7),0),0)),"")</f>
        <v>4.6052631578947366E-2</v>
      </c>
      <c r="AU7" s="30">
        <f>IFERROR(INDEX(Survey_Counts!$N$2:$N$743,MATCH(1,INDEX((Survey_Counts!$A$2:$A$743=AU$3)*(Survey_Counts!$B$2:$B$743=$A7),0),0)),"")</f>
        <v>3.8167938931297711E-2</v>
      </c>
    </row>
    <row r="8" spans="1:47" ht="15" customHeight="1" x14ac:dyDescent="0.25">
      <c r="A8" s="22">
        <v>4</v>
      </c>
      <c r="B8" s="22" t="s">
        <v>465</v>
      </c>
      <c r="C8" s="22">
        <v>-165</v>
      </c>
      <c r="D8" s="30">
        <f>IFERROR(INDEX(Survey_Counts!$N$2:$N$743,MATCH(1,INDEX((Survey_Counts!$A$2:$A$743=D$3)*(Survey_Counts!$B$2:$B$743=$A8),0),0)),"")</f>
        <v>0.15508021390374332</v>
      </c>
      <c r="E8" s="30">
        <f>IFERROR(INDEX(Survey_Counts!$N$2:$N$743,MATCH(1,INDEX((Survey_Counts!$A$2:$A$743=E$3)*(Survey_Counts!$B$2:$B$743=$A8),0),0)),"")</f>
        <v>0.15508021390374332</v>
      </c>
      <c r="F8" s="30">
        <f>IFERROR(INDEX(Survey_Counts!$N$2:$N$743,MATCH(1,INDEX((Survey_Counts!$A$2:$A$743=F$3)*(Survey_Counts!$B$2:$B$743=$A8),0),0)),"")</f>
        <v>0.1471861471861472</v>
      </c>
      <c r="G8" s="30">
        <f>IFERROR(INDEX(Survey_Counts!$N$2:$N$743,MATCH(1,INDEX((Survey_Counts!$A$2:$A$743=G$3)*(Survey_Counts!$B$2:$B$743=$A8),0),0)),"")</f>
        <v>0.1471861471861472</v>
      </c>
      <c r="H8" s="30">
        <f>IFERROR(INDEX(Survey_Counts!$N$2:$N$743,MATCH(1,INDEX((Survey_Counts!$A$2:$A$743=H$3)*(Survey_Counts!$B$2:$B$743=$A8),0),0)),"")</f>
        <v>0.2880658436213992</v>
      </c>
      <c r="I8" s="30">
        <f>IFERROR(INDEX(Survey_Counts!$N$2:$N$743,MATCH(1,INDEX((Survey_Counts!$A$2:$A$743=I$3)*(Survey_Counts!$B$2:$B$743=$A8),0),0)),"")</f>
        <v>2.0356234096692113E-2</v>
      </c>
      <c r="J8" s="30">
        <f>IFERROR(INDEX(Survey_Counts!$N$2:$N$743,MATCH(1,INDEX((Survey_Counts!$A$2:$A$743=J$3)*(Survey_Counts!$B$2:$B$743=$A8),0),0)),"")</f>
        <v>1.6431924882629109E-2</v>
      </c>
      <c r="K8" s="30">
        <f>IFERROR(INDEX(Survey_Counts!$N$2:$N$743,MATCH(1,INDEX((Survey_Counts!$A$2:$A$743=K$3)*(Survey_Counts!$B$2:$B$743=$A8),0),0)),"")</f>
        <v>5.6603773584905662E-2</v>
      </c>
      <c r="L8" s="30">
        <f>IFERROR(INDEX(Survey_Counts!$N$2:$N$743,MATCH(1,INDEX((Survey_Counts!$A$2:$A$743=L$3)*(Survey_Counts!$B$2:$B$743=$A8),0),0)),"")</f>
        <v>0.19752559726962457</v>
      </c>
      <c r="M8" s="30">
        <f>IFERROR(INDEX(Survey_Counts!$N$2:$N$743,MATCH(1,INDEX((Survey_Counts!$A$2:$A$743=M$3)*(Survey_Counts!$B$2:$B$743=$A8),0),0)),"")</f>
        <v>0.19752559726962457</v>
      </c>
      <c r="N8" s="30">
        <f>IFERROR(INDEX(Survey_Counts!$N$2:$N$743,MATCH(1,INDEX((Survey_Counts!$A$2:$A$743=N$3)*(Survey_Counts!$B$2:$B$743=$A8),0),0)),"")</f>
        <v>9.5801937567276646E-2</v>
      </c>
      <c r="O8" s="30">
        <f>IFERROR(INDEX(Survey_Counts!$N$2:$N$743,MATCH(1,INDEX((Survey_Counts!$A$2:$A$743=O$3)*(Survey_Counts!$B$2:$B$743=$A8),0),0)),"")</f>
        <v>9.5801937567276646E-2</v>
      </c>
      <c r="P8" s="30">
        <f>IFERROR(INDEX(Survey_Counts!$N$2:$N$743,MATCH(1,INDEX((Survey_Counts!$A$2:$A$743=P$3)*(Survey_Counts!$B$2:$B$743=$A8),0),0)),"")</f>
        <v>0.17647058823529413</v>
      </c>
      <c r="Q8" s="30">
        <f>IFERROR(INDEX(Survey_Counts!$N$2:$N$743,MATCH(1,INDEX((Survey_Counts!$A$2:$A$743=Q$3)*(Survey_Counts!$B$2:$B$743=$A8),0),0)),"")</f>
        <v>0.14634146341463414</v>
      </c>
      <c r="R8" s="30">
        <f>IFERROR(INDEX(Survey_Counts!$N$2:$N$743,MATCH(1,INDEX((Survey_Counts!$A$2:$A$743=R$3)*(Survey_Counts!$B$2:$B$743=$A8),0),0)),"")</f>
        <v>0.39609053497942387</v>
      </c>
      <c r="S8" s="30">
        <f>IFERROR(INDEX(Survey_Counts!$N$2:$N$743,MATCH(1,INDEX((Survey_Counts!$A$2:$A$743=S$3)*(Survey_Counts!$B$2:$B$743=$A8),0),0)),"")</f>
        <v>0.36428571428571427</v>
      </c>
      <c r="T8" s="30">
        <f>IFERROR(INDEX(Survey_Counts!$N$2:$N$743,MATCH(1,INDEX((Survey_Counts!$A$2:$A$743=T$3)*(Survey_Counts!$B$2:$B$743=$A8),0),0)),"")</f>
        <v>1.3916500994035786E-2</v>
      </c>
      <c r="U8" s="30" t="str">
        <f>IFERROR(INDEX(Survey_Counts!$N$2:$N$743,MATCH(1,INDEX((Survey_Counts!$A$2:$A$743=U$3)*(Survey_Counts!$B$2:$B$743=$A8),0),0)),"")</f>
        <v/>
      </c>
      <c r="V8" s="30" t="str">
        <f>IFERROR(INDEX(Survey_Counts!$N$2:$N$743,MATCH(1,INDEX((Survey_Counts!$A$2:$A$743=V$3)*(Survey_Counts!$B$2:$B$743=$A8),0),0)),"")</f>
        <v/>
      </c>
      <c r="W8" s="30" t="str">
        <f>IFERROR(INDEX(Survey_Counts!$N$2:$N$743,MATCH(1,INDEX((Survey_Counts!$A$2:$A$743=W$3)*(Survey_Counts!$B$2:$B$743=$A8),0),0)),"")</f>
        <v/>
      </c>
      <c r="X8" s="30" t="str">
        <f>IFERROR(INDEX(Survey_Counts!$N$2:$N$743,MATCH(1,INDEX((Survey_Counts!$A$2:$A$743=X$3)*(Survey_Counts!$B$2:$B$743=$A8),0),0)),"")</f>
        <v/>
      </c>
      <c r="Y8" s="30">
        <f>IFERROR(INDEX(Survey_Counts!$N$2:$N$743,MATCH(1,INDEX((Survey_Counts!$A$2:$A$743=Y$3)*(Survey_Counts!$B$2:$B$743=$A8),0),0)),"")</f>
        <v>0.15841584158415842</v>
      </c>
      <c r="Z8" s="30">
        <f>IFERROR(INDEX(Survey_Counts!$N$2:$N$743,MATCH(1,INDEX((Survey_Counts!$A$2:$A$743=Z$3)*(Survey_Counts!$B$2:$B$743=$A8),0),0)),"")</f>
        <v>0.15841584158415842</v>
      </c>
      <c r="AA8" s="30">
        <f>IFERROR(INDEX(Survey_Counts!$N$2:$N$743,MATCH(1,INDEX((Survey_Counts!$A$2:$A$743=AA$3)*(Survey_Counts!$B$2:$B$743=$A8),0),0)),"")</f>
        <v>0.16216216216216217</v>
      </c>
      <c r="AB8" s="30">
        <f>IFERROR(INDEX(Survey_Counts!$N$2:$N$743,MATCH(1,INDEX((Survey_Counts!$A$2:$A$743=AB$3)*(Survey_Counts!$B$2:$B$743=$A8),0),0)),"")</f>
        <v>0.16216216216216217</v>
      </c>
      <c r="AC8" s="30">
        <f>IFERROR(INDEX(Survey_Counts!$N$2:$N$743,MATCH(1,INDEX((Survey_Counts!$A$2:$A$743=AC$3)*(Survey_Counts!$B$2:$B$743=$A8),0),0)),"")</f>
        <v>0.30412371134020616</v>
      </c>
      <c r="AD8" s="30">
        <f>IFERROR(INDEX(Survey_Counts!$N$2:$N$743,MATCH(1,INDEX((Survey_Counts!$A$2:$A$743=AD$3)*(Survey_Counts!$B$2:$B$743=$A8),0),0)),"")</f>
        <v>0.30412371134020616</v>
      </c>
      <c r="AE8" s="30">
        <f>IFERROR(INDEX(Survey_Counts!$N$2:$N$743,MATCH(1,INDEX((Survey_Counts!$A$2:$A$743=AE$3)*(Survey_Counts!$B$2:$B$743=$A8),0),0)),"")</f>
        <v>0.50526315789473686</v>
      </c>
      <c r="AF8" s="30">
        <f>IFERROR(INDEX(Survey_Counts!$N$2:$N$743,MATCH(1,INDEX((Survey_Counts!$A$2:$A$743=AF$3)*(Survey_Counts!$B$2:$B$743=$A8),0),0)),"")</f>
        <v>0.10810810810810811</v>
      </c>
      <c r="AG8" s="30">
        <f>IFERROR(INDEX(Survey_Counts!$N$2:$N$743,MATCH(1,INDEX((Survey_Counts!$A$2:$A$743=AG$3)*(Survey_Counts!$B$2:$B$743=$A8),0),0)),"")</f>
        <v>1.2552301255230125E-2</v>
      </c>
      <c r="AH8" s="30">
        <f>IFERROR(INDEX(Survey_Counts!$N$2:$N$743,MATCH(1,INDEX((Survey_Counts!$A$2:$A$743=AH$3)*(Survey_Counts!$B$2:$B$743=$A8),0),0)),"")</f>
        <v>0</v>
      </c>
      <c r="AI8" s="30" t="str">
        <f>IFERROR(INDEX(Survey_Counts!$N$2:$N$743,MATCH(1,INDEX((Survey_Counts!$A$2:$A$743=AI$3)*(Survey_Counts!$B$2:$B$743=$A8),0),0)),"")</f>
        <v/>
      </c>
      <c r="AJ8" s="30" t="str">
        <f>IFERROR(INDEX(Survey_Counts!$N$2:$N$743,MATCH(1,INDEX((Survey_Counts!$A$2:$A$743=AJ$3)*(Survey_Counts!$B$2:$B$743=$A8),0),0)),"")</f>
        <v/>
      </c>
      <c r="AK8" s="30" t="str">
        <f>IFERROR(INDEX(Survey_Counts!$N$2:$N$743,MATCH(1,INDEX((Survey_Counts!$A$2:$A$743=AK$3)*(Survey_Counts!$B$2:$B$743=$A8),0),0)),"")</f>
        <v/>
      </c>
      <c r="AL8" s="30" t="str">
        <f>IFERROR(INDEX(Survey_Counts!$N$2:$N$743,MATCH(1,INDEX((Survey_Counts!$A$2:$A$743=AL$3)*(Survey_Counts!$B$2:$B$743=$A8),0),0)),"")</f>
        <v/>
      </c>
      <c r="AM8" s="30" t="str">
        <f>IFERROR(INDEX(Survey_Counts!$N$2:$N$743,MATCH(1,INDEX((Survey_Counts!$A$2:$A$743=AM$3)*(Survey_Counts!$B$2:$B$743=$A8),0),0)),"")</f>
        <v/>
      </c>
      <c r="AN8" s="30" t="str">
        <f>IFERROR(INDEX(Survey_Counts!$N$2:$N$743,MATCH(1,INDEX((Survey_Counts!$A$2:$A$743=AN$3)*(Survey_Counts!$B$2:$B$743=$A8),0),0)),"")</f>
        <v/>
      </c>
      <c r="AO8" s="30">
        <f>IFERROR(INDEX(Survey_Counts!$N$2:$N$743,MATCH(1,INDEX((Survey_Counts!$A$2:$A$743=AO$3)*(Survey_Counts!$B$2:$B$743=$A8),0),0)),"")</f>
        <v>3.2183908045977011E-2</v>
      </c>
      <c r="AP8" s="30">
        <f>IFERROR(INDEX(Survey_Counts!$N$2:$N$743,MATCH(1,INDEX((Survey_Counts!$A$2:$A$743=AP$3)*(Survey_Counts!$B$2:$B$743=$A8),0),0)),"")</f>
        <v>3.2183908045977011E-2</v>
      </c>
      <c r="AQ8" s="30">
        <f>IFERROR(INDEX(Survey_Counts!$N$2:$N$743,MATCH(1,INDEX((Survey_Counts!$A$2:$A$743=AQ$3)*(Survey_Counts!$B$2:$B$743=$A8),0),0)),"")</f>
        <v>8.6206896551724137E-3</v>
      </c>
      <c r="AR8" s="30">
        <f>IFERROR(INDEX(Survey_Counts!$N$2:$N$743,MATCH(1,INDEX((Survey_Counts!$A$2:$A$743=AR$3)*(Survey_Counts!$B$2:$B$743=$A8),0),0)),"")</f>
        <v>0.26122448979591839</v>
      </c>
      <c r="AS8" s="30">
        <f>IFERROR(INDEX(Survey_Counts!$N$2:$N$743,MATCH(1,INDEX((Survey_Counts!$A$2:$A$743=AS$3)*(Survey_Counts!$B$2:$B$743=$A8),0),0)),"")</f>
        <v>0.26621160409556316</v>
      </c>
      <c r="AT8" s="30">
        <f>IFERROR(INDEX(Survey_Counts!$N$2:$N$743,MATCH(1,INDEX((Survey_Counts!$A$2:$A$743=AT$3)*(Survey_Counts!$B$2:$B$743=$A8),0),0)),"")</f>
        <v>7.8947368421052627E-2</v>
      </c>
      <c r="AU8" s="30">
        <f>IFERROR(INDEX(Survey_Counts!$N$2:$N$743,MATCH(1,INDEX((Survey_Counts!$A$2:$A$743=AU$3)*(Survey_Counts!$B$2:$B$743=$A8),0),0)),"")</f>
        <v>7.3791348600508899E-2</v>
      </c>
    </row>
    <row r="9" spans="1:47" ht="15" customHeight="1" x14ac:dyDescent="0.25">
      <c r="A9" s="22">
        <v>5</v>
      </c>
      <c r="B9" s="22" t="s">
        <v>466</v>
      </c>
      <c r="C9" s="22">
        <v>-150</v>
      </c>
      <c r="D9" s="30">
        <f>IFERROR(INDEX(Survey_Counts!$N$2:$N$743,MATCH(1,INDEX((Survey_Counts!$A$2:$A$743=D$3)*(Survey_Counts!$B$2:$B$743=$A9),0),0)),"")</f>
        <v>0.24598930481283424</v>
      </c>
      <c r="E9" s="30">
        <f>IFERROR(INDEX(Survey_Counts!$N$2:$N$743,MATCH(1,INDEX((Survey_Counts!$A$2:$A$743=E$3)*(Survey_Counts!$B$2:$B$743=$A9),0),0)),"")</f>
        <v>0.24598930481283424</v>
      </c>
      <c r="F9" s="30">
        <f>IFERROR(INDEX(Survey_Counts!$N$2:$N$743,MATCH(1,INDEX((Survey_Counts!$A$2:$A$743=F$3)*(Survey_Counts!$B$2:$B$743=$A9),0),0)),"")</f>
        <v>0.25541125541125542</v>
      </c>
      <c r="G9" s="30">
        <f>IFERROR(INDEX(Survey_Counts!$N$2:$N$743,MATCH(1,INDEX((Survey_Counts!$A$2:$A$743=G$3)*(Survey_Counts!$B$2:$B$743=$A9),0),0)),"")</f>
        <v>0.25541125541125542</v>
      </c>
      <c r="H9" s="30">
        <f>IFERROR(INDEX(Survey_Counts!$N$2:$N$743,MATCH(1,INDEX((Survey_Counts!$A$2:$A$743=H$3)*(Survey_Counts!$B$2:$B$743=$A9),0),0)),"")</f>
        <v>0.38477366255144035</v>
      </c>
      <c r="I9" s="30">
        <f>IFERROR(INDEX(Survey_Counts!$N$2:$N$743,MATCH(1,INDEX((Survey_Counts!$A$2:$A$743=I$3)*(Survey_Counts!$B$2:$B$743=$A9),0),0)),"")</f>
        <v>0.10432569974554708</v>
      </c>
      <c r="J9" s="30">
        <f>IFERROR(INDEX(Survey_Counts!$N$2:$N$743,MATCH(1,INDEX((Survey_Counts!$A$2:$A$743=J$3)*(Survey_Counts!$B$2:$B$743=$A9),0),0)),"")</f>
        <v>5.1643192488262914E-2</v>
      </c>
      <c r="K9" s="30">
        <f>IFERROR(INDEX(Survey_Counts!$N$2:$N$743,MATCH(1,INDEX((Survey_Counts!$A$2:$A$743=K$3)*(Survey_Counts!$B$2:$B$743=$A9),0),0)),"")</f>
        <v>8.4905660377358486E-2</v>
      </c>
      <c r="L9" s="30">
        <f>IFERROR(INDEX(Survey_Counts!$N$2:$N$743,MATCH(1,INDEX((Survey_Counts!$A$2:$A$743=L$3)*(Survey_Counts!$B$2:$B$743=$A9),0),0)),"")</f>
        <v>0.30332764505119453</v>
      </c>
      <c r="M9" s="30">
        <f>IFERROR(INDEX(Survey_Counts!$N$2:$N$743,MATCH(1,INDEX((Survey_Counts!$A$2:$A$743=M$3)*(Survey_Counts!$B$2:$B$743=$A9),0),0)),"")</f>
        <v>0.30332764505119453</v>
      </c>
      <c r="N9" s="30">
        <f>IFERROR(INDEX(Survey_Counts!$N$2:$N$743,MATCH(1,INDEX((Survey_Counts!$A$2:$A$743=N$3)*(Survey_Counts!$B$2:$B$743=$A9),0),0)),"")</f>
        <v>0.1969860064585576</v>
      </c>
      <c r="O9" s="30">
        <f>IFERROR(INDEX(Survey_Counts!$N$2:$N$743,MATCH(1,INDEX((Survey_Counts!$A$2:$A$743=O$3)*(Survey_Counts!$B$2:$B$743=$A9),0),0)),"")</f>
        <v>0.1969860064585576</v>
      </c>
      <c r="P9" s="30">
        <f>IFERROR(INDEX(Survey_Counts!$N$2:$N$743,MATCH(1,INDEX((Survey_Counts!$A$2:$A$743=P$3)*(Survey_Counts!$B$2:$B$743=$A9),0),0)),"")</f>
        <v>0.21176470588235294</v>
      </c>
      <c r="Q9" s="30">
        <f>IFERROR(INDEX(Survey_Counts!$N$2:$N$743,MATCH(1,INDEX((Survey_Counts!$A$2:$A$743=Q$3)*(Survey_Counts!$B$2:$B$743=$A9),0),0)),"")</f>
        <v>0.18292682926829268</v>
      </c>
      <c r="R9" s="30">
        <f>IFERROR(INDEX(Survey_Counts!$N$2:$N$743,MATCH(1,INDEX((Survey_Counts!$A$2:$A$743=R$3)*(Survey_Counts!$B$2:$B$743=$A9),0),0)),"")</f>
        <v>0.53497942386831276</v>
      </c>
      <c r="S9" s="30">
        <f>IFERROR(INDEX(Survey_Counts!$N$2:$N$743,MATCH(1,INDEX((Survey_Counts!$A$2:$A$743=S$3)*(Survey_Counts!$B$2:$B$743=$A9),0),0)),"")</f>
        <v>0.40357142857142858</v>
      </c>
      <c r="T9" s="30">
        <f>IFERROR(INDEX(Survey_Counts!$N$2:$N$743,MATCH(1,INDEX((Survey_Counts!$A$2:$A$743=T$3)*(Survey_Counts!$B$2:$B$743=$A9),0),0)),"")</f>
        <v>6.560636182902585E-2</v>
      </c>
      <c r="U9" s="30" t="str">
        <f>IFERROR(INDEX(Survey_Counts!$N$2:$N$743,MATCH(1,INDEX((Survey_Counts!$A$2:$A$743=U$3)*(Survey_Counts!$B$2:$B$743=$A9),0),0)),"")</f>
        <v/>
      </c>
      <c r="V9" s="30" t="str">
        <f>IFERROR(INDEX(Survey_Counts!$N$2:$N$743,MATCH(1,INDEX((Survey_Counts!$A$2:$A$743=V$3)*(Survey_Counts!$B$2:$B$743=$A9),0),0)),"")</f>
        <v/>
      </c>
      <c r="W9" s="30" t="str">
        <f>IFERROR(INDEX(Survey_Counts!$N$2:$N$743,MATCH(1,INDEX((Survey_Counts!$A$2:$A$743=W$3)*(Survey_Counts!$B$2:$B$743=$A9),0),0)),"")</f>
        <v/>
      </c>
      <c r="X9" s="30" t="str">
        <f>IFERROR(INDEX(Survey_Counts!$N$2:$N$743,MATCH(1,INDEX((Survey_Counts!$A$2:$A$743=X$3)*(Survey_Counts!$B$2:$B$743=$A9),0),0)),"")</f>
        <v/>
      </c>
      <c r="Y9" s="30">
        <f>IFERROR(INDEX(Survey_Counts!$N$2:$N$743,MATCH(1,INDEX((Survey_Counts!$A$2:$A$743=Y$3)*(Survey_Counts!$B$2:$B$743=$A9),0),0)),"")</f>
        <v>0.26449787835926447</v>
      </c>
      <c r="Z9" s="30">
        <f>IFERROR(INDEX(Survey_Counts!$N$2:$N$743,MATCH(1,INDEX((Survey_Counts!$A$2:$A$743=Z$3)*(Survey_Counts!$B$2:$B$743=$A9),0),0)),"")</f>
        <v>0.26449787835926447</v>
      </c>
      <c r="AA9" s="30">
        <f>IFERROR(INDEX(Survey_Counts!$N$2:$N$743,MATCH(1,INDEX((Survey_Counts!$A$2:$A$743=AA$3)*(Survey_Counts!$B$2:$B$743=$A9),0),0)),"")</f>
        <v>0.26254826254826252</v>
      </c>
      <c r="AB9" s="30">
        <f>IFERROR(INDEX(Survey_Counts!$N$2:$N$743,MATCH(1,INDEX((Survey_Counts!$A$2:$A$743=AB$3)*(Survey_Counts!$B$2:$B$743=$A9),0),0)),"")</f>
        <v>0.26254826254826252</v>
      </c>
      <c r="AC9" s="30">
        <f>IFERROR(INDEX(Survey_Counts!$N$2:$N$743,MATCH(1,INDEX((Survey_Counts!$A$2:$A$743=AC$3)*(Survey_Counts!$B$2:$B$743=$A9),0),0)),"")</f>
        <v>0.39690721649484534</v>
      </c>
      <c r="AD9" s="30">
        <f>IFERROR(INDEX(Survey_Counts!$N$2:$N$743,MATCH(1,INDEX((Survey_Counts!$A$2:$A$743=AD$3)*(Survey_Counts!$B$2:$B$743=$A9),0),0)),"")</f>
        <v>0.39690721649484534</v>
      </c>
      <c r="AE9" s="30">
        <f>IFERROR(INDEX(Survey_Counts!$N$2:$N$743,MATCH(1,INDEX((Survey_Counts!$A$2:$A$743=AE$3)*(Survey_Counts!$B$2:$B$743=$A9),0),0)),"")</f>
        <v>0.6</v>
      </c>
      <c r="AF9" s="30">
        <f>IFERROR(INDEX(Survey_Counts!$N$2:$N$743,MATCH(1,INDEX((Survey_Counts!$A$2:$A$743=AF$3)*(Survey_Counts!$B$2:$B$743=$A9),0),0)),"")</f>
        <v>0.18378378378378379</v>
      </c>
      <c r="AG9" s="30">
        <f>IFERROR(INDEX(Survey_Counts!$N$2:$N$743,MATCH(1,INDEX((Survey_Counts!$A$2:$A$743=AG$3)*(Survey_Counts!$B$2:$B$743=$A9),0),0)),"")</f>
        <v>3.7656903765690378E-2</v>
      </c>
      <c r="AH9" s="30">
        <f>IFERROR(INDEX(Survey_Counts!$N$2:$N$743,MATCH(1,INDEX((Survey_Counts!$A$2:$A$743=AH$3)*(Survey_Counts!$B$2:$B$743=$A9),0),0)),"")</f>
        <v>8.6757990867579904E-2</v>
      </c>
      <c r="AI9" s="30" t="str">
        <f>IFERROR(INDEX(Survey_Counts!$N$2:$N$743,MATCH(1,INDEX((Survey_Counts!$A$2:$A$743=AI$3)*(Survey_Counts!$B$2:$B$743=$A9),0),0)),"")</f>
        <v/>
      </c>
      <c r="AJ9" s="30" t="str">
        <f>IFERROR(INDEX(Survey_Counts!$N$2:$N$743,MATCH(1,INDEX((Survey_Counts!$A$2:$A$743=AJ$3)*(Survey_Counts!$B$2:$B$743=$A9),0),0)),"")</f>
        <v/>
      </c>
      <c r="AK9" s="30" t="str">
        <f>IFERROR(INDEX(Survey_Counts!$N$2:$N$743,MATCH(1,INDEX((Survey_Counts!$A$2:$A$743=AK$3)*(Survey_Counts!$B$2:$B$743=$A9),0),0)),"")</f>
        <v/>
      </c>
      <c r="AL9" s="30" t="str">
        <f>IFERROR(INDEX(Survey_Counts!$N$2:$N$743,MATCH(1,INDEX((Survey_Counts!$A$2:$A$743=AL$3)*(Survey_Counts!$B$2:$B$743=$A9),0),0)),"")</f>
        <v/>
      </c>
      <c r="AM9" s="30" t="str">
        <f>IFERROR(INDEX(Survey_Counts!$N$2:$N$743,MATCH(1,INDEX((Survey_Counts!$A$2:$A$743=AM$3)*(Survey_Counts!$B$2:$B$743=$A9),0),0)),"")</f>
        <v/>
      </c>
      <c r="AN9" s="30" t="str">
        <f>IFERROR(INDEX(Survey_Counts!$N$2:$N$743,MATCH(1,INDEX((Survey_Counts!$A$2:$A$743=AN$3)*(Survey_Counts!$B$2:$B$743=$A9),0),0)),"")</f>
        <v/>
      </c>
      <c r="AO9" s="30">
        <f>IFERROR(INDEX(Survey_Counts!$N$2:$N$743,MATCH(1,INDEX((Survey_Counts!$A$2:$A$743=AO$3)*(Survey_Counts!$B$2:$B$743=$A9),0),0)),"")</f>
        <v>6.8965517241379309E-2</v>
      </c>
      <c r="AP9" s="30">
        <f>IFERROR(INDEX(Survey_Counts!$N$2:$N$743,MATCH(1,INDEX((Survey_Counts!$A$2:$A$743=AP$3)*(Survey_Counts!$B$2:$B$743=$A9),0),0)),"")</f>
        <v>6.8965517241379309E-2</v>
      </c>
      <c r="AQ9" s="30">
        <f>IFERROR(INDEX(Survey_Counts!$N$2:$N$743,MATCH(1,INDEX((Survey_Counts!$A$2:$A$743=AQ$3)*(Survey_Counts!$B$2:$B$743=$A9),0),0)),"")</f>
        <v>1.7241379310344827E-2</v>
      </c>
      <c r="AR9" s="30">
        <f>IFERROR(INDEX(Survey_Counts!$N$2:$N$743,MATCH(1,INDEX((Survey_Counts!$A$2:$A$743=AR$3)*(Survey_Counts!$B$2:$B$743=$A9),0),0)),"")</f>
        <v>0.33061224489795921</v>
      </c>
      <c r="AS9" s="30">
        <f>IFERROR(INDEX(Survey_Counts!$N$2:$N$743,MATCH(1,INDEX((Survey_Counts!$A$2:$A$743=AS$3)*(Survey_Counts!$B$2:$B$743=$A9),0),0)),"")</f>
        <v>0.3651877133105802</v>
      </c>
      <c r="AT9" s="30">
        <f>IFERROR(INDEX(Survey_Counts!$N$2:$N$743,MATCH(1,INDEX((Survey_Counts!$A$2:$A$743=AT$3)*(Survey_Counts!$B$2:$B$743=$A9),0),0)),"")</f>
        <v>0.18092105263157895</v>
      </c>
      <c r="AU9" s="30">
        <f>IFERROR(INDEX(Survey_Counts!$N$2:$N$743,MATCH(1,INDEX((Survey_Counts!$A$2:$A$743=AU$3)*(Survey_Counts!$B$2:$B$743=$A9),0),0)),"")</f>
        <v>0.13231552162849872</v>
      </c>
    </row>
    <row r="10" spans="1:47" ht="15" customHeight="1" x14ac:dyDescent="0.25">
      <c r="A10" s="22">
        <v>6</v>
      </c>
      <c r="B10" s="22" t="s">
        <v>467</v>
      </c>
      <c r="C10" s="22">
        <v>-135</v>
      </c>
      <c r="D10" s="30">
        <f>IFERROR(INDEX(Survey_Counts!$N$2:$N$743,MATCH(1,INDEX((Survey_Counts!$A$2:$A$743=D$3)*(Survey_Counts!$B$2:$B$743=$A10),0),0)),"")</f>
        <v>0.33689839572192515</v>
      </c>
      <c r="E10" s="30">
        <f>IFERROR(INDEX(Survey_Counts!$N$2:$N$743,MATCH(1,INDEX((Survey_Counts!$A$2:$A$743=E$3)*(Survey_Counts!$B$2:$B$743=$A10),0),0)),"")</f>
        <v>0.33689839572192515</v>
      </c>
      <c r="F10" s="30">
        <f>IFERROR(INDEX(Survey_Counts!$N$2:$N$743,MATCH(1,INDEX((Survey_Counts!$A$2:$A$743=F$3)*(Survey_Counts!$B$2:$B$743=$A10),0),0)),"")</f>
        <v>0.32467532467532467</v>
      </c>
      <c r="G10" s="30">
        <f>IFERROR(INDEX(Survey_Counts!$N$2:$N$743,MATCH(1,INDEX((Survey_Counts!$A$2:$A$743=G$3)*(Survey_Counts!$B$2:$B$743=$A10),0),0)),"")</f>
        <v>0.32467532467532467</v>
      </c>
      <c r="H10" s="30">
        <f>IFERROR(INDEX(Survey_Counts!$N$2:$N$743,MATCH(1,INDEX((Survey_Counts!$A$2:$A$743=H$3)*(Survey_Counts!$B$2:$B$743=$A10),0),0)),"")</f>
        <v>0.49382716049382713</v>
      </c>
      <c r="I10" s="30">
        <f>IFERROR(INDEX(Survey_Counts!$N$2:$N$743,MATCH(1,INDEX((Survey_Counts!$A$2:$A$743=I$3)*(Survey_Counts!$B$2:$B$743=$A10),0),0)),"")</f>
        <v>0.21119592875318066</v>
      </c>
      <c r="J10" s="30">
        <f>IFERROR(INDEX(Survey_Counts!$N$2:$N$743,MATCH(1,INDEX((Survey_Counts!$A$2:$A$743=J$3)*(Survey_Counts!$B$2:$B$743=$A10),0),0)),"")</f>
        <v>7.2769953051643188E-2</v>
      </c>
      <c r="K10" s="30">
        <f>IFERROR(INDEX(Survey_Counts!$N$2:$N$743,MATCH(1,INDEX((Survey_Counts!$A$2:$A$743=K$3)*(Survey_Counts!$B$2:$B$743=$A10),0),0)),"")</f>
        <v>0.18867924528301888</v>
      </c>
      <c r="L10" s="30">
        <f>IFERROR(INDEX(Survey_Counts!$N$2:$N$743,MATCH(1,INDEX((Survey_Counts!$A$2:$A$743=L$3)*(Survey_Counts!$B$2:$B$743=$A10),0),0)),"")</f>
        <v>0.41339590443686008</v>
      </c>
      <c r="M10" s="30">
        <f>IFERROR(INDEX(Survey_Counts!$N$2:$N$743,MATCH(1,INDEX((Survey_Counts!$A$2:$A$743=M$3)*(Survey_Counts!$B$2:$B$743=$A10),0),0)),"")</f>
        <v>0.41339590443686008</v>
      </c>
      <c r="N10" s="30">
        <f>IFERROR(INDEX(Survey_Counts!$N$2:$N$743,MATCH(1,INDEX((Survey_Counts!$A$2:$A$743=N$3)*(Survey_Counts!$B$2:$B$743=$A10),0),0)),"")</f>
        <v>0.33046286329386437</v>
      </c>
      <c r="O10" s="30">
        <f>IFERROR(INDEX(Survey_Counts!$N$2:$N$743,MATCH(1,INDEX((Survey_Counts!$A$2:$A$743=O$3)*(Survey_Counts!$B$2:$B$743=$A10),0),0)),"")</f>
        <v>0.33046286329386437</v>
      </c>
      <c r="P10" s="30">
        <f>IFERROR(INDEX(Survey_Counts!$N$2:$N$743,MATCH(1,INDEX((Survey_Counts!$A$2:$A$743=P$3)*(Survey_Counts!$B$2:$B$743=$A10),0),0)),"")</f>
        <v>0.2</v>
      </c>
      <c r="Q10" s="30">
        <f>IFERROR(INDEX(Survey_Counts!$N$2:$N$743,MATCH(1,INDEX((Survey_Counts!$A$2:$A$743=Q$3)*(Survey_Counts!$B$2:$B$743=$A10),0),0)),"")</f>
        <v>0.17073170731707318</v>
      </c>
      <c r="R10" s="30">
        <f>IFERROR(INDEX(Survey_Counts!$N$2:$N$743,MATCH(1,INDEX((Survey_Counts!$A$2:$A$743=R$3)*(Survey_Counts!$B$2:$B$743=$A10),0),0)),"")</f>
        <v>0.65020576131687247</v>
      </c>
      <c r="S10" s="30">
        <f>IFERROR(INDEX(Survey_Counts!$N$2:$N$743,MATCH(1,INDEX((Survey_Counts!$A$2:$A$743=S$3)*(Survey_Counts!$B$2:$B$743=$A10),0),0)),"")</f>
        <v>0.46785714285714286</v>
      </c>
      <c r="T10" s="30">
        <f>IFERROR(INDEX(Survey_Counts!$N$2:$N$743,MATCH(1,INDEX((Survey_Counts!$A$2:$A$743=T$3)*(Survey_Counts!$B$2:$B$743=$A10),0),0)),"")</f>
        <v>0.13717693836978131</v>
      </c>
      <c r="U10" s="30" t="str">
        <f>IFERROR(INDEX(Survey_Counts!$N$2:$N$743,MATCH(1,INDEX((Survey_Counts!$A$2:$A$743=U$3)*(Survey_Counts!$B$2:$B$743=$A10),0),0)),"")</f>
        <v/>
      </c>
      <c r="V10" s="30" t="str">
        <f>IFERROR(INDEX(Survey_Counts!$N$2:$N$743,MATCH(1,INDEX((Survey_Counts!$A$2:$A$743=V$3)*(Survey_Counts!$B$2:$B$743=$A10),0),0)),"")</f>
        <v/>
      </c>
      <c r="W10" s="30" t="str">
        <f>IFERROR(INDEX(Survey_Counts!$N$2:$N$743,MATCH(1,INDEX((Survey_Counts!$A$2:$A$743=W$3)*(Survey_Counts!$B$2:$B$743=$A10),0),0)),"")</f>
        <v/>
      </c>
      <c r="X10" s="30" t="str">
        <f>IFERROR(INDEX(Survey_Counts!$N$2:$N$743,MATCH(1,INDEX((Survey_Counts!$A$2:$A$743=X$3)*(Survey_Counts!$B$2:$B$743=$A10),0),0)),"")</f>
        <v/>
      </c>
      <c r="Y10" s="30">
        <f>IFERROR(INDEX(Survey_Counts!$N$2:$N$743,MATCH(1,INDEX((Survey_Counts!$A$2:$A$743=Y$3)*(Survey_Counts!$B$2:$B$743=$A10),0),0)),"")</f>
        <v>0.39321074964639319</v>
      </c>
      <c r="Z10" s="30">
        <f>IFERROR(INDEX(Survey_Counts!$N$2:$N$743,MATCH(1,INDEX((Survey_Counts!$A$2:$A$743=Z$3)*(Survey_Counts!$B$2:$B$743=$A10),0),0)),"")</f>
        <v>0.39321074964639319</v>
      </c>
      <c r="AA10" s="30">
        <f>IFERROR(INDEX(Survey_Counts!$N$2:$N$743,MATCH(1,INDEX((Survey_Counts!$A$2:$A$743=AA$3)*(Survey_Counts!$B$2:$B$743=$A10),0),0)),"")</f>
        <v>0.35907335907335908</v>
      </c>
      <c r="AB10" s="30">
        <f>IFERROR(INDEX(Survey_Counts!$N$2:$N$743,MATCH(1,INDEX((Survey_Counts!$A$2:$A$743=AB$3)*(Survey_Counts!$B$2:$B$743=$A10),0),0)),"")</f>
        <v>0.35907335907335908</v>
      </c>
      <c r="AC10" s="30">
        <f>IFERROR(INDEX(Survey_Counts!$N$2:$N$743,MATCH(1,INDEX((Survey_Counts!$A$2:$A$743=AC$3)*(Survey_Counts!$B$2:$B$743=$A10),0),0)),"")</f>
        <v>0.5</v>
      </c>
      <c r="AD10" s="30">
        <f>IFERROR(INDEX(Survey_Counts!$N$2:$N$743,MATCH(1,INDEX((Survey_Counts!$A$2:$A$743=AD$3)*(Survey_Counts!$B$2:$B$743=$A10),0),0)),"")</f>
        <v>0.5</v>
      </c>
      <c r="AE10" s="30">
        <f>IFERROR(INDEX(Survey_Counts!$N$2:$N$743,MATCH(1,INDEX((Survey_Counts!$A$2:$A$743=AE$3)*(Survey_Counts!$B$2:$B$743=$A10),0),0)),"")</f>
        <v>0.65789473684210531</v>
      </c>
      <c r="AF10" s="30">
        <f>IFERROR(INDEX(Survey_Counts!$N$2:$N$743,MATCH(1,INDEX((Survey_Counts!$A$2:$A$743=AF$3)*(Survey_Counts!$B$2:$B$743=$A10),0),0)),"")</f>
        <v>0.24324324324324326</v>
      </c>
      <c r="AG10" s="30">
        <f>IFERROR(INDEX(Survey_Counts!$N$2:$N$743,MATCH(1,INDEX((Survey_Counts!$A$2:$A$743=AG$3)*(Survey_Counts!$B$2:$B$743=$A10),0),0)),"")</f>
        <v>9.6234309623430964E-2</v>
      </c>
      <c r="AH10" s="30">
        <f>IFERROR(INDEX(Survey_Counts!$N$2:$N$743,MATCH(1,INDEX((Survey_Counts!$A$2:$A$743=AH$3)*(Survey_Counts!$B$2:$B$743=$A10),0),0)),"")</f>
        <v>0.15981735159817351</v>
      </c>
      <c r="AI10" s="30" t="str">
        <f>IFERROR(INDEX(Survey_Counts!$N$2:$N$743,MATCH(1,INDEX((Survey_Counts!$A$2:$A$743=AI$3)*(Survey_Counts!$B$2:$B$743=$A10),0),0)),"")</f>
        <v/>
      </c>
      <c r="AJ10" s="30" t="str">
        <f>IFERROR(INDEX(Survey_Counts!$N$2:$N$743,MATCH(1,INDEX((Survey_Counts!$A$2:$A$743=AJ$3)*(Survey_Counts!$B$2:$B$743=$A10),0),0)),"")</f>
        <v/>
      </c>
      <c r="AK10" s="30" t="str">
        <f>IFERROR(INDEX(Survey_Counts!$N$2:$N$743,MATCH(1,INDEX((Survey_Counts!$A$2:$A$743=AK$3)*(Survey_Counts!$B$2:$B$743=$A10),0),0)),"")</f>
        <v/>
      </c>
      <c r="AL10" s="30" t="str">
        <f>IFERROR(INDEX(Survey_Counts!$N$2:$N$743,MATCH(1,INDEX((Survey_Counts!$A$2:$A$743=AL$3)*(Survey_Counts!$B$2:$B$743=$A10),0),0)),"")</f>
        <v/>
      </c>
      <c r="AM10" s="30" t="str">
        <f>IFERROR(INDEX(Survey_Counts!$N$2:$N$743,MATCH(1,INDEX((Survey_Counts!$A$2:$A$743=AM$3)*(Survey_Counts!$B$2:$B$743=$A10),0),0)),"")</f>
        <v/>
      </c>
      <c r="AN10" s="30" t="str">
        <f>IFERROR(INDEX(Survey_Counts!$N$2:$N$743,MATCH(1,INDEX((Survey_Counts!$A$2:$A$743=AN$3)*(Survey_Counts!$B$2:$B$743=$A10),0),0)),"")</f>
        <v/>
      </c>
      <c r="AO10" s="30">
        <f>IFERROR(INDEX(Survey_Counts!$N$2:$N$743,MATCH(1,INDEX((Survey_Counts!$A$2:$A$743=AO$3)*(Survey_Counts!$B$2:$B$743=$A10),0),0)),"")</f>
        <v>0.1103448275862069</v>
      </c>
      <c r="AP10" s="30">
        <f>IFERROR(INDEX(Survey_Counts!$N$2:$N$743,MATCH(1,INDEX((Survey_Counts!$A$2:$A$743=AP$3)*(Survey_Counts!$B$2:$B$743=$A10),0),0)),"")</f>
        <v>0.1103448275862069</v>
      </c>
      <c r="AQ10" s="30">
        <f>IFERROR(INDEX(Survey_Counts!$N$2:$N$743,MATCH(1,INDEX((Survey_Counts!$A$2:$A$743=AQ$3)*(Survey_Counts!$B$2:$B$743=$A10),0),0)),"")</f>
        <v>3.4482758620689655E-2</v>
      </c>
      <c r="AR10" s="30">
        <f>IFERROR(INDEX(Survey_Counts!$N$2:$N$743,MATCH(1,INDEX((Survey_Counts!$A$2:$A$743=AR$3)*(Survey_Counts!$B$2:$B$743=$A10),0),0)),"")</f>
        <v>0.39591836734693875</v>
      </c>
      <c r="AS10" s="30">
        <f>IFERROR(INDEX(Survey_Counts!$N$2:$N$743,MATCH(1,INDEX((Survey_Counts!$A$2:$A$743=AS$3)*(Survey_Counts!$B$2:$B$743=$A10),0),0)),"")</f>
        <v>0.45051194539249145</v>
      </c>
      <c r="AT10" s="30">
        <f>IFERROR(INDEX(Survey_Counts!$N$2:$N$743,MATCH(1,INDEX((Survey_Counts!$A$2:$A$743=AT$3)*(Survey_Counts!$B$2:$B$743=$A10),0),0)),"")</f>
        <v>0.25657894736842107</v>
      </c>
      <c r="AU10" s="30">
        <f>IFERROR(INDEX(Survey_Counts!$N$2:$N$743,MATCH(1,INDEX((Survey_Counts!$A$2:$A$743=AU$3)*(Survey_Counts!$B$2:$B$743=$A10),0),0)),"")</f>
        <v>0.19592875318066158</v>
      </c>
    </row>
    <row r="11" spans="1:47" ht="15" customHeight="1" x14ac:dyDescent="0.25">
      <c r="A11" s="22">
        <v>7</v>
      </c>
      <c r="B11" s="22" t="s">
        <v>212</v>
      </c>
      <c r="C11" s="22">
        <v>-120</v>
      </c>
      <c r="D11" s="30">
        <f>IFERROR(INDEX(Survey_Counts!$N$2:$N$743,MATCH(1,INDEX((Survey_Counts!$A$2:$A$743=D$3)*(Survey_Counts!$B$2:$B$743=$A11),0),0)),"")</f>
        <v>0.35828877005347592</v>
      </c>
      <c r="E11" s="30">
        <f>IFERROR(INDEX(Survey_Counts!$N$2:$N$743,MATCH(1,INDEX((Survey_Counts!$A$2:$A$743=E$3)*(Survey_Counts!$B$2:$B$743=$A11),0),0)),"")</f>
        <v>0.35828877005347592</v>
      </c>
      <c r="F11" s="30">
        <f>IFERROR(INDEX(Survey_Counts!$N$2:$N$743,MATCH(1,INDEX((Survey_Counts!$A$2:$A$743=F$3)*(Survey_Counts!$B$2:$B$743=$A11),0),0)),"")</f>
        <v>0.35064935064935066</v>
      </c>
      <c r="G11" s="30">
        <f>IFERROR(INDEX(Survey_Counts!$N$2:$N$743,MATCH(1,INDEX((Survey_Counts!$A$2:$A$743=G$3)*(Survey_Counts!$B$2:$B$743=$A11),0),0)),"")</f>
        <v>0.35064935064935066</v>
      </c>
      <c r="H11" s="30">
        <f>IFERROR(INDEX(Survey_Counts!$N$2:$N$743,MATCH(1,INDEX((Survey_Counts!$A$2:$A$743=H$3)*(Survey_Counts!$B$2:$B$743=$A11),0),0)),"")</f>
        <v>0.55144032921810704</v>
      </c>
      <c r="I11" s="30">
        <f>IFERROR(INDEX(Survey_Counts!$N$2:$N$743,MATCH(1,INDEX((Survey_Counts!$A$2:$A$743=I$3)*(Survey_Counts!$B$2:$B$743=$A11),0),0)),"")</f>
        <v>0.31297709923664124</v>
      </c>
      <c r="J11" s="30">
        <f>IFERROR(INDEX(Survey_Counts!$N$2:$N$743,MATCH(1,INDEX((Survey_Counts!$A$2:$A$743=J$3)*(Survey_Counts!$B$2:$B$743=$A11),0),0)),"")</f>
        <v>0.13145539906103287</v>
      </c>
      <c r="K11" s="30">
        <f>IFERROR(INDEX(Survey_Counts!$N$2:$N$743,MATCH(1,INDEX((Survey_Counts!$A$2:$A$743=K$3)*(Survey_Counts!$B$2:$B$743=$A11),0),0)),"")</f>
        <v>0.36792452830188677</v>
      </c>
      <c r="L11" s="30">
        <f>IFERROR(INDEX(Survey_Counts!$N$2:$N$743,MATCH(1,INDEX((Survey_Counts!$A$2:$A$743=L$3)*(Survey_Counts!$B$2:$B$743=$A11),0),0)),"")</f>
        <v>0.53071672354948807</v>
      </c>
      <c r="M11" s="30">
        <f>IFERROR(INDEX(Survey_Counts!$N$2:$N$743,MATCH(1,INDEX((Survey_Counts!$A$2:$A$743=M$3)*(Survey_Counts!$B$2:$B$743=$A11),0),0)),"")</f>
        <v>0.53071672354948807</v>
      </c>
      <c r="N11" s="30">
        <f>IFERROR(INDEX(Survey_Counts!$N$2:$N$743,MATCH(1,INDEX((Survey_Counts!$A$2:$A$743=N$3)*(Survey_Counts!$B$2:$B$743=$A11),0),0)),"")</f>
        <v>0.46286329386437031</v>
      </c>
      <c r="O11" s="30">
        <f>IFERROR(INDEX(Survey_Counts!$N$2:$N$743,MATCH(1,INDEX((Survey_Counts!$A$2:$A$743=O$3)*(Survey_Counts!$B$2:$B$743=$A11),0),0)),"")</f>
        <v>0.46286329386437031</v>
      </c>
      <c r="P11" s="30">
        <f>IFERROR(INDEX(Survey_Counts!$N$2:$N$743,MATCH(1,INDEX((Survey_Counts!$A$2:$A$743=P$3)*(Survey_Counts!$B$2:$B$743=$A11),0),0)),"")</f>
        <v>0.17647058823529413</v>
      </c>
      <c r="Q11" s="30">
        <f>IFERROR(INDEX(Survey_Counts!$N$2:$N$743,MATCH(1,INDEX((Survey_Counts!$A$2:$A$743=Q$3)*(Survey_Counts!$B$2:$B$743=$A11),0),0)),"")</f>
        <v>0.14634146341463414</v>
      </c>
      <c r="R11" s="30">
        <f>IFERROR(INDEX(Survey_Counts!$N$2:$N$743,MATCH(1,INDEX((Survey_Counts!$A$2:$A$743=R$3)*(Survey_Counts!$B$2:$B$743=$A11),0),0)),"")</f>
        <v>0.72633744855967075</v>
      </c>
      <c r="S11" s="30">
        <f>IFERROR(INDEX(Survey_Counts!$N$2:$N$743,MATCH(1,INDEX((Survey_Counts!$A$2:$A$743=S$3)*(Survey_Counts!$B$2:$B$743=$A11),0),0)),"")</f>
        <v>0.55000000000000004</v>
      </c>
      <c r="T11" s="30">
        <f>IFERROR(INDEX(Survey_Counts!$N$2:$N$743,MATCH(1,INDEX((Survey_Counts!$A$2:$A$743=T$3)*(Survey_Counts!$B$2:$B$743=$A11),0),0)),"")</f>
        <v>0.28827037773359843</v>
      </c>
      <c r="U11" s="30">
        <f>IFERROR(INDEX(Survey_Counts!$N$2:$N$743,MATCH(1,INDEX((Survey_Counts!$A$2:$A$743=U$3)*(Survey_Counts!$B$2:$B$743=$A11),0),0)),"")</f>
        <v>0.48325635103926096</v>
      </c>
      <c r="V11" s="30">
        <f>IFERROR(INDEX(Survey_Counts!$N$2:$N$743,MATCH(1,INDEX((Survey_Counts!$A$2:$A$743=V$3)*(Survey_Counts!$B$2:$B$743=$A11),0),0)),"")</f>
        <v>0.27027027027027029</v>
      </c>
      <c r="W11" s="30">
        <f>IFERROR(INDEX(Survey_Counts!$N$2:$N$743,MATCH(1,INDEX((Survey_Counts!$A$2:$A$743=W$3)*(Survey_Counts!$B$2:$B$743=$A11),0),0)),"")</f>
        <v>0.27392739273927391</v>
      </c>
      <c r="X11" s="30">
        <f>IFERROR(INDEX(Survey_Counts!$N$2:$N$743,MATCH(1,INDEX((Survey_Counts!$A$2:$A$743=X$3)*(Survey_Counts!$B$2:$B$743=$A11),0),0)),"")</f>
        <v>0.30916030534351147</v>
      </c>
      <c r="Y11" s="30">
        <f>IFERROR(INDEX(Survey_Counts!$N$2:$N$743,MATCH(1,INDEX((Survey_Counts!$A$2:$A$743=Y$3)*(Survey_Counts!$B$2:$B$743=$A11),0),0)),"")</f>
        <v>0.50636492220650642</v>
      </c>
      <c r="Z11" s="30">
        <f>IFERROR(INDEX(Survey_Counts!$N$2:$N$743,MATCH(1,INDEX((Survey_Counts!$A$2:$A$743=Z$3)*(Survey_Counts!$B$2:$B$743=$A11),0),0)),"")</f>
        <v>0.50636492220650642</v>
      </c>
      <c r="AA11" s="30">
        <f>IFERROR(INDEX(Survey_Counts!$N$2:$N$743,MATCH(1,INDEX((Survey_Counts!$A$2:$A$743=AA$3)*(Survey_Counts!$B$2:$B$743=$A11),0),0)),"")</f>
        <v>0.50579150579150578</v>
      </c>
      <c r="AB11" s="30">
        <f>IFERROR(INDEX(Survey_Counts!$N$2:$N$743,MATCH(1,INDEX((Survey_Counts!$A$2:$A$743=AB$3)*(Survey_Counts!$B$2:$B$743=$A11),0),0)),"")</f>
        <v>0.50579150579150578</v>
      </c>
      <c r="AC11" s="30">
        <f>IFERROR(INDEX(Survey_Counts!$N$2:$N$743,MATCH(1,INDEX((Survey_Counts!$A$2:$A$743=AC$3)*(Survey_Counts!$B$2:$B$743=$A11),0),0)),"")</f>
        <v>0.56185567010309279</v>
      </c>
      <c r="AD11" s="30">
        <f>IFERROR(INDEX(Survey_Counts!$N$2:$N$743,MATCH(1,INDEX((Survey_Counts!$A$2:$A$743=AD$3)*(Survey_Counts!$B$2:$B$743=$A11),0),0)),"")</f>
        <v>0.56185567010309279</v>
      </c>
      <c r="AE11" s="30">
        <f>IFERROR(INDEX(Survey_Counts!$N$2:$N$743,MATCH(1,INDEX((Survey_Counts!$A$2:$A$743=AE$3)*(Survey_Counts!$B$2:$B$743=$A11),0),0)),"")</f>
        <v>0.66842105263157892</v>
      </c>
      <c r="AF11" s="30">
        <f>IFERROR(INDEX(Survey_Counts!$N$2:$N$743,MATCH(1,INDEX((Survey_Counts!$A$2:$A$743=AF$3)*(Survey_Counts!$B$2:$B$743=$A11),0),0)),"")</f>
        <v>0.3783783783783784</v>
      </c>
      <c r="AG11" s="30">
        <f>IFERROR(INDEX(Survey_Counts!$N$2:$N$743,MATCH(1,INDEX((Survey_Counts!$A$2:$A$743=AG$3)*(Survey_Counts!$B$2:$B$743=$A11),0),0)),"")</f>
        <v>0.20083682008368201</v>
      </c>
      <c r="AH11" s="30">
        <f>IFERROR(INDEX(Survey_Counts!$N$2:$N$743,MATCH(1,INDEX((Survey_Counts!$A$2:$A$743=AH$3)*(Survey_Counts!$B$2:$B$743=$A11),0),0)),"")</f>
        <v>0.31050228310502281</v>
      </c>
      <c r="AI11" s="30">
        <f>IFERROR(INDEX(Survey_Counts!$N$2:$N$743,MATCH(1,INDEX((Survey_Counts!$A$2:$A$743=AI$3)*(Survey_Counts!$B$2:$B$743=$A11),0),0)),"")</f>
        <v>0.38490389123300517</v>
      </c>
      <c r="AJ11" s="30">
        <f>IFERROR(INDEX(Survey_Counts!$N$2:$N$743,MATCH(1,INDEX((Survey_Counts!$A$2:$A$743=AJ$3)*(Survey_Counts!$B$2:$B$743=$A11),0),0)),"")</f>
        <v>6.3829787234042548E-2</v>
      </c>
      <c r="AK11" s="30">
        <f>IFERROR(INDEX(Survey_Counts!$N$2:$N$743,MATCH(1,INDEX((Survey_Counts!$A$2:$A$743=AK$3)*(Survey_Counts!$B$2:$B$743=$A11),0),0)),"")</f>
        <v>0.23134328358208955</v>
      </c>
      <c r="AL11" s="30">
        <f>IFERROR(INDEX(Survey_Counts!$N$2:$N$743,MATCH(1,INDEX((Survey_Counts!$A$2:$A$743=AL$3)*(Survey_Counts!$B$2:$B$743=$A11),0),0)),"")</f>
        <v>0.18627450980392157</v>
      </c>
      <c r="AM11" s="30">
        <f>IFERROR(INDEX(Survey_Counts!$N$2:$N$743,MATCH(1,INDEX((Survey_Counts!$A$2:$A$743=AM$3)*(Survey_Counts!$B$2:$B$743=$A11),0),0)),"")</f>
        <v>0.28114478114478114</v>
      </c>
      <c r="AN11" s="30">
        <f>IFERROR(INDEX(Survey_Counts!$N$2:$N$743,MATCH(1,INDEX((Survey_Counts!$A$2:$A$743=AN$3)*(Survey_Counts!$B$2:$B$743=$A11),0),0)),"")</f>
        <v>0.21508379888268156</v>
      </c>
      <c r="AO11" s="30">
        <f>IFERROR(INDEX(Survey_Counts!$N$2:$N$743,MATCH(1,INDEX((Survey_Counts!$A$2:$A$743=AO$3)*(Survey_Counts!$B$2:$B$743=$A11),0),0)),"")</f>
        <v>0.22988505747126436</v>
      </c>
      <c r="AP11" s="30">
        <f>IFERROR(INDEX(Survey_Counts!$N$2:$N$743,MATCH(1,INDEX((Survey_Counts!$A$2:$A$743=AP$3)*(Survey_Counts!$B$2:$B$743=$A11),0),0)),"")</f>
        <v>0.22988505747126436</v>
      </c>
      <c r="AQ11" s="30">
        <f>IFERROR(INDEX(Survey_Counts!$N$2:$N$743,MATCH(1,INDEX((Survey_Counts!$A$2:$A$743=AQ$3)*(Survey_Counts!$B$2:$B$743=$A11),0),0)),"")</f>
        <v>6.4655172413793108E-2</v>
      </c>
      <c r="AR11" s="30">
        <f>IFERROR(INDEX(Survey_Counts!$N$2:$N$743,MATCH(1,INDEX((Survey_Counts!$A$2:$A$743=AR$3)*(Survey_Counts!$B$2:$B$743=$A11),0),0)),"")</f>
        <v>0.46530612244897956</v>
      </c>
      <c r="AS11" s="30">
        <f>IFERROR(INDEX(Survey_Counts!$N$2:$N$743,MATCH(1,INDEX((Survey_Counts!$A$2:$A$743=AS$3)*(Survey_Counts!$B$2:$B$743=$A11),0),0)),"")</f>
        <v>0.51535836177474403</v>
      </c>
      <c r="AT11" s="30">
        <f>IFERROR(INDEX(Survey_Counts!$N$2:$N$743,MATCH(1,INDEX((Survey_Counts!$A$2:$A$743=AT$3)*(Survey_Counts!$B$2:$B$743=$A11),0),0)),"")</f>
        <v>0.34210526315789475</v>
      </c>
      <c r="AU11" s="30">
        <f>IFERROR(INDEX(Survey_Counts!$N$2:$N$743,MATCH(1,INDEX((Survey_Counts!$A$2:$A$743=AU$3)*(Survey_Counts!$B$2:$B$743=$A11),0),0)),"")</f>
        <v>0.27735368956743001</v>
      </c>
    </row>
    <row r="12" spans="1:47" ht="15" customHeight="1" x14ac:dyDescent="0.25">
      <c r="A12" s="22">
        <v>8</v>
      </c>
      <c r="B12" s="22" t="s">
        <v>226</v>
      </c>
      <c r="C12" s="22">
        <v>-105</v>
      </c>
      <c r="D12" s="30">
        <f>IFERROR(INDEX(Survey_Counts!$N$2:$N$743,MATCH(1,INDEX((Survey_Counts!$A$2:$A$743=D$3)*(Survey_Counts!$B$2:$B$743=$A12),0),0)),"")</f>
        <v>0.446524064171123</v>
      </c>
      <c r="E12" s="30">
        <f>IFERROR(INDEX(Survey_Counts!$N$2:$N$743,MATCH(1,INDEX((Survey_Counts!$A$2:$A$743=E$3)*(Survey_Counts!$B$2:$B$743=$A12),0),0)),"")</f>
        <v>0.446524064171123</v>
      </c>
      <c r="F12" s="30">
        <f>IFERROR(INDEX(Survey_Counts!$N$2:$N$743,MATCH(1,INDEX((Survey_Counts!$A$2:$A$743=F$3)*(Survey_Counts!$B$2:$B$743=$A12),0),0)),"")</f>
        <v>0.33766233766233766</v>
      </c>
      <c r="G12" s="30">
        <f>IFERROR(INDEX(Survey_Counts!$N$2:$N$743,MATCH(1,INDEX((Survey_Counts!$A$2:$A$743=G$3)*(Survey_Counts!$B$2:$B$743=$A12),0),0)),"")</f>
        <v>0.33766233766233766</v>
      </c>
      <c r="H12" s="30">
        <f>IFERROR(INDEX(Survey_Counts!$N$2:$N$743,MATCH(1,INDEX((Survey_Counts!$A$2:$A$743=H$3)*(Survey_Counts!$B$2:$B$743=$A12),0),0)),"")</f>
        <v>0.57407407407407407</v>
      </c>
      <c r="I12" s="30">
        <f>IFERROR(INDEX(Survey_Counts!$N$2:$N$743,MATCH(1,INDEX((Survey_Counts!$A$2:$A$743=I$3)*(Survey_Counts!$B$2:$B$743=$A12),0),0)),"")</f>
        <v>0.44020356234096691</v>
      </c>
      <c r="J12" s="30">
        <f>IFERROR(INDEX(Survey_Counts!$N$2:$N$743,MATCH(1,INDEX((Survey_Counts!$A$2:$A$743=J$3)*(Survey_Counts!$B$2:$B$743=$A12),0),0)),"")</f>
        <v>0.25117370892018781</v>
      </c>
      <c r="K12" s="30">
        <f>IFERROR(INDEX(Survey_Counts!$N$2:$N$743,MATCH(1,INDEX((Survey_Counts!$A$2:$A$743=K$3)*(Survey_Counts!$B$2:$B$743=$A12),0),0)),"")</f>
        <v>0.53301886792452835</v>
      </c>
      <c r="L12" s="30">
        <f>IFERROR(INDEX(Survey_Counts!$N$2:$N$743,MATCH(1,INDEX((Survey_Counts!$A$2:$A$743=L$3)*(Survey_Counts!$B$2:$B$743=$A12),0),0)),"")</f>
        <v>0.59684300341296925</v>
      </c>
      <c r="M12" s="30">
        <f>IFERROR(INDEX(Survey_Counts!$N$2:$N$743,MATCH(1,INDEX((Survey_Counts!$A$2:$A$743=M$3)*(Survey_Counts!$B$2:$B$743=$A12),0),0)),"")</f>
        <v>0.59684300341296925</v>
      </c>
      <c r="N12" s="30">
        <f>IFERROR(INDEX(Survey_Counts!$N$2:$N$743,MATCH(1,INDEX((Survey_Counts!$A$2:$A$743=N$3)*(Survey_Counts!$B$2:$B$743=$A12),0),0)),"")</f>
        <v>0.55866523143164692</v>
      </c>
      <c r="O12" s="30">
        <f>IFERROR(INDEX(Survey_Counts!$N$2:$N$743,MATCH(1,INDEX((Survey_Counts!$A$2:$A$743=O$3)*(Survey_Counts!$B$2:$B$743=$A12),0),0)),"")</f>
        <v>0.55866523143164692</v>
      </c>
      <c r="P12" s="30">
        <f>IFERROR(INDEX(Survey_Counts!$N$2:$N$743,MATCH(1,INDEX((Survey_Counts!$A$2:$A$743=P$3)*(Survey_Counts!$B$2:$B$743=$A12),0),0)),"")</f>
        <v>0.21176470588235294</v>
      </c>
      <c r="Q12" s="30">
        <f>IFERROR(INDEX(Survey_Counts!$N$2:$N$743,MATCH(1,INDEX((Survey_Counts!$A$2:$A$743=Q$3)*(Survey_Counts!$B$2:$B$743=$A12),0),0)),"")</f>
        <v>0.18292682926829268</v>
      </c>
      <c r="R12" s="30">
        <f>IFERROR(INDEX(Survey_Counts!$N$2:$N$743,MATCH(1,INDEX((Survey_Counts!$A$2:$A$743=R$3)*(Survey_Counts!$B$2:$B$743=$A12),0),0)),"")</f>
        <v>0.74794238683127567</v>
      </c>
      <c r="S12" s="30">
        <f>IFERROR(INDEX(Survey_Counts!$N$2:$N$743,MATCH(1,INDEX((Survey_Counts!$A$2:$A$743=S$3)*(Survey_Counts!$B$2:$B$743=$A12),0),0)),"")</f>
        <v>0.60357142857142854</v>
      </c>
      <c r="T12" s="30">
        <f>IFERROR(INDEX(Survey_Counts!$N$2:$N$743,MATCH(1,INDEX((Survey_Counts!$A$2:$A$743=T$3)*(Survey_Counts!$B$2:$B$743=$A12),0),0)),"")</f>
        <v>0.41351888667992048</v>
      </c>
      <c r="U12" s="30">
        <f>IFERROR(INDEX(Survey_Counts!$N$2:$N$743,MATCH(1,INDEX((Survey_Counts!$A$2:$A$743=U$3)*(Survey_Counts!$B$2:$B$743=$A12),0),0)),"")</f>
        <v>0.58718244803695152</v>
      </c>
      <c r="V12" s="30">
        <f>IFERROR(INDEX(Survey_Counts!$N$2:$N$743,MATCH(1,INDEX((Survey_Counts!$A$2:$A$743=V$3)*(Survey_Counts!$B$2:$B$743=$A12),0),0)),"")</f>
        <v>0.32432432432432434</v>
      </c>
      <c r="W12" s="30">
        <f>IFERROR(INDEX(Survey_Counts!$N$2:$N$743,MATCH(1,INDEX((Survey_Counts!$A$2:$A$743=W$3)*(Survey_Counts!$B$2:$B$743=$A12),0),0)),"")</f>
        <v>0.43234323432343236</v>
      </c>
      <c r="X12" s="30">
        <f>IFERROR(INDEX(Survey_Counts!$N$2:$N$743,MATCH(1,INDEX((Survey_Counts!$A$2:$A$743=X$3)*(Survey_Counts!$B$2:$B$743=$A12),0),0)),"")</f>
        <v>0.43129770992366412</v>
      </c>
      <c r="Y12" s="30">
        <f>IFERROR(INDEX(Survey_Counts!$N$2:$N$743,MATCH(1,INDEX((Survey_Counts!$A$2:$A$743=Y$3)*(Survey_Counts!$B$2:$B$743=$A12),0),0)),"")</f>
        <v>0.58557284299858559</v>
      </c>
      <c r="Z12" s="30">
        <f>IFERROR(INDEX(Survey_Counts!$N$2:$N$743,MATCH(1,INDEX((Survey_Counts!$A$2:$A$743=Z$3)*(Survey_Counts!$B$2:$B$743=$A12),0),0)),"")</f>
        <v>0.58557284299858559</v>
      </c>
      <c r="AA12" s="30">
        <f>IFERROR(INDEX(Survey_Counts!$N$2:$N$743,MATCH(1,INDEX((Survey_Counts!$A$2:$A$743=AA$3)*(Survey_Counts!$B$2:$B$743=$A12),0),0)),"")</f>
        <v>0.62548262548262545</v>
      </c>
      <c r="AB12" s="30">
        <f>IFERROR(INDEX(Survey_Counts!$N$2:$N$743,MATCH(1,INDEX((Survey_Counts!$A$2:$A$743=AB$3)*(Survey_Counts!$B$2:$B$743=$A12),0),0)),"")</f>
        <v>0.62548262548262545</v>
      </c>
      <c r="AC12" s="30">
        <f>IFERROR(INDEX(Survey_Counts!$N$2:$N$743,MATCH(1,INDEX((Survey_Counts!$A$2:$A$743=AC$3)*(Survey_Counts!$B$2:$B$743=$A12),0),0)),"")</f>
        <v>0.58247422680412375</v>
      </c>
      <c r="AD12" s="30">
        <f>IFERROR(INDEX(Survey_Counts!$N$2:$N$743,MATCH(1,INDEX((Survey_Counts!$A$2:$A$743=AD$3)*(Survey_Counts!$B$2:$B$743=$A12),0),0)),"")</f>
        <v>0.58247422680412375</v>
      </c>
      <c r="AE12" s="30">
        <f>IFERROR(INDEX(Survey_Counts!$N$2:$N$743,MATCH(1,INDEX((Survey_Counts!$A$2:$A$743=AE$3)*(Survey_Counts!$B$2:$B$743=$A12),0),0)),"")</f>
        <v>0.63684210526315788</v>
      </c>
      <c r="AF12" s="30">
        <f>IFERROR(INDEX(Survey_Counts!$N$2:$N$743,MATCH(1,INDEX((Survey_Counts!$A$2:$A$743=AF$3)*(Survey_Counts!$B$2:$B$743=$A12),0),0)),"")</f>
        <v>0.49189189189189192</v>
      </c>
      <c r="AG12" s="30">
        <f>IFERROR(INDEX(Survey_Counts!$N$2:$N$743,MATCH(1,INDEX((Survey_Counts!$A$2:$A$743=AG$3)*(Survey_Counts!$B$2:$B$743=$A12),0),0)),"")</f>
        <v>0.33054393305439328</v>
      </c>
      <c r="AH12" s="30">
        <f>IFERROR(INDEX(Survey_Counts!$N$2:$N$743,MATCH(1,INDEX((Survey_Counts!$A$2:$A$743=AH$3)*(Survey_Counts!$B$2:$B$743=$A12),0),0)),"")</f>
        <v>0.45205479452054792</v>
      </c>
      <c r="AI12" s="30">
        <f>IFERROR(INDEX(Survey_Counts!$N$2:$N$743,MATCH(1,INDEX((Survey_Counts!$A$2:$A$743=AI$3)*(Survey_Counts!$B$2:$B$743=$A12),0),0)),"")</f>
        <v>0.48804500703234882</v>
      </c>
      <c r="AJ12" s="30">
        <f>IFERROR(INDEX(Survey_Counts!$N$2:$N$743,MATCH(1,INDEX((Survey_Counts!$A$2:$A$743=AJ$3)*(Survey_Counts!$B$2:$B$743=$A12),0),0)),"")</f>
        <v>0.14893617021276595</v>
      </c>
      <c r="AK12" s="30">
        <f>IFERROR(INDEX(Survey_Counts!$N$2:$N$743,MATCH(1,INDEX((Survey_Counts!$A$2:$A$743=AK$3)*(Survey_Counts!$B$2:$B$743=$A12),0),0)),"")</f>
        <v>0.4154228855721393</v>
      </c>
      <c r="AL12" s="30">
        <f>IFERROR(INDEX(Survey_Counts!$N$2:$N$743,MATCH(1,INDEX((Survey_Counts!$A$2:$A$743=AL$3)*(Survey_Counts!$B$2:$B$743=$A12),0),0)),"")</f>
        <v>0.33660130718954251</v>
      </c>
      <c r="AM12" s="30">
        <f>IFERROR(INDEX(Survey_Counts!$N$2:$N$743,MATCH(1,INDEX((Survey_Counts!$A$2:$A$743=AM$3)*(Survey_Counts!$B$2:$B$743=$A12),0),0)),"")</f>
        <v>0.37037037037037035</v>
      </c>
      <c r="AN12" s="30">
        <f>IFERROR(INDEX(Survey_Counts!$N$2:$N$743,MATCH(1,INDEX((Survey_Counts!$A$2:$A$743=AN$3)*(Survey_Counts!$B$2:$B$743=$A12),0),0)),"")</f>
        <v>0.33519553072625696</v>
      </c>
      <c r="AO12" s="30">
        <f>IFERROR(INDEX(Survey_Counts!$N$2:$N$743,MATCH(1,INDEX((Survey_Counts!$A$2:$A$743=AO$3)*(Survey_Counts!$B$2:$B$743=$A12),0),0)),"")</f>
        <v>0.37931034482758619</v>
      </c>
      <c r="AP12" s="30">
        <f>IFERROR(INDEX(Survey_Counts!$N$2:$N$743,MATCH(1,INDEX((Survey_Counts!$A$2:$A$743=AP$3)*(Survey_Counts!$B$2:$B$743=$A12),0),0)),"")</f>
        <v>0.37931034482758619</v>
      </c>
      <c r="AQ12" s="30">
        <f>IFERROR(INDEX(Survey_Counts!$N$2:$N$743,MATCH(1,INDEX((Survey_Counts!$A$2:$A$743=AQ$3)*(Survey_Counts!$B$2:$B$743=$A12),0),0)),"")</f>
        <v>0.10775862068965517</v>
      </c>
      <c r="AR12" s="30">
        <f>IFERROR(INDEX(Survey_Counts!$N$2:$N$743,MATCH(1,INDEX((Survey_Counts!$A$2:$A$743=AR$3)*(Survey_Counts!$B$2:$B$743=$A12),0),0)),"")</f>
        <v>0.45306122448979591</v>
      </c>
      <c r="AS12" s="30">
        <f>IFERROR(INDEX(Survey_Counts!$N$2:$N$743,MATCH(1,INDEX((Survey_Counts!$A$2:$A$743=AS$3)*(Survey_Counts!$B$2:$B$743=$A12),0),0)),"")</f>
        <v>0.56655290102389078</v>
      </c>
      <c r="AT12" s="30">
        <f>IFERROR(INDEX(Survey_Counts!$N$2:$N$743,MATCH(1,INDEX((Survey_Counts!$A$2:$A$743=AT$3)*(Survey_Counts!$B$2:$B$743=$A12),0),0)),"")</f>
        <v>0.45723684210526316</v>
      </c>
      <c r="AU12" s="30">
        <f>IFERROR(INDEX(Survey_Counts!$N$2:$N$743,MATCH(1,INDEX((Survey_Counts!$A$2:$A$743=AU$3)*(Survey_Counts!$B$2:$B$743=$A12),0),0)),"")</f>
        <v>0.36386768447837148</v>
      </c>
    </row>
    <row r="13" spans="1:47" ht="15" customHeight="1" x14ac:dyDescent="0.25">
      <c r="A13" s="22">
        <v>9</v>
      </c>
      <c r="B13" s="22" t="s">
        <v>264</v>
      </c>
      <c r="C13" s="22">
        <v>-90</v>
      </c>
      <c r="D13" s="30">
        <f>IFERROR(INDEX(Survey_Counts!$N$2:$N$743,MATCH(1,INDEX((Survey_Counts!$A$2:$A$743=D$3)*(Survey_Counts!$B$2:$B$743=$A13),0),0)),"")</f>
        <v>0.52406417112299464</v>
      </c>
      <c r="E13" s="30">
        <f>IFERROR(INDEX(Survey_Counts!$N$2:$N$743,MATCH(1,INDEX((Survey_Counts!$A$2:$A$743=E$3)*(Survey_Counts!$B$2:$B$743=$A13),0),0)),"")</f>
        <v>0.52406417112299464</v>
      </c>
      <c r="F13" s="30">
        <f>IFERROR(INDEX(Survey_Counts!$N$2:$N$743,MATCH(1,INDEX((Survey_Counts!$A$2:$A$743=F$3)*(Survey_Counts!$B$2:$B$743=$A13),0),0)),"")</f>
        <v>0.35064935064935066</v>
      </c>
      <c r="G13" s="30">
        <f>IFERROR(INDEX(Survey_Counts!$N$2:$N$743,MATCH(1,INDEX((Survey_Counts!$A$2:$A$743=G$3)*(Survey_Counts!$B$2:$B$743=$A13),0),0)),"")</f>
        <v>0.35064935064935066</v>
      </c>
      <c r="H13" s="30">
        <f>IFERROR(INDEX(Survey_Counts!$N$2:$N$743,MATCH(1,INDEX((Survey_Counts!$A$2:$A$743=H$3)*(Survey_Counts!$B$2:$B$743=$A13),0),0)),"")</f>
        <v>0.56378600823045266</v>
      </c>
      <c r="I13" s="30">
        <f>IFERROR(INDEX(Survey_Counts!$N$2:$N$743,MATCH(1,INDEX((Survey_Counts!$A$2:$A$743=I$3)*(Survey_Counts!$B$2:$B$743=$A13),0),0)),"")</f>
        <v>0.53944020356234101</v>
      </c>
      <c r="J13" s="30">
        <f>IFERROR(INDEX(Survey_Counts!$N$2:$N$743,MATCH(1,INDEX((Survey_Counts!$A$2:$A$743=J$3)*(Survey_Counts!$B$2:$B$743=$A13),0),0)),"")</f>
        <v>0.38262910798122068</v>
      </c>
      <c r="K13" s="30">
        <f>IFERROR(INDEX(Survey_Counts!$N$2:$N$743,MATCH(1,INDEX((Survey_Counts!$A$2:$A$743=K$3)*(Survey_Counts!$B$2:$B$743=$A13),0),0)),"")</f>
        <v>0.64150943396226412</v>
      </c>
      <c r="L13" s="30">
        <f>IFERROR(INDEX(Survey_Counts!$N$2:$N$743,MATCH(1,INDEX((Survey_Counts!$A$2:$A$743=L$3)*(Survey_Counts!$B$2:$B$743=$A13),0),0)),"")</f>
        <v>0.68600682593856654</v>
      </c>
      <c r="M13" s="30">
        <f>IFERROR(INDEX(Survey_Counts!$N$2:$N$743,MATCH(1,INDEX((Survey_Counts!$A$2:$A$743=M$3)*(Survey_Counts!$B$2:$B$743=$A13),0),0)),"")</f>
        <v>0.68600682593856654</v>
      </c>
      <c r="N13" s="30">
        <f>IFERROR(INDEX(Survey_Counts!$N$2:$N$743,MATCH(1,INDEX((Survey_Counts!$A$2:$A$743=N$3)*(Survey_Counts!$B$2:$B$743=$A13),0),0)),"")</f>
        <v>0.57804090419806242</v>
      </c>
      <c r="O13" s="30">
        <f>IFERROR(INDEX(Survey_Counts!$N$2:$N$743,MATCH(1,INDEX((Survey_Counts!$A$2:$A$743=O$3)*(Survey_Counts!$B$2:$B$743=$A13),0),0)),"")</f>
        <v>0.57804090419806242</v>
      </c>
      <c r="P13" s="30">
        <f>IFERROR(INDEX(Survey_Counts!$N$2:$N$743,MATCH(1,INDEX((Survey_Counts!$A$2:$A$743=P$3)*(Survey_Counts!$B$2:$B$743=$A13),0),0)),"")</f>
        <v>0.29411764705882354</v>
      </c>
      <c r="Q13" s="30">
        <f>IFERROR(INDEX(Survey_Counts!$N$2:$N$743,MATCH(1,INDEX((Survey_Counts!$A$2:$A$743=Q$3)*(Survey_Counts!$B$2:$B$743=$A13),0),0)),"")</f>
        <v>0.26829268292682928</v>
      </c>
      <c r="R13" s="30">
        <f>IFERROR(INDEX(Survey_Counts!$N$2:$N$743,MATCH(1,INDEX((Survey_Counts!$A$2:$A$743=R$3)*(Survey_Counts!$B$2:$B$743=$A13),0),0)),"")</f>
        <v>0.73148148148148151</v>
      </c>
      <c r="S13" s="30">
        <f>IFERROR(INDEX(Survey_Counts!$N$2:$N$743,MATCH(1,INDEX((Survey_Counts!$A$2:$A$743=S$3)*(Survey_Counts!$B$2:$B$743=$A13),0),0)),"")</f>
        <v>0.61785714285714288</v>
      </c>
      <c r="T13" s="30">
        <f>IFERROR(INDEX(Survey_Counts!$N$2:$N$743,MATCH(1,INDEX((Survey_Counts!$A$2:$A$743=T$3)*(Survey_Counts!$B$2:$B$743=$A13),0),0)),"")</f>
        <v>0.5248508946322068</v>
      </c>
      <c r="U13" s="30">
        <f>IFERROR(INDEX(Survey_Counts!$N$2:$N$743,MATCH(1,INDEX((Survey_Counts!$A$2:$A$743=U$3)*(Survey_Counts!$B$2:$B$743=$A13),0),0)),"")</f>
        <v>0.66974595842956119</v>
      </c>
      <c r="V13" s="30">
        <f>IFERROR(INDEX(Survey_Counts!$N$2:$N$743,MATCH(1,INDEX((Survey_Counts!$A$2:$A$743=V$3)*(Survey_Counts!$B$2:$B$743=$A13),0),0)),"")</f>
        <v>0.40540540540540543</v>
      </c>
      <c r="W13" s="30">
        <f>IFERROR(INDEX(Survey_Counts!$N$2:$N$743,MATCH(1,INDEX((Survey_Counts!$A$2:$A$743=W$3)*(Survey_Counts!$B$2:$B$743=$A13),0),0)),"")</f>
        <v>0.55665566556655666</v>
      </c>
      <c r="X13" s="30">
        <f>IFERROR(INDEX(Survey_Counts!$N$2:$N$743,MATCH(1,INDEX((Survey_Counts!$A$2:$A$743=X$3)*(Survey_Counts!$B$2:$B$743=$A13),0),0)),"")</f>
        <v>0.52290076335877866</v>
      </c>
      <c r="Y13" s="30">
        <f>IFERROR(INDEX(Survey_Counts!$N$2:$N$743,MATCH(1,INDEX((Survey_Counts!$A$2:$A$743=Y$3)*(Survey_Counts!$B$2:$B$743=$A13),0),0)),"")</f>
        <v>0.62942008486562939</v>
      </c>
      <c r="Z13" s="30">
        <f>IFERROR(INDEX(Survey_Counts!$N$2:$N$743,MATCH(1,INDEX((Survey_Counts!$A$2:$A$743=Z$3)*(Survey_Counts!$B$2:$B$743=$A13),0),0)),"")</f>
        <v>0.62942008486562939</v>
      </c>
      <c r="AA13" s="30">
        <f>IFERROR(INDEX(Survey_Counts!$N$2:$N$743,MATCH(1,INDEX((Survey_Counts!$A$2:$A$743=AA$3)*(Survey_Counts!$B$2:$B$743=$A13),0),0)),"")</f>
        <v>0.69884169884169889</v>
      </c>
      <c r="AB13" s="30">
        <f>IFERROR(INDEX(Survey_Counts!$N$2:$N$743,MATCH(1,INDEX((Survey_Counts!$A$2:$A$743=AB$3)*(Survey_Counts!$B$2:$B$743=$A13),0),0)),"")</f>
        <v>0.69884169884169889</v>
      </c>
      <c r="AC13" s="30">
        <f>IFERROR(INDEX(Survey_Counts!$N$2:$N$743,MATCH(1,INDEX((Survey_Counts!$A$2:$A$743=AC$3)*(Survey_Counts!$B$2:$B$743=$A13),0),0)),"")</f>
        <v>0.53608247422680411</v>
      </c>
      <c r="AD13" s="30">
        <f>IFERROR(INDEX(Survey_Counts!$N$2:$N$743,MATCH(1,INDEX((Survey_Counts!$A$2:$A$743=AD$3)*(Survey_Counts!$B$2:$B$743=$A13),0),0)),"")</f>
        <v>0.53608247422680411</v>
      </c>
      <c r="AE13" s="30">
        <f>IFERROR(INDEX(Survey_Counts!$N$2:$N$743,MATCH(1,INDEX((Survey_Counts!$A$2:$A$743=AE$3)*(Survey_Counts!$B$2:$B$743=$A13),0),0)),"")</f>
        <v>0.61052631578947369</v>
      </c>
      <c r="AF13" s="30">
        <f>IFERROR(INDEX(Survey_Counts!$N$2:$N$743,MATCH(1,INDEX((Survey_Counts!$A$2:$A$743=AF$3)*(Survey_Counts!$B$2:$B$743=$A13),0),0)),"")</f>
        <v>0.58378378378378382</v>
      </c>
      <c r="AG13" s="30">
        <f>IFERROR(INDEX(Survey_Counts!$N$2:$N$743,MATCH(1,INDEX((Survey_Counts!$A$2:$A$743=AG$3)*(Survey_Counts!$B$2:$B$743=$A13),0),0)),"")</f>
        <v>0.48535564853556484</v>
      </c>
      <c r="AH13" s="30">
        <f>IFERROR(INDEX(Survey_Counts!$N$2:$N$743,MATCH(1,INDEX((Survey_Counts!$A$2:$A$743=AH$3)*(Survey_Counts!$B$2:$B$743=$A13),0),0)),"")</f>
        <v>0.60273972602739723</v>
      </c>
      <c r="AI13" s="30">
        <f>IFERROR(INDEX(Survey_Counts!$N$2:$N$743,MATCH(1,INDEX((Survey_Counts!$A$2:$A$743=AI$3)*(Survey_Counts!$B$2:$B$743=$A13),0),0)),"")</f>
        <v>0.57805907172995785</v>
      </c>
      <c r="AJ13" s="30">
        <f>IFERROR(INDEX(Survey_Counts!$N$2:$N$743,MATCH(1,INDEX((Survey_Counts!$A$2:$A$743=AJ$3)*(Survey_Counts!$B$2:$B$743=$A13),0),0)),"")</f>
        <v>0.23404255319148937</v>
      </c>
      <c r="AK13" s="30">
        <f>IFERROR(INDEX(Survey_Counts!$N$2:$N$743,MATCH(1,INDEX((Survey_Counts!$A$2:$A$743=AK$3)*(Survey_Counts!$B$2:$B$743=$A13),0),0)),"")</f>
        <v>0.55721393034825872</v>
      </c>
      <c r="AL13" s="30">
        <f>IFERROR(INDEX(Survey_Counts!$N$2:$N$743,MATCH(1,INDEX((Survey_Counts!$A$2:$A$743=AL$3)*(Survey_Counts!$B$2:$B$743=$A13),0),0)),"")</f>
        <v>0.47712418300653597</v>
      </c>
      <c r="AM13" s="30">
        <f>IFERROR(INDEX(Survey_Counts!$N$2:$N$743,MATCH(1,INDEX((Survey_Counts!$A$2:$A$743=AM$3)*(Survey_Counts!$B$2:$B$743=$A13),0),0)),"")</f>
        <v>0.45791245791245794</v>
      </c>
      <c r="AN13" s="30">
        <f>IFERROR(INDEX(Survey_Counts!$N$2:$N$743,MATCH(1,INDEX((Survey_Counts!$A$2:$A$743=AN$3)*(Survey_Counts!$B$2:$B$743=$A13),0),0)),"")</f>
        <v>0.43575418994413406</v>
      </c>
      <c r="AO13" s="30">
        <f>IFERROR(INDEX(Survey_Counts!$N$2:$N$743,MATCH(1,INDEX((Survey_Counts!$A$2:$A$743=AO$3)*(Survey_Counts!$B$2:$B$743=$A13),0),0)),"")</f>
        <v>0.48735632183908045</v>
      </c>
      <c r="AP13" s="30">
        <f>IFERROR(INDEX(Survey_Counts!$N$2:$N$743,MATCH(1,INDEX((Survey_Counts!$A$2:$A$743=AP$3)*(Survey_Counts!$B$2:$B$743=$A13),0),0)),"")</f>
        <v>0.48735632183908045</v>
      </c>
      <c r="AQ13" s="30">
        <f>IFERROR(INDEX(Survey_Counts!$N$2:$N$743,MATCH(1,INDEX((Survey_Counts!$A$2:$A$743=AQ$3)*(Survey_Counts!$B$2:$B$743=$A13),0),0)),"")</f>
        <v>0.22413793103448276</v>
      </c>
      <c r="AR13" s="30">
        <f>IFERROR(INDEX(Survey_Counts!$N$2:$N$743,MATCH(1,INDEX((Survey_Counts!$A$2:$A$743=AR$3)*(Survey_Counts!$B$2:$B$743=$A13),0),0)),"")</f>
        <v>0.47755102040816327</v>
      </c>
      <c r="AS13" s="30">
        <f>IFERROR(INDEX(Survey_Counts!$N$2:$N$743,MATCH(1,INDEX((Survey_Counts!$A$2:$A$743=AS$3)*(Survey_Counts!$B$2:$B$743=$A13),0),0)),"")</f>
        <v>0.59726962457337884</v>
      </c>
      <c r="AT13" s="30">
        <f>IFERROR(INDEX(Survey_Counts!$N$2:$N$743,MATCH(1,INDEX((Survey_Counts!$A$2:$A$743=AT$3)*(Survey_Counts!$B$2:$B$743=$A13),0),0)),"")</f>
        <v>0.53289473684210531</v>
      </c>
      <c r="AU13" s="30">
        <f>IFERROR(INDEX(Survey_Counts!$N$2:$N$743,MATCH(1,INDEX((Survey_Counts!$A$2:$A$743=AU$3)*(Survey_Counts!$B$2:$B$743=$A13),0),0)),"")</f>
        <v>0.4020356234096692</v>
      </c>
    </row>
    <row r="14" spans="1:47" ht="15" customHeight="1" x14ac:dyDescent="0.25">
      <c r="A14" s="22">
        <v>10</v>
      </c>
      <c r="B14" s="22" t="s">
        <v>191</v>
      </c>
      <c r="C14" s="22">
        <v>-75</v>
      </c>
      <c r="D14" s="30">
        <f>IFERROR(INDEX(Survey_Counts!$N$2:$N$743,MATCH(1,INDEX((Survey_Counts!$A$2:$A$743=D$3)*(Survey_Counts!$B$2:$B$743=$A14),0),0)),"")</f>
        <v>0.54545454545454541</v>
      </c>
      <c r="E14" s="30">
        <f>IFERROR(INDEX(Survey_Counts!$N$2:$N$743,MATCH(1,INDEX((Survey_Counts!$A$2:$A$743=E$3)*(Survey_Counts!$B$2:$B$743=$A14),0),0)),"")</f>
        <v>0.54545454545454541</v>
      </c>
      <c r="F14" s="30">
        <f>IFERROR(INDEX(Survey_Counts!$N$2:$N$743,MATCH(1,INDEX((Survey_Counts!$A$2:$A$743=F$3)*(Survey_Counts!$B$2:$B$743=$A14),0),0)),"")</f>
        <v>0.35064935064935066</v>
      </c>
      <c r="G14" s="30">
        <f>IFERROR(INDEX(Survey_Counts!$N$2:$N$743,MATCH(1,INDEX((Survey_Counts!$A$2:$A$743=G$3)*(Survey_Counts!$B$2:$B$743=$A14),0),0)),"")</f>
        <v>0.35064935064935066</v>
      </c>
      <c r="H14" s="30">
        <f>IFERROR(INDEX(Survey_Counts!$N$2:$N$743,MATCH(1,INDEX((Survey_Counts!$A$2:$A$743=H$3)*(Survey_Counts!$B$2:$B$743=$A14),0),0)),"")</f>
        <v>0.5679012345679012</v>
      </c>
      <c r="I14" s="30">
        <f>IFERROR(INDEX(Survey_Counts!$N$2:$N$743,MATCH(1,INDEX((Survey_Counts!$A$2:$A$743=I$3)*(Survey_Counts!$B$2:$B$743=$A14),0),0)),"")</f>
        <v>0.59796437659033075</v>
      </c>
      <c r="J14" s="30">
        <f>IFERROR(INDEX(Survey_Counts!$N$2:$N$743,MATCH(1,INDEX((Survey_Counts!$A$2:$A$743=J$3)*(Survey_Counts!$B$2:$B$743=$A14),0),0)),"")</f>
        <v>0.54694835680751175</v>
      </c>
      <c r="K14" s="30">
        <f>IFERROR(INDEX(Survey_Counts!$N$2:$N$743,MATCH(1,INDEX((Survey_Counts!$A$2:$A$743=K$3)*(Survey_Counts!$B$2:$B$743=$A14),0),0)),"")</f>
        <v>0.74056603773584906</v>
      </c>
      <c r="L14" s="30">
        <f>IFERROR(INDEX(Survey_Counts!$N$2:$N$743,MATCH(1,INDEX((Survey_Counts!$A$2:$A$743=L$3)*(Survey_Counts!$B$2:$B$743=$A14),0),0)),"")</f>
        <v>0.7299488054607508</v>
      </c>
      <c r="M14" s="30">
        <f>IFERROR(INDEX(Survey_Counts!$N$2:$N$743,MATCH(1,INDEX((Survey_Counts!$A$2:$A$743=M$3)*(Survey_Counts!$B$2:$B$743=$A14),0),0)),"")</f>
        <v>0.7299488054607508</v>
      </c>
      <c r="N14" s="30">
        <f>IFERROR(INDEX(Survey_Counts!$N$2:$N$743,MATCH(1,INDEX((Survey_Counts!$A$2:$A$743=N$3)*(Survey_Counts!$B$2:$B$743=$A14),0),0)),"")</f>
        <v>0.57696447793326155</v>
      </c>
      <c r="O14" s="30">
        <f>IFERROR(INDEX(Survey_Counts!$N$2:$N$743,MATCH(1,INDEX((Survey_Counts!$A$2:$A$743=O$3)*(Survey_Counts!$B$2:$B$743=$A14),0),0)),"")</f>
        <v>0.57696447793326155</v>
      </c>
      <c r="P14" s="30">
        <f>IFERROR(INDEX(Survey_Counts!$N$2:$N$743,MATCH(1,INDEX((Survey_Counts!$A$2:$A$743=P$3)*(Survey_Counts!$B$2:$B$743=$A14),0),0)),"")</f>
        <v>0.3411764705882353</v>
      </c>
      <c r="Q14" s="30">
        <f>IFERROR(INDEX(Survey_Counts!$N$2:$N$743,MATCH(1,INDEX((Survey_Counts!$A$2:$A$743=Q$3)*(Survey_Counts!$B$2:$B$743=$A14),0),0)),"")</f>
        <v>0.31707317073170732</v>
      </c>
      <c r="R14" s="30">
        <f>IFERROR(INDEX(Survey_Counts!$N$2:$N$743,MATCH(1,INDEX((Survey_Counts!$A$2:$A$743=R$3)*(Survey_Counts!$B$2:$B$743=$A14),0),0)),"")</f>
        <v>0.66666666666666663</v>
      </c>
      <c r="S14" s="30">
        <f>IFERROR(INDEX(Survey_Counts!$N$2:$N$743,MATCH(1,INDEX((Survey_Counts!$A$2:$A$743=S$3)*(Survey_Counts!$B$2:$B$743=$A14),0),0)),"")</f>
        <v>0.6071428571428571</v>
      </c>
      <c r="T14" s="30">
        <f>IFERROR(INDEX(Survey_Counts!$N$2:$N$743,MATCH(1,INDEX((Survey_Counts!$A$2:$A$743=T$3)*(Survey_Counts!$B$2:$B$743=$A14),0),0)),"")</f>
        <v>0.57057654075546715</v>
      </c>
      <c r="U14" s="30">
        <f>IFERROR(INDEX(Survey_Counts!$N$2:$N$743,MATCH(1,INDEX((Survey_Counts!$A$2:$A$743=U$3)*(Survey_Counts!$B$2:$B$743=$A14),0),0)),"")</f>
        <v>0.70669745958429564</v>
      </c>
      <c r="V14" s="30">
        <f>IFERROR(INDEX(Survey_Counts!$N$2:$N$743,MATCH(1,INDEX((Survey_Counts!$A$2:$A$743=V$3)*(Survey_Counts!$B$2:$B$743=$A14),0),0)),"")</f>
        <v>0.54054054054054057</v>
      </c>
      <c r="W14" s="30">
        <f>IFERROR(INDEX(Survey_Counts!$N$2:$N$743,MATCH(1,INDEX((Survey_Counts!$A$2:$A$743=W$3)*(Survey_Counts!$B$2:$B$743=$A14),0),0)),"")</f>
        <v>0.60176017601760179</v>
      </c>
      <c r="X14" s="30">
        <f>IFERROR(INDEX(Survey_Counts!$N$2:$N$743,MATCH(1,INDEX((Survey_Counts!$A$2:$A$743=X$3)*(Survey_Counts!$B$2:$B$743=$A14),0),0)),"")</f>
        <v>0.5725190839694656</v>
      </c>
      <c r="Y14" s="30">
        <f>IFERROR(INDEX(Survey_Counts!$N$2:$N$743,MATCH(1,INDEX((Survey_Counts!$A$2:$A$743=Y$3)*(Survey_Counts!$B$2:$B$743=$A14),0),0)),"")</f>
        <v>0.60961810466760957</v>
      </c>
      <c r="Z14" s="30">
        <f>IFERROR(INDEX(Survey_Counts!$N$2:$N$743,MATCH(1,INDEX((Survey_Counts!$A$2:$A$743=Z$3)*(Survey_Counts!$B$2:$B$743=$A14),0),0)),"")</f>
        <v>0.60961810466760957</v>
      </c>
      <c r="AA14" s="30">
        <f>IFERROR(INDEX(Survey_Counts!$N$2:$N$743,MATCH(1,INDEX((Survey_Counts!$A$2:$A$743=AA$3)*(Survey_Counts!$B$2:$B$743=$A14),0),0)),"")</f>
        <v>0.7142857142857143</v>
      </c>
      <c r="AB14" s="30">
        <f>IFERROR(INDEX(Survey_Counts!$N$2:$N$743,MATCH(1,INDEX((Survey_Counts!$A$2:$A$743=AB$3)*(Survey_Counts!$B$2:$B$743=$A14),0),0)),"")</f>
        <v>0.7142857142857143</v>
      </c>
      <c r="AC14" s="30">
        <f>IFERROR(INDEX(Survey_Counts!$N$2:$N$743,MATCH(1,INDEX((Survey_Counts!$A$2:$A$743=AC$3)*(Survey_Counts!$B$2:$B$743=$A14),0),0)),"")</f>
        <v>0.45360824742268041</v>
      </c>
      <c r="AD14" s="30">
        <f>IFERROR(INDEX(Survey_Counts!$N$2:$N$743,MATCH(1,INDEX((Survey_Counts!$A$2:$A$743=AD$3)*(Survey_Counts!$B$2:$B$743=$A14),0),0)),"")</f>
        <v>0.45360824742268041</v>
      </c>
      <c r="AE14" s="30">
        <f>IFERROR(INDEX(Survey_Counts!$N$2:$N$743,MATCH(1,INDEX((Survey_Counts!$A$2:$A$743=AE$3)*(Survey_Counts!$B$2:$B$743=$A14),0),0)),"")</f>
        <v>0.51578947368421058</v>
      </c>
      <c r="AF14" s="30">
        <f>IFERROR(INDEX(Survey_Counts!$N$2:$N$743,MATCH(1,INDEX((Survey_Counts!$A$2:$A$743=AF$3)*(Survey_Counts!$B$2:$B$743=$A14),0),0)),"")</f>
        <v>0.64864864864864868</v>
      </c>
      <c r="AG14" s="30">
        <f>IFERROR(INDEX(Survey_Counts!$N$2:$N$743,MATCH(1,INDEX((Survey_Counts!$A$2:$A$743=AG$3)*(Survey_Counts!$B$2:$B$743=$A14),0),0)),"")</f>
        <v>0.56485355648535562</v>
      </c>
      <c r="AH14" s="30">
        <f>IFERROR(INDEX(Survey_Counts!$N$2:$N$743,MATCH(1,INDEX((Survey_Counts!$A$2:$A$743=AH$3)*(Survey_Counts!$B$2:$B$743=$A14),0),0)),"")</f>
        <v>0.69863013698630139</v>
      </c>
      <c r="AI14" s="30">
        <f>IFERROR(INDEX(Survey_Counts!$N$2:$N$743,MATCH(1,INDEX((Survey_Counts!$A$2:$A$743=AI$3)*(Survey_Counts!$B$2:$B$743=$A14),0),0)),"")</f>
        <v>0.61837787154242851</v>
      </c>
      <c r="AJ14" s="30">
        <f>IFERROR(INDEX(Survey_Counts!$N$2:$N$743,MATCH(1,INDEX((Survey_Counts!$A$2:$A$743=AJ$3)*(Survey_Counts!$B$2:$B$743=$A14),0),0)),"")</f>
        <v>0.38297872340425532</v>
      </c>
      <c r="AK14" s="30">
        <f>IFERROR(INDEX(Survey_Counts!$N$2:$N$743,MATCH(1,INDEX((Survey_Counts!$A$2:$A$743=AK$3)*(Survey_Counts!$B$2:$B$743=$A14),0),0)),"")</f>
        <v>0.67164179104477617</v>
      </c>
      <c r="AL14" s="30">
        <f>IFERROR(INDEX(Survey_Counts!$N$2:$N$743,MATCH(1,INDEX((Survey_Counts!$A$2:$A$743=AL$3)*(Survey_Counts!$B$2:$B$743=$A14),0),0)),"")</f>
        <v>0.57516339869281041</v>
      </c>
      <c r="AM14" s="30">
        <f>IFERROR(INDEX(Survey_Counts!$N$2:$N$743,MATCH(1,INDEX((Survey_Counts!$A$2:$A$743=AM$3)*(Survey_Counts!$B$2:$B$743=$A14),0),0)),"")</f>
        <v>0.46464646464646464</v>
      </c>
      <c r="AN14" s="30">
        <f>IFERROR(INDEX(Survey_Counts!$N$2:$N$743,MATCH(1,INDEX((Survey_Counts!$A$2:$A$743=AN$3)*(Survey_Counts!$B$2:$B$743=$A14),0),0)),"")</f>
        <v>0.43296089385474862</v>
      </c>
      <c r="AO14" s="30">
        <f>IFERROR(INDEX(Survey_Counts!$N$2:$N$743,MATCH(1,INDEX((Survey_Counts!$A$2:$A$743=AO$3)*(Survey_Counts!$B$2:$B$743=$A14),0),0)),"")</f>
        <v>0.58620689655172409</v>
      </c>
      <c r="AP14" s="30">
        <f>IFERROR(INDEX(Survey_Counts!$N$2:$N$743,MATCH(1,INDEX((Survey_Counts!$A$2:$A$743=AP$3)*(Survey_Counts!$B$2:$B$743=$A14),0),0)),"")</f>
        <v>0.58620689655172409</v>
      </c>
      <c r="AQ14" s="30">
        <f>IFERROR(INDEX(Survey_Counts!$N$2:$N$743,MATCH(1,INDEX((Survey_Counts!$A$2:$A$743=AQ$3)*(Survey_Counts!$B$2:$B$743=$A14),0),0)),"")</f>
        <v>0.34482758620689657</v>
      </c>
      <c r="AR14" s="30">
        <f>IFERROR(INDEX(Survey_Counts!$N$2:$N$743,MATCH(1,INDEX((Survey_Counts!$A$2:$A$743=AR$3)*(Survey_Counts!$B$2:$B$743=$A14),0),0)),"")</f>
        <v>0.52653061224489794</v>
      </c>
      <c r="AS14" s="30">
        <f>IFERROR(INDEX(Survey_Counts!$N$2:$N$743,MATCH(1,INDEX((Survey_Counts!$A$2:$A$743=AS$3)*(Survey_Counts!$B$2:$B$743=$A14),0),0)),"")</f>
        <v>0.56655290102389078</v>
      </c>
      <c r="AT14" s="30">
        <f>IFERROR(INDEX(Survey_Counts!$N$2:$N$743,MATCH(1,INDEX((Survey_Counts!$A$2:$A$743=AT$3)*(Survey_Counts!$B$2:$B$743=$A14),0),0)),"")</f>
        <v>0.59539473684210531</v>
      </c>
      <c r="AU14" s="30">
        <f>IFERROR(INDEX(Survey_Counts!$N$2:$N$743,MATCH(1,INDEX((Survey_Counts!$A$2:$A$743=AU$3)*(Survey_Counts!$B$2:$B$743=$A14),0),0)),"")</f>
        <v>0.42239185750636132</v>
      </c>
    </row>
    <row r="15" spans="1:47" ht="15" customHeight="1" x14ac:dyDescent="0.25">
      <c r="A15" s="22">
        <v>11</v>
      </c>
      <c r="B15" s="22" t="s">
        <v>231</v>
      </c>
      <c r="C15" s="22">
        <v>-60</v>
      </c>
      <c r="D15" s="30">
        <f>IFERROR(INDEX(Survey_Counts!$N$2:$N$743,MATCH(1,INDEX((Survey_Counts!$A$2:$A$743=D$3)*(Survey_Counts!$B$2:$B$743=$A15),0),0)),"")</f>
        <v>0.52139037433155078</v>
      </c>
      <c r="E15" s="30">
        <f>IFERROR(INDEX(Survey_Counts!$N$2:$N$743,MATCH(1,INDEX((Survey_Counts!$A$2:$A$743=E$3)*(Survey_Counts!$B$2:$B$743=$A15),0),0)),"")</f>
        <v>0.52139037433155078</v>
      </c>
      <c r="F15" s="30">
        <f>IFERROR(INDEX(Survey_Counts!$N$2:$N$743,MATCH(1,INDEX((Survey_Counts!$A$2:$A$743=F$3)*(Survey_Counts!$B$2:$B$743=$A15),0),0)),"")</f>
        <v>0.2943722943722944</v>
      </c>
      <c r="G15" s="30">
        <f>IFERROR(INDEX(Survey_Counts!$N$2:$N$743,MATCH(1,INDEX((Survey_Counts!$A$2:$A$743=G$3)*(Survey_Counts!$B$2:$B$743=$A15),0),0)),"")</f>
        <v>0.2943722943722944</v>
      </c>
      <c r="H15" s="30">
        <f>IFERROR(INDEX(Survey_Counts!$N$2:$N$743,MATCH(1,INDEX((Survey_Counts!$A$2:$A$743=H$3)*(Survey_Counts!$B$2:$B$743=$A15),0),0)),"")</f>
        <v>0.4711934156378601</v>
      </c>
      <c r="I15" s="30">
        <f>IFERROR(INDEX(Survey_Counts!$N$2:$N$743,MATCH(1,INDEX((Survey_Counts!$A$2:$A$743=I$3)*(Survey_Counts!$B$2:$B$743=$A15),0),0)),"")</f>
        <v>0.66157760814249367</v>
      </c>
      <c r="J15" s="30">
        <f>IFERROR(INDEX(Survey_Counts!$N$2:$N$743,MATCH(1,INDEX((Survey_Counts!$A$2:$A$743=J$3)*(Survey_Counts!$B$2:$B$743=$A15),0),0)),"")</f>
        <v>0.65727699530516437</v>
      </c>
      <c r="K15" s="30">
        <f>IFERROR(INDEX(Survey_Counts!$N$2:$N$743,MATCH(1,INDEX((Survey_Counts!$A$2:$A$743=K$3)*(Survey_Counts!$B$2:$B$743=$A15),0),0)),"")</f>
        <v>0.79245283018867929</v>
      </c>
      <c r="L15" s="30">
        <f>IFERROR(INDEX(Survey_Counts!$N$2:$N$743,MATCH(1,INDEX((Survey_Counts!$A$2:$A$743=L$3)*(Survey_Counts!$B$2:$B$743=$A15),0),0)),"")</f>
        <v>0.76493174061433444</v>
      </c>
      <c r="M15" s="30">
        <f>IFERROR(INDEX(Survey_Counts!$N$2:$N$743,MATCH(1,INDEX((Survey_Counts!$A$2:$A$743=M$3)*(Survey_Counts!$B$2:$B$743=$A15),0),0)),"")</f>
        <v>0.76493174061433444</v>
      </c>
      <c r="N15" s="30">
        <f>IFERROR(INDEX(Survey_Counts!$N$2:$N$743,MATCH(1,INDEX((Survey_Counts!$A$2:$A$743=N$3)*(Survey_Counts!$B$2:$B$743=$A15),0),0)),"")</f>
        <v>0.51237890204520986</v>
      </c>
      <c r="O15" s="30">
        <f>IFERROR(INDEX(Survey_Counts!$N$2:$N$743,MATCH(1,INDEX((Survey_Counts!$A$2:$A$743=O$3)*(Survey_Counts!$B$2:$B$743=$A15),0),0)),"")</f>
        <v>0.51237890204520986</v>
      </c>
      <c r="P15" s="30">
        <f>IFERROR(INDEX(Survey_Counts!$N$2:$N$743,MATCH(1,INDEX((Survey_Counts!$A$2:$A$743=P$3)*(Survey_Counts!$B$2:$B$743=$A15),0),0)),"")</f>
        <v>0.36470588235294116</v>
      </c>
      <c r="Q15" s="30">
        <f>IFERROR(INDEX(Survey_Counts!$N$2:$N$743,MATCH(1,INDEX((Survey_Counts!$A$2:$A$743=Q$3)*(Survey_Counts!$B$2:$B$743=$A15),0),0)),"")</f>
        <v>0.34146341463414637</v>
      </c>
      <c r="R15" s="30">
        <f>IFERROR(INDEX(Survey_Counts!$N$2:$N$743,MATCH(1,INDEX((Survey_Counts!$A$2:$A$743=R$3)*(Survey_Counts!$B$2:$B$743=$A15),0),0)),"")</f>
        <v>0.56069958847736623</v>
      </c>
      <c r="S15" s="30">
        <f>IFERROR(INDEX(Survey_Counts!$N$2:$N$743,MATCH(1,INDEX((Survey_Counts!$A$2:$A$743=S$3)*(Survey_Counts!$B$2:$B$743=$A15),0),0)),"")</f>
        <v>0.58214285714285718</v>
      </c>
      <c r="T15" s="30">
        <f>IFERROR(INDEX(Survey_Counts!$N$2:$N$743,MATCH(1,INDEX((Survey_Counts!$A$2:$A$743=T$3)*(Survey_Counts!$B$2:$B$743=$A15),0),0)),"")</f>
        <v>0.54274353876739567</v>
      </c>
      <c r="U15" s="30">
        <f>IFERROR(INDEX(Survey_Counts!$N$2:$N$743,MATCH(1,INDEX((Survey_Counts!$A$2:$A$743=U$3)*(Survey_Counts!$B$2:$B$743=$A15),0),0)),"")</f>
        <v>0.70842956120092382</v>
      </c>
      <c r="V15" s="30">
        <f>IFERROR(INDEX(Survey_Counts!$N$2:$N$743,MATCH(1,INDEX((Survey_Counts!$A$2:$A$743=V$3)*(Survey_Counts!$B$2:$B$743=$A15),0),0)),"")</f>
        <v>0.55405405405405406</v>
      </c>
      <c r="W15" s="30">
        <f>IFERROR(INDEX(Survey_Counts!$N$2:$N$743,MATCH(1,INDEX((Survey_Counts!$A$2:$A$743=W$3)*(Survey_Counts!$B$2:$B$743=$A15),0),0)),"")</f>
        <v>0.60066006600660071</v>
      </c>
      <c r="X15" s="30">
        <f>IFERROR(INDEX(Survey_Counts!$N$2:$N$743,MATCH(1,INDEX((Survey_Counts!$A$2:$A$743=X$3)*(Survey_Counts!$B$2:$B$743=$A15),0),0)),"")</f>
        <v>0.58396946564885499</v>
      </c>
      <c r="Y15" s="30">
        <f>IFERROR(INDEX(Survey_Counts!$N$2:$N$743,MATCH(1,INDEX((Survey_Counts!$A$2:$A$743=Y$3)*(Survey_Counts!$B$2:$B$743=$A15),0),0)),"")</f>
        <v>0.58274398868458277</v>
      </c>
      <c r="Z15" s="30">
        <f>IFERROR(INDEX(Survey_Counts!$N$2:$N$743,MATCH(1,INDEX((Survey_Counts!$A$2:$A$743=Z$3)*(Survey_Counts!$B$2:$B$743=$A15),0),0)),"")</f>
        <v>0.58274398868458277</v>
      </c>
      <c r="AA15" s="30">
        <f>IFERROR(INDEX(Survey_Counts!$N$2:$N$743,MATCH(1,INDEX((Survey_Counts!$A$2:$A$743=AA$3)*(Survey_Counts!$B$2:$B$743=$A15),0),0)),"")</f>
        <v>0.64864864864864868</v>
      </c>
      <c r="AB15" s="30">
        <f>IFERROR(INDEX(Survey_Counts!$N$2:$N$743,MATCH(1,INDEX((Survey_Counts!$A$2:$A$743=AB$3)*(Survey_Counts!$B$2:$B$743=$A15),0),0)),"")</f>
        <v>0.64864864864864868</v>
      </c>
      <c r="AC15" s="30">
        <f>IFERROR(INDEX(Survey_Counts!$N$2:$N$743,MATCH(1,INDEX((Survey_Counts!$A$2:$A$743=AC$3)*(Survey_Counts!$B$2:$B$743=$A15),0),0)),"")</f>
        <v>0.39690721649484534</v>
      </c>
      <c r="AD15" s="30">
        <f>IFERROR(INDEX(Survey_Counts!$N$2:$N$743,MATCH(1,INDEX((Survey_Counts!$A$2:$A$743=AD$3)*(Survey_Counts!$B$2:$B$743=$A15),0),0)),"")</f>
        <v>0.39690721649484534</v>
      </c>
      <c r="AE15" s="30">
        <f>IFERROR(INDEX(Survey_Counts!$N$2:$N$743,MATCH(1,INDEX((Survey_Counts!$A$2:$A$743=AE$3)*(Survey_Counts!$B$2:$B$743=$A15),0),0)),"")</f>
        <v>0.43684210526315792</v>
      </c>
      <c r="AF15" s="30">
        <f>IFERROR(INDEX(Survey_Counts!$N$2:$N$743,MATCH(1,INDEX((Survey_Counts!$A$2:$A$743=AF$3)*(Survey_Counts!$B$2:$B$743=$A15),0),0)),"")</f>
        <v>0.57837837837837835</v>
      </c>
      <c r="AG15" s="30">
        <f>IFERROR(INDEX(Survey_Counts!$N$2:$N$743,MATCH(1,INDEX((Survey_Counts!$A$2:$A$743=AG$3)*(Survey_Counts!$B$2:$B$743=$A15),0),0)),"")</f>
        <v>0.64016736401673635</v>
      </c>
      <c r="AH15" s="30">
        <f>IFERROR(INDEX(Survey_Counts!$N$2:$N$743,MATCH(1,INDEX((Survey_Counts!$A$2:$A$743=AH$3)*(Survey_Counts!$B$2:$B$743=$A15),0),0)),"")</f>
        <v>0.73515981735159819</v>
      </c>
      <c r="AI15" s="30">
        <f>IFERROR(INDEX(Survey_Counts!$N$2:$N$743,MATCH(1,INDEX((Survey_Counts!$A$2:$A$743=AI$3)*(Survey_Counts!$B$2:$B$743=$A15),0),0)),"")</f>
        <v>0.61744022503516172</v>
      </c>
      <c r="AJ15" s="30">
        <f>IFERROR(INDEX(Survey_Counts!$N$2:$N$743,MATCH(1,INDEX((Survey_Counts!$A$2:$A$743=AJ$3)*(Survey_Counts!$B$2:$B$743=$A15),0),0)),"")</f>
        <v>0.48936170212765956</v>
      </c>
      <c r="AK15" s="30">
        <f>IFERROR(INDEX(Survey_Counts!$N$2:$N$743,MATCH(1,INDEX((Survey_Counts!$A$2:$A$743=AK$3)*(Survey_Counts!$B$2:$B$743=$A15),0),0)),"")</f>
        <v>0.64676616915422891</v>
      </c>
      <c r="AL15" s="30">
        <f>IFERROR(INDEX(Survey_Counts!$N$2:$N$743,MATCH(1,INDEX((Survey_Counts!$A$2:$A$743=AL$3)*(Survey_Counts!$B$2:$B$743=$A15),0),0)),"")</f>
        <v>0.61764705882352944</v>
      </c>
      <c r="AM15" s="30">
        <f>IFERROR(INDEX(Survey_Counts!$N$2:$N$743,MATCH(1,INDEX((Survey_Counts!$A$2:$A$743=AM$3)*(Survey_Counts!$B$2:$B$743=$A15),0),0)),"")</f>
        <v>0.43097643097643096</v>
      </c>
      <c r="AN15" s="30">
        <f>IFERROR(INDEX(Survey_Counts!$N$2:$N$743,MATCH(1,INDEX((Survey_Counts!$A$2:$A$743=AN$3)*(Survey_Counts!$B$2:$B$743=$A15),0),0)),"")</f>
        <v>0.46089385474860334</v>
      </c>
      <c r="AO15" s="30">
        <f>IFERROR(INDEX(Survey_Counts!$N$2:$N$743,MATCH(1,INDEX((Survey_Counts!$A$2:$A$743=AO$3)*(Survey_Counts!$B$2:$B$743=$A15),0),0)),"")</f>
        <v>0.62068965517241381</v>
      </c>
      <c r="AP15" s="30">
        <f>IFERROR(INDEX(Survey_Counts!$N$2:$N$743,MATCH(1,INDEX((Survey_Counts!$A$2:$A$743=AP$3)*(Survey_Counts!$B$2:$B$743=$A15),0),0)),"")</f>
        <v>0.62068965517241381</v>
      </c>
      <c r="AQ15" s="30">
        <f>IFERROR(INDEX(Survey_Counts!$N$2:$N$743,MATCH(1,INDEX((Survey_Counts!$A$2:$A$743=AQ$3)*(Survey_Counts!$B$2:$B$743=$A15),0),0)),"")</f>
        <v>0.45689655172413796</v>
      </c>
      <c r="AR15" s="30">
        <f>IFERROR(INDEX(Survey_Counts!$N$2:$N$743,MATCH(1,INDEX((Survey_Counts!$A$2:$A$743=AR$3)*(Survey_Counts!$B$2:$B$743=$A15),0),0)),"")</f>
        <v>0.53877551020408165</v>
      </c>
      <c r="AS15" s="30">
        <f>IFERROR(INDEX(Survey_Counts!$N$2:$N$743,MATCH(1,INDEX((Survey_Counts!$A$2:$A$743=AS$3)*(Survey_Counts!$B$2:$B$743=$A15),0),0)),"")</f>
        <v>0.55972696245733788</v>
      </c>
      <c r="AT15" s="30">
        <f>IFERROR(INDEX(Survey_Counts!$N$2:$N$743,MATCH(1,INDEX((Survey_Counts!$A$2:$A$743=AT$3)*(Survey_Counts!$B$2:$B$743=$A15),0),0)),"")</f>
        <v>0.59868421052631582</v>
      </c>
      <c r="AU15" s="30">
        <f>IFERROR(INDEX(Survey_Counts!$N$2:$N$743,MATCH(1,INDEX((Survey_Counts!$A$2:$A$743=AU$3)*(Survey_Counts!$B$2:$B$743=$A15),0),0)),"")</f>
        <v>0.43256997455470736</v>
      </c>
    </row>
    <row r="16" spans="1:47" ht="15" customHeight="1" x14ac:dyDescent="0.25">
      <c r="A16" s="22">
        <v>12</v>
      </c>
      <c r="B16" s="22" t="s">
        <v>239</v>
      </c>
      <c r="C16" s="22">
        <v>-45</v>
      </c>
      <c r="D16" s="30">
        <f>IFERROR(INDEX(Survey_Counts!$N$2:$N$743,MATCH(1,INDEX((Survey_Counts!$A$2:$A$743=D$3)*(Survey_Counts!$B$2:$B$743=$A16),0),0)),"")</f>
        <v>0.46791443850267378</v>
      </c>
      <c r="E16" s="30">
        <f>IFERROR(INDEX(Survey_Counts!$N$2:$N$743,MATCH(1,INDEX((Survey_Counts!$A$2:$A$743=E$3)*(Survey_Counts!$B$2:$B$743=$A16),0),0)),"")</f>
        <v>0.46791443850267378</v>
      </c>
      <c r="F16" s="30">
        <f>IFERROR(INDEX(Survey_Counts!$N$2:$N$743,MATCH(1,INDEX((Survey_Counts!$A$2:$A$743=F$3)*(Survey_Counts!$B$2:$B$743=$A16),0),0)),"")</f>
        <v>0.26839826839826841</v>
      </c>
      <c r="G16" s="30">
        <f>IFERROR(INDEX(Survey_Counts!$N$2:$N$743,MATCH(1,INDEX((Survey_Counts!$A$2:$A$743=G$3)*(Survey_Counts!$B$2:$B$743=$A16),0),0)),"")</f>
        <v>0.26839826839826841</v>
      </c>
      <c r="H16" s="30">
        <f>IFERROR(INDEX(Survey_Counts!$N$2:$N$743,MATCH(1,INDEX((Survey_Counts!$A$2:$A$743=H$3)*(Survey_Counts!$B$2:$B$743=$A16),0),0)),"")</f>
        <v>0.3559670781893004</v>
      </c>
      <c r="I16" s="30">
        <f>IFERROR(INDEX(Survey_Counts!$N$2:$N$743,MATCH(1,INDEX((Survey_Counts!$A$2:$A$743=I$3)*(Survey_Counts!$B$2:$B$743=$A16),0),0)),"")</f>
        <v>0.58015267175572516</v>
      </c>
      <c r="J16" s="30">
        <f>IFERROR(INDEX(Survey_Counts!$N$2:$N$743,MATCH(1,INDEX((Survey_Counts!$A$2:$A$743=J$3)*(Survey_Counts!$B$2:$B$743=$A16),0),0)),"")</f>
        <v>0.68779342723004699</v>
      </c>
      <c r="K16" s="30">
        <f>IFERROR(INDEX(Survey_Counts!$N$2:$N$743,MATCH(1,INDEX((Survey_Counts!$A$2:$A$743=K$3)*(Survey_Counts!$B$2:$B$743=$A16),0),0)),"")</f>
        <v>0.81132075471698117</v>
      </c>
      <c r="L16" s="30">
        <f>IFERROR(INDEX(Survey_Counts!$N$2:$N$743,MATCH(1,INDEX((Survey_Counts!$A$2:$A$743=L$3)*(Survey_Counts!$B$2:$B$743=$A16),0),0)),"")</f>
        <v>0.76663822525597269</v>
      </c>
      <c r="M16" s="30">
        <f>IFERROR(INDEX(Survey_Counts!$N$2:$N$743,MATCH(1,INDEX((Survey_Counts!$A$2:$A$743=M$3)*(Survey_Counts!$B$2:$B$743=$A16),0),0)),"")</f>
        <v>0.76663822525597269</v>
      </c>
      <c r="N16" s="30">
        <f>IFERROR(INDEX(Survey_Counts!$N$2:$N$743,MATCH(1,INDEX((Survey_Counts!$A$2:$A$743=N$3)*(Survey_Counts!$B$2:$B$743=$A16),0),0)),"")</f>
        <v>0.41872981700753498</v>
      </c>
      <c r="O16" s="30">
        <f>IFERROR(INDEX(Survey_Counts!$N$2:$N$743,MATCH(1,INDEX((Survey_Counts!$A$2:$A$743=O$3)*(Survey_Counts!$B$2:$B$743=$A16),0),0)),"")</f>
        <v>0.41872981700753498</v>
      </c>
      <c r="P16" s="30">
        <f>IFERROR(INDEX(Survey_Counts!$N$2:$N$743,MATCH(1,INDEX((Survey_Counts!$A$2:$A$743=P$3)*(Survey_Counts!$B$2:$B$743=$A16),0),0)),"")</f>
        <v>0.37647058823529411</v>
      </c>
      <c r="Q16" s="30">
        <f>IFERROR(INDEX(Survey_Counts!$N$2:$N$743,MATCH(1,INDEX((Survey_Counts!$A$2:$A$743=Q$3)*(Survey_Counts!$B$2:$B$743=$A16),0),0)),"")</f>
        <v>0.35365853658536583</v>
      </c>
      <c r="R16" s="30">
        <f>IFERROR(INDEX(Survey_Counts!$N$2:$N$743,MATCH(1,INDEX((Survey_Counts!$A$2:$A$743=R$3)*(Survey_Counts!$B$2:$B$743=$A16),0),0)),"")</f>
        <v>0.42592592592592593</v>
      </c>
      <c r="S16" s="30">
        <f>IFERROR(INDEX(Survey_Counts!$N$2:$N$743,MATCH(1,INDEX((Survey_Counts!$A$2:$A$743=S$3)*(Survey_Counts!$B$2:$B$743=$A16),0),0)),"")</f>
        <v>0.54285714285714282</v>
      </c>
      <c r="T16" s="30">
        <f>IFERROR(INDEX(Survey_Counts!$N$2:$N$743,MATCH(1,INDEX((Survey_Counts!$A$2:$A$743=T$3)*(Survey_Counts!$B$2:$B$743=$A16),0),0)),"")</f>
        <v>0.40556660039761433</v>
      </c>
      <c r="U16" s="30">
        <f>IFERROR(INDEX(Survey_Counts!$N$2:$N$743,MATCH(1,INDEX((Survey_Counts!$A$2:$A$743=U$3)*(Survey_Counts!$B$2:$B$743=$A16),0),0)),"")</f>
        <v>0.64953810623556585</v>
      </c>
      <c r="V16" s="30">
        <f>IFERROR(INDEX(Survey_Counts!$N$2:$N$743,MATCH(1,INDEX((Survey_Counts!$A$2:$A$743=V$3)*(Survey_Counts!$B$2:$B$743=$A16),0),0)),"")</f>
        <v>0.59459459459459463</v>
      </c>
      <c r="W16" s="30">
        <f>IFERROR(INDEX(Survey_Counts!$N$2:$N$743,MATCH(1,INDEX((Survey_Counts!$A$2:$A$743=W$3)*(Survey_Counts!$B$2:$B$743=$A16),0),0)),"")</f>
        <v>0.5027502750275028</v>
      </c>
      <c r="X16" s="30">
        <f>IFERROR(INDEX(Survey_Counts!$N$2:$N$743,MATCH(1,INDEX((Survey_Counts!$A$2:$A$743=X$3)*(Survey_Counts!$B$2:$B$743=$A16),0),0)),"")</f>
        <v>0.52290076335877866</v>
      </c>
      <c r="Y16" s="30">
        <f>IFERROR(INDEX(Survey_Counts!$N$2:$N$743,MATCH(1,INDEX((Survey_Counts!$A$2:$A$743=Y$3)*(Survey_Counts!$B$2:$B$743=$A16),0),0)),"")</f>
        <v>0.55304101838755304</v>
      </c>
      <c r="Z16" s="30">
        <f>IFERROR(INDEX(Survey_Counts!$N$2:$N$743,MATCH(1,INDEX((Survey_Counts!$A$2:$A$743=Z$3)*(Survey_Counts!$B$2:$B$743=$A16),0),0)),"")</f>
        <v>0.55304101838755304</v>
      </c>
      <c r="AA16" s="30">
        <f>IFERROR(INDEX(Survey_Counts!$N$2:$N$743,MATCH(1,INDEX((Survey_Counts!$A$2:$A$743=AA$3)*(Survey_Counts!$B$2:$B$743=$A16),0),0)),"")</f>
        <v>0.52895752895752901</v>
      </c>
      <c r="AB16" s="30">
        <f>IFERROR(INDEX(Survey_Counts!$N$2:$N$743,MATCH(1,INDEX((Survey_Counts!$A$2:$A$743=AB$3)*(Survey_Counts!$B$2:$B$743=$A16),0),0)),"")</f>
        <v>0.52895752895752901</v>
      </c>
      <c r="AC16" s="30">
        <f>IFERROR(INDEX(Survey_Counts!$N$2:$N$743,MATCH(1,INDEX((Survey_Counts!$A$2:$A$743=AC$3)*(Survey_Counts!$B$2:$B$743=$A16),0),0)),"")</f>
        <v>0.32474226804123713</v>
      </c>
      <c r="AD16" s="30">
        <f>IFERROR(INDEX(Survey_Counts!$N$2:$N$743,MATCH(1,INDEX((Survey_Counts!$A$2:$A$743=AD$3)*(Survey_Counts!$B$2:$B$743=$A16),0),0)),"")</f>
        <v>0.32474226804123713</v>
      </c>
      <c r="AE16" s="30">
        <f>IFERROR(INDEX(Survey_Counts!$N$2:$N$743,MATCH(1,INDEX((Survey_Counts!$A$2:$A$743=AE$3)*(Survey_Counts!$B$2:$B$743=$A16),0),0)),"")</f>
        <v>0.36315789473684212</v>
      </c>
      <c r="AF16" s="30">
        <f>IFERROR(INDEX(Survey_Counts!$N$2:$N$743,MATCH(1,INDEX((Survey_Counts!$A$2:$A$743=AF$3)*(Survey_Counts!$B$2:$B$743=$A16),0),0)),"")</f>
        <v>0.54054054054054057</v>
      </c>
      <c r="AG16" s="30">
        <f>IFERROR(INDEX(Survey_Counts!$N$2:$N$743,MATCH(1,INDEX((Survey_Counts!$A$2:$A$743=AG$3)*(Survey_Counts!$B$2:$B$743=$A16),0),0)),"")</f>
        <v>0.65690376569037656</v>
      </c>
      <c r="AH16" s="30">
        <f>IFERROR(INDEX(Survey_Counts!$N$2:$N$743,MATCH(1,INDEX((Survey_Counts!$A$2:$A$743=AH$3)*(Survey_Counts!$B$2:$B$743=$A16),0),0)),"")</f>
        <v>0.70776255707762559</v>
      </c>
      <c r="AI16" s="30">
        <f>IFERROR(INDEX(Survey_Counts!$N$2:$N$743,MATCH(1,INDEX((Survey_Counts!$A$2:$A$743=AI$3)*(Survey_Counts!$B$2:$B$743=$A16),0),0)),"")</f>
        <v>0.58931082981715888</v>
      </c>
      <c r="AJ16" s="30">
        <f>IFERROR(INDEX(Survey_Counts!$N$2:$N$743,MATCH(1,INDEX((Survey_Counts!$A$2:$A$743=AJ$3)*(Survey_Counts!$B$2:$B$743=$A16),0),0)),"")</f>
        <v>0.51063829787234039</v>
      </c>
      <c r="AK16" s="30">
        <f>IFERROR(INDEX(Survey_Counts!$N$2:$N$743,MATCH(1,INDEX((Survey_Counts!$A$2:$A$743=AK$3)*(Survey_Counts!$B$2:$B$743=$A16),0),0)),"")</f>
        <v>0.58955223880597019</v>
      </c>
      <c r="AL16" s="30">
        <f>IFERROR(INDEX(Survey_Counts!$N$2:$N$743,MATCH(1,INDEX((Survey_Counts!$A$2:$A$743=AL$3)*(Survey_Counts!$B$2:$B$743=$A16),0),0)),"")</f>
        <v>0.69281045751633985</v>
      </c>
      <c r="AM16" s="30">
        <f>IFERROR(INDEX(Survey_Counts!$N$2:$N$743,MATCH(1,INDEX((Survey_Counts!$A$2:$A$743=AM$3)*(Survey_Counts!$B$2:$B$743=$A16),0),0)),"")</f>
        <v>0.35690235690235689</v>
      </c>
      <c r="AN16" s="30">
        <f>IFERROR(INDEX(Survey_Counts!$N$2:$N$743,MATCH(1,INDEX((Survey_Counts!$A$2:$A$743=AN$3)*(Survey_Counts!$B$2:$B$743=$A16),0),0)),"")</f>
        <v>0.41340782122905029</v>
      </c>
      <c r="AO16" s="30">
        <f>IFERROR(INDEX(Survey_Counts!$N$2:$N$743,MATCH(1,INDEX((Survey_Counts!$A$2:$A$743=AO$3)*(Survey_Counts!$B$2:$B$743=$A16),0),0)),"")</f>
        <v>0.62298850574712639</v>
      </c>
      <c r="AP16" s="30">
        <f>IFERROR(INDEX(Survey_Counts!$N$2:$N$743,MATCH(1,INDEX((Survey_Counts!$A$2:$A$743=AP$3)*(Survey_Counts!$B$2:$B$743=$A16),0),0)),"")</f>
        <v>0.62298850574712639</v>
      </c>
      <c r="AQ16" s="30">
        <f>IFERROR(INDEX(Survey_Counts!$N$2:$N$743,MATCH(1,INDEX((Survey_Counts!$A$2:$A$743=AQ$3)*(Survey_Counts!$B$2:$B$743=$A16),0),0)),"")</f>
        <v>0.48706896551724138</v>
      </c>
      <c r="AR16" s="30">
        <f>IFERROR(INDEX(Survey_Counts!$N$2:$N$743,MATCH(1,INDEX((Survey_Counts!$A$2:$A$743=AR$3)*(Survey_Counts!$B$2:$B$743=$A16),0),0)),"")</f>
        <v>0.48163265306122449</v>
      </c>
      <c r="AS16" s="30">
        <f>IFERROR(INDEX(Survey_Counts!$N$2:$N$743,MATCH(1,INDEX((Survey_Counts!$A$2:$A$743=AS$3)*(Survey_Counts!$B$2:$B$743=$A16),0),0)),"")</f>
        <v>0.43003412969283278</v>
      </c>
      <c r="AT16" s="30">
        <f>IFERROR(INDEX(Survey_Counts!$N$2:$N$743,MATCH(1,INDEX((Survey_Counts!$A$2:$A$743=AT$3)*(Survey_Counts!$B$2:$B$743=$A16),0),0)),"")</f>
        <v>0.58552631578947367</v>
      </c>
      <c r="AU16" s="30">
        <f>IFERROR(INDEX(Survey_Counts!$N$2:$N$743,MATCH(1,INDEX((Survey_Counts!$A$2:$A$743=AU$3)*(Survey_Counts!$B$2:$B$743=$A16),0),0)),"")</f>
        <v>0.38167938931297712</v>
      </c>
    </row>
    <row r="17" spans="1:47" ht="15" customHeight="1" x14ac:dyDescent="0.25">
      <c r="A17" s="22">
        <v>13</v>
      </c>
      <c r="B17" s="22" t="s">
        <v>387</v>
      </c>
      <c r="C17" s="22">
        <v>-30</v>
      </c>
      <c r="D17" s="30">
        <f>IFERROR(INDEX(Survey_Counts!$N$2:$N$743,MATCH(1,INDEX((Survey_Counts!$A$2:$A$743=D$3)*(Survey_Counts!$B$2:$B$743=$A17),0),0)),"")</f>
        <v>0.33422459893048129</v>
      </c>
      <c r="E17" s="30">
        <f>IFERROR(INDEX(Survey_Counts!$N$2:$N$743,MATCH(1,INDEX((Survey_Counts!$A$2:$A$743=E$3)*(Survey_Counts!$B$2:$B$743=$A17),0),0)),"")</f>
        <v>0.33422459893048129</v>
      </c>
      <c r="F17" s="30">
        <f>IFERROR(INDEX(Survey_Counts!$N$2:$N$743,MATCH(1,INDEX((Survey_Counts!$A$2:$A$743=F$3)*(Survey_Counts!$B$2:$B$743=$A17),0),0)),"")</f>
        <v>0.22943722943722944</v>
      </c>
      <c r="G17" s="30">
        <f>IFERROR(INDEX(Survey_Counts!$N$2:$N$743,MATCH(1,INDEX((Survey_Counts!$A$2:$A$743=G$3)*(Survey_Counts!$B$2:$B$743=$A17),0),0)),"")</f>
        <v>0.22943722943722944</v>
      </c>
      <c r="H17" s="30">
        <f>IFERROR(INDEX(Survey_Counts!$N$2:$N$743,MATCH(1,INDEX((Survey_Counts!$A$2:$A$743=H$3)*(Survey_Counts!$B$2:$B$743=$A17),0),0)),"")</f>
        <v>0.24279835390946503</v>
      </c>
      <c r="I17" s="30">
        <f>IFERROR(INDEX(Survey_Counts!$N$2:$N$743,MATCH(1,INDEX((Survey_Counts!$A$2:$A$743=I$3)*(Survey_Counts!$B$2:$B$743=$A17),0),0)),"")</f>
        <v>0.51653944020356235</v>
      </c>
      <c r="J17" s="30">
        <f>IFERROR(INDEX(Survey_Counts!$N$2:$N$743,MATCH(1,INDEX((Survey_Counts!$A$2:$A$743=J$3)*(Survey_Counts!$B$2:$B$743=$A17),0),0)),"")</f>
        <v>0.64319248826291076</v>
      </c>
      <c r="K17" s="30">
        <f>IFERROR(INDEX(Survey_Counts!$N$2:$N$743,MATCH(1,INDEX((Survey_Counts!$A$2:$A$743=K$3)*(Survey_Counts!$B$2:$B$743=$A17),0),0)),"")</f>
        <v>0.73113207547169812</v>
      </c>
      <c r="L17" s="30">
        <f>IFERROR(INDEX(Survey_Counts!$N$2:$N$743,MATCH(1,INDEX((Survey_Counts!$A$2:$A$743=L$3)*(Survey_Counts!$B$2:$B$743=$A17),0),0)),"")</f>
        <v>0.75511945392491464</v>
      </c>
      <c r="M17" s="30">
        <f>IFERROR(INDEX(Survey_Counts!$N$2:$N$743,MATCH(1,INDEX((Survey_Counts!$A$2:$A$743=M$3)*(Survey_Counts!$B$2:$B$743=$A17),0),0)),"")</f>
        <v>0.75511945392491464</v>
      </c>
      <c r="N17" s="30">
        <f>IFERROR(INDEX(Survey_Counts!$N$2:$N$743,MATCH(1,INDEX((Survey_Counts!$A$2:$A$743=N$3)*(Survey_Counts!$B$2:$B$743=$A17),0),0)),"")</f>
        <v>0.30893433799784714</v>
      </c>
      <c r="O17" s="30">
        <f>IFERROR(INDEX(Survey_Counts!$N$2:$N$743,MATCH(1,INDEX((Survey_Counts!$A$2:$A$743=O$3)*(Survey_Counts!$B$2:$B$743=$A17),0),0)),"")</f>
        <v>0.30893433799784714</v>
      </c>
      <c r="P17" s="30">
        <f>IFERROR(INDEX(Survey_Counts!$N$2:$N$743,MATCH(1,INDEX((Survey_Counts!$A$2:$A$743=P$3)*(Survey_Counts!$B$2:$B$743=$A17),0),0)),"")</f>
        <v>0.37647058823529411</v>
      </c>
      <c r="Q17" s="30">
        <f>IFERROR(INDEX(Survey_Counts!$N$2:$N$743,MATCH(1,INDEX((Survey_Counts!$A$2:$A$743=Q$3)*(Survey_Counts!$B$2:$B$743=$A17),0),0)),"")</f>
        <v>0.35365853658536583</v>
      </c>
      <c r="R17" s="30">
        <f>IFERROR(INDEX(Survey_Counts!$N$2:$N$743,MATCH(1,INDEX((Survey_Counts!$A$2:$A$743=R$3)*(Survey_Counts!$B$2:$B$743=$A17),0),0)),"")</f>
        <v>0.27366255144032919</v>
      </c>
      <c r="S17" s="30">
        <f>IFERROR(INDEX(Survey_Counts!$N$2:$N$743,MATCH(1,INDEX((Survey_Counts!$A$2:$A$743=S$3)*(Survey_Counts!$B$2:$B$743=$A17),0),0)),"")</f>
        <v>0.45357142857142857</v>
      </c>
      <c r="T17" s="30">
        <f>IFERROR(INDEX(Survey_Counts!$N$2:$N$743,MATCH(1,INDEX((Survey_Counts!$A$2:$A$743=T$3)*(Survey_Counts!$B$2:$B$743=$A17),0),0)),"")</f>
        <v>0.32007952286282304</v>
      </c>
      <c r="U17" s="30">
        <f>IFERROR(INDEX(Survey_Counts!$N$2:$N$743,MATCH(1,INDEX((Survey_Counts!$A$2:$A$743=U$3)*(Survey_Counts!$B$2:$B$743=$A17),0),0)),"")</f>
        <v>0.5727482678983834</v>
      </c>
      <c r="V17" s="30">
        <f>IFERROR(INDEX(Survey_Counts!$N$2:$N$743,MATCH(1,INDEX((Survey_Counts!$A$2:$A$743=V$3)*(Survey_Counts!$B$2:$B$743=$A17),0),0)),"")</f>
        <v>0.55405405405405406</v>
      </c>
      <c r="W17" s="30">
        <f>IFERROR(INDEX(Survey_Counts!$N$2:$N$743,MATCH(1,INDEX((Survey_Counts!$A$2:$A$743=W$3)*(Survey_Counts!$B$2:$B$743=$A17),0),0)),"")</f>
        <v>0.38503850385038502</v>
      </c>
      <c r="X17" s="30">
        <f>IFERROR(INDEX(Survey_Counts!$N$2:$N$743,MATCH(1,INDEX((Survey_Counts!$A$2:$A$743=X$3)*(Survey_Counts!$B$2:$B$743=$A17),0),0)),"")</f>
        <v>0.4351145038167939</v>
      </c>
      <c r="Y17" s="30">
        <f>IFERROR(INDEX(Survey_Counts!$N$2:$N$743,MATCH(1,INDEX((Survey_Counts!$A$2:$A$743=Y$3)*(Survey_Counts!$B$2:$B$743=$A17),0),0)),"")</f>
        <v>0.4794908062234795</v>
      </c>
      <c r="Z17" s="30">
        <f>IFERROR(INDEX(Survey_Counts!$N$2:$N$743,MATCH(1,INDEX((Survey_Counts!$A$2:$A$743=Z$3)*(Survey_Counts!$B$2:$B$743=$A17),0),0)),"")</f>
        <v>0.4794908062234795</v>
      </c>
      <c r="AA17" s="30">
        <f>IFERROR(INDEX(Survey_Counts!$N$2:$N$743,MATCH(1,INDEX((Survey_Counts!$A$2:$A$743=AA$3)*(Survey_Counts!$B$2:$B$743=$A17),0),0)),"")</f>
        <v>0.37065637065637064</v>
      </c>
      <c r="AB17" s="30">
        <f>IFERROR(INDEX(Survey_Counts!$N$2:$N$743,MATCH(1,INDEX((Survey_Counts!$A$2:$A$743=AB$3)*(Survey_Counts!$B$2:$B$743=$A17),0),0)),"")</f>
        <v>0.37065637065637064</v>
      </c>
      <c r="AC17" s="30">
        <f>IFERROR(INDEX(Survey_Counts!$N$2:$N$743,MATCH(1,INDEX((Survey_Counts!$A$2:$A$743=AC$3)*(Survey_Counts!$B$2:$B$743=$A17),0),0)),"")</f>
        <v>0.29381443298969073</v>
      </c>
      <c r="AD17" s="30">
        <f>IFERROR(INDEX(Survey_Counts!$N$2:$N$743,MATCH(1,INDEX((Survey_Counts!$A$2:$A$743=AD$3)*(Survey_Counts!$B$2:$B$743=$A17),0),0)),"")</f>
        <v>0.29381443298969073</v>
      </c>
      <c r="AE17" s="30">
        <f>IFERROR(INDEX(Survey_Counts!$N$2:$N$743,MATCH(1,INDEX((Survey_Counts!$A$2:$A$743=AE$3)*(Survey_Counts!$B$2:$B$743=$A17),0),0)),"")</f>
        <v>0.28421052631578947</v>
      </c>
      <c r="AF17" s="30">
        <f>IFERROR(INDEX(Survey_Counts!$N$2:$N$743,MATCH(1,INDEX((Survey_Counts!$A$2:$A$743=AF$3)*(Survey_Counts!$B$2:$B$743=$A17),0),0)),"")</f>
        <v>0.50270270270270268</v>
      </c>
      <c r="AG17" s="30">
        <f>IFERROR(INDEX(Survey_Counts!$N$2:$N$743,MATCH(1,INDEX((Survey_Counts!$A$2:$A$743=AG$3)*(Survey_Counts!$B$2:$B$743=$A17),0),0)),"")</f>
        <v>0.64853556485355646</v>
      </c>
      <c r="AH17" s="30">
        <f>IFERROR(INDEX(Survey_Counts!$N$2:$N$743,MATCH(1,INDEX((Survey_Counts!$A$2:$A$743=AH$3)*(Survey_Counts!$B$2:$B$743=$A17),0),0)),"")</f>
        <v>0.61643835616438358</v>
      </c>
      <c r="AI17" s="30">
        <f>IFERROR(INDEX(Survey_Counts!$N$2:$N$743,MATCH(1,INDEX((Survey_Counts!$A$2:$A$743=AI$3)*(Survey_Counts!$B$2:$B$743=$A17),0),0)),"")</f>
        <v>0.52695733708391934</v>
      </c>
      <c r="AJ17" s="30">
        <f>IFERROR(INDEX(Survey_Counts!$N$2:$N$743,MATCH(1,INDEX((Survey_Counts!$A$2:$A$743=AJ$3)*(Survey_Counts!$B$2:$B$743=$A17),0),0)),"")</f>
        <v>0.53191489361702127</v>
      </c>
      <c r="AK17" s="30">
        <f>IFERROR(INDEX(Survey_Counts!$N$2:$N$743,MATCH(1,INDEX((Survey_Counts!$A$2:$A$743=AK$3)*(Survey_Counts!$B$2:$B$743=$A17),0),0)),"")</f>
        <v>0.4925373134328358</v>
      </c>
      <c r="AL17" s="30">
        <f>IFERROR(INDEX(Survey_Counts!$N$2:$N$743,MATCH(1,INDEX((Survey_Counts!$A$2:$A$743=AL$3)*(Survey_Counts!$B$2:$B$743=$A17),0),0)),"")</f>
        <v>0.68954248366013071</v>
      </c>
      <c r="AM17" s="30">
        <f>IFERROR(INDEX(Survey_Counts!$N$2:$N$743,MATCH(1,INDEX((Survey_Counts!$A$2:$A$743=AM$3)*(Survey_Counts!$B$2:$B$743=$A17),0),0)),"")</f>
        <v>0.24915824915824916</v>
      </c>
      <c r="AN17" s="30">
        <f>IFERROR(INDEX(Survey_Counts!$N$2:$N$743,MATCH(1,INDEX((Survey_Counts!$A$2:$A$743=AN$3)*(Survey_Counts!$B$2:$B$743=$A17),0),0)),"")</f>
        <v>0.32960893854748602</v>
      </c>
      <c r="AO17" s="30">
        <f>IFERROR(INDEX(Survey_Counts!$N$2:$N$743,MATCH(1,INDEX((Survey_Counts!$A$2:$A$743=AO$3)*(Survey_Counts!$B$2:$B$743=$A17),0),0)),"")</f>
        <v>0.61839080459770113</v>
      </c>
      <c r="AP17" s="30">
        <f>IFERROR(INDEX(Survey_Counts!$N$2:$N$743,MATCH(1,INDEX((Survey_Counts!$A$2:$A$743=AP$3)*(Survey_Counts!$B$2:$B$743=$A17),0),0)),"")</f>
        <v>0.61839080459770113</v>
      </c>
      <c r="AQ17" s="30">
        <f>IFERROR(INDEX(Survey_Counts!$N$2:$N$743,MATCH(1,INDEX((Survey_Counts!$A$2:$A$743=AQ$3)*(Survey_Counts!$B$2:$B$743=$A17),0),0)),"")</f>
        <v>0.45258620689655171</v>
      </c>
      <c r="AR17" s="30">
        <f>IFERROR(INDEX(Survey_Counts!$N$2:$N$743,MATCH(1,INDEX((Survey_Counts!$A$2:$A$743=AR$3)*(Survey_Counts!$B$2:$B$743=$A17),0),0)),"")</f>
        <v>0.38775510204081631</v>
      </c>
      <c r="AS17" s="30">
        <f>IFERROR(INDEX(Survey_Counts!$N$2:$N$743,MATCH(1,INDEX((Survey_Counts!$A$2:$A$743=AS$3)*(Survey_Counts!$B$2:$B$743=$A17),0),0)),"")</f>
        <v>0.3651877133105802</v>
      </c>
      <c r="AT17" s="30">
        <f>IFERROR(INDEX(Survey_Counts!$N$2:$N$743,MATCH(1,INDEX((Survey_Counts!$A$2:$A$743=AT$3)*(Survey_Counts!$B$2:$B$743=$A17),0),0)),"")</f>
        <v>0.5625</v>
      </c>
      <c r="AU17" s="30">
        <f>IFERROR(INDEX(Survey_Counts!$N$2:$N$743,MATCH(1,INDEX((Survey_Counts!$A$2:$A$743=AU$3)*(Survey_Counts!$B$2:$B$743=$A17),0),0)),"")</f>
        <v>0.31043256997455471</v>
      </c>
    </row>
    <row r="18" spans="1:47" ht="15" customHeight="1" x14ac:dyDescent="0.25">
      <c r="A18" s="22">
        <v>14</v>
      </c>
      <c r="B18" s="22" t="s">
        <v>468</v>
      </c>
      <c r="C18" s="22">
        <v>-15</v>
      </c>
      <c r="D18" s="30">
        <f>IFERROR(INDEX(Survey_Counts!$N$2:$N$743,MATCH(1,INDEX((Survey_Counts!$A$2:$A$743=D$3)*(Survey_Counts!$B$2:$B$743=$A18),0),0)),"")</f>
        <v>0.26470588235294118</v>
      </c>
      <c r="E18" s="30">
        <f>IFERROR(INDEX(Survey_Counts!$N$2:$N$743,MATCH(1,INDEX((Survey_Counts!$A$2:$A$743=E$3)*(Survey_Counts!$B$2:$B$743=$A18),0),0)),"")</f>
        <v>0.26470588235294118</v>
      </c>
      <c r="F18" s="30">
        <f>IFERROR(INDEX(Survey_Counts!$N$2:$N$743,MATCH(1,INDEX((Survey_Counts!$A$2:$A$743=F$3)*(Survey_Counts!$B$2:$B$743=$A18),0),0)),"")</f>
        <v>0.18614718614718614</v>
      </c>
      <c r="G18" s="30">
        <f>IFERROR(INDEX(Survey_Counts!$N$2:$N$743,MATCH(1,INDEX((Survey_Counts!$A$2:$A$743=G$3)*(Survey_Counts!$B$2:$B$743=$A18),0),0)),"")</f>
        <v>0.18614718614718614</v>
      </c>
      <c r="H18" s="30">
        <f>IFERROR(INDEX(Survey_Counts!$N$2:$N$743,MATCH(1,INDEX((Survey_Counts!$A$2:$A$743=H$3)*(Survey_Counts!$B$2:$B$743=$A18),0),0)),"")</f>
        <v>0.17078189300411523</v>
      </c>
      <c r="I18" s="30">
        <f>IFERROR(INDEX(Survey_Counts!$N$2:$N$743,MATCH(1,INDEX((Survey_Counts!$A$2:$A$743=I$3)*(Survey_Counts!$B$2:$B$743=$A18),0),0)),"")</f>
        <v>0.44529262086513993</v>
      </c>
      <c r="J18" s="30">
        <f>IFERROR(INDEX(Survey_Counts!$N$2:$N$743,MATCH(1,INDEX((Survey_Counts!$A$2:$A$743=J$3)*(Survey_Counts!$B$2:$B$743=$A18),0),0)),"")</f>
        <v>0.56103286384976525</v>
      </c>
      <c r="K18" s="30">
        <f>IFERROR(INDEX(Survey_Counts!$N$2:$N$743,MATCH(1,INDEX((Survey_Counts!$A$2:$A$743=K$3)*(Survey_Counts!$B$2:$B$743=$A18),0),0)),"")</f>
        <v>0.62264150943396224</v>
      </c>
      <c r="L18" s="30">
        <f>IFERROR(INDEX(Survey_Counts!$N$2:$N$743,MATCH(1,INDEX((Survey_Counts!$A$2:$A$743=L$3)*(Survey_Counts!$B$2:$B$743=$A18),0),0)),"")</f>
        <v>0.71032423208191131</v>
      </c>
      <c r="M18" s="30">
        <f>IFERROR(INDEX(Survey_Counts!$N$2:$N$743,MATCH(1,INDEX((Survey_Counts!$A$2:$A$743=M$3)*(Survey_Counts!$B$2:$B$743=$A18),0),0)),"")</f>
        <v>0.71032423208191131</v>
      </c>
      <c r="N18" s="30">
        <f>IFERROR(INDEX(Survey_Counts!$N$2:$N$743,MATCH(1,INDEX((Survey_Counts!$A$2:$A$743=N$3)*(Survey_Counts!$B$2:$B$743=$A18),0),0)),"")</f>
        <v>0.23896663078579117</v>
      </c>
      <c r="O18" s="30">
        <f>IFERROR(INDEX(Survey_Counts!$N$2:$N$743,MATCH(1,INDEX((Survey_Counts!$A$2:$A$743=O$3)*(Survey_Counts!$B$2:$B$743=$A18),0),0)),"")</f>
        <v>0.23896663078579117</v>
      </c>
      <c r="P18" s="30">
        <f>IFERROR(INDEX(Survey_Counts!$N$2:$N$743,MATCH(1,INDEX((Survey_Counts!$A$2:$A$743=P$3)*(Survey_Counts!$B$2:$B$743=$A18),0),0)),"")</f>
        <v>0.24705882352941178</v>
      </c>
      <c r="Q18" s="30">
        <f>IFERROR(INDEX(Survey_Counts!$N$2:$N$743,MATCH(1,INDEX((Survey_Counts!$A$2:$A$743=Q$3)*(Survey_Counts!$B$2:$B$743=$A18),0),0)),"")</f>
        <v>0.21951219512195122</v>
      </c>
      <c r="R18" s="30">
        <f>IFERROR(INDEX(Survey_Counts!$N$2:$N$743,MATCH(1,INDEX((Survey_Counts!$A$2:$A$743=R$3)*(Survey_Counts!$B$2:$B$743=$A18),0),0)),"")</f>
        <v>0.18518518518518517</v>
      </c>
      <c r="S18" s="30">
        <f>IFERROR(INDEX(Survey_Counts!$N$2:$N$743,MATCH(1,INDEX((Survey_Counts!$A$2:$A$743=S$3)*(Survey_Counts!$B$2:$B$743=$A18),0),0)),"")</f>
        <v>0.39285714285714285</v>
      </c>
      <c r="T18" s="30">
        <f>IFERROR(INDEX(Survey_Counts!$N$2:$N$743,MATCH(1,INDEX((Survey_Counts!$A$2:$A$743=T$3)*(Survey_Counts!$B$2:$B$743=$A18),0),0)),"")</f>
        <v>0.24055666003976142</v>
      </c>
      <c r="U18" s="30">
        <f>IFERROR(INDEX(Survey_Counts!$N$2:$N$743,MATCH(1,INDEX((Survey_Counts!$A$2:$A$743=U$3)*(Survey_Counts!$B$2:$B$743=$A18),0),0)),"")</f>
        <v>0.45785219399538107</v>
      </c>
      <c r="V18" s="30">
        <f>IFERROR(INDEX(Survey_Counts!$N$2:$N$743,MATCH(1,INDEX((Survey_Counts!$A$2:$A$743=V$3)*(Survey_Counts!$B$2:$B$743=$A18),0),0)),"")</f>
        <v>0.43243243243243246</v>
      </c>
      <c r="W18" s="30">
        <f>IFERROR(INDEX(Survey_Counts!$N$2:$N$743,MATCH(1,INDEX((Survey_Counts!$A$2:$A$743=W$3)*(Survey_Counts!$B$2:$B$743=$A18),0),0)),"")</f>
        <v>0.21232123212321233</v>
      </c>
      <c r="X18" s="30">
        <f>IFERROR(INDEX(Survey_Counts!$N$2:$N$743,MATCH(1,INDEX((Survey_Counts!$A$2:$A$743=X$3)*(Survey_Counts!$B$2:$B$743=$A18),0),0)),"")</f>
        <v>0.30916030534351147</v>
      </c>
      <c r="Y18" s="30">
        <f>IFERROR(INDEX(Survey_Counts!$N$2:$N$743,MATCH(1,INDEX((Survey_Counts!$A$2:$A$743=Y$3)*(Survey_Counts!$B$2:$B$743=$A18),0),0)),"")</f>
        <v>0.4045261669024045</v>
      </c>
      <c r="Z18" s="30">
        <f>IFERROR(INDEX(Survey_Counts!$N$2:$N$743,MATCH(1,INDEX((Survey_Counts!$A$2:$A$743=Z$3)*(Survey_Counts!$B$2:$B$743=$A18),0),0)),"")</f>
        <v>0.4045261669024045</v>
      </c>
      <c r="AA18" s="30">
        <f>IFERROR(INDEX(Survey_Counts!$N$2:$N$743,MATCH(1,INDEX((Survey_Counts!$A$2:$A$743=AA$3)*(Survey_Counts!$B$2:$B$743=$A18),0),0)),"")</f>
        <v>0.28185328185328185</v>
      </c>
      <c r="AB18" s="30">
        <f>IFERROR(INDEX(Survey_Counts!$N$2:$N$743,MATCH(1,INDEX((Survey_Counts!$A$2:$A$743=AB$3)*(Survey_Counts!$B$2:$B$743=$A18),0),0)),"")</f>
        <v>0.28185328185328185</v>
      </c>
      <c r="AC18" s="30">
        <f>IFERROR(INDEX(Survey_Counts!$N$2:$N$743,MATCH(1,INDEX((Survey_Counts!$A$2:$A$743=AC$3)*(Survey_Counts!$B$2:$B$743=$A18),0),0)),"")</f>
        <v>0.26804123711340205</v>
      </c>
      <c r="AD18" s="30">
        <f>IFERROR(INDEX(Survey_Counts!$N$2:$N$743,MATCH(1,INDEX((Survey_Counts!$A$2:$A$743=AD$3)*(Survey_Counts!$B$2:$B$743=$A18),0),0)),"")</f>
        <v>0.26804123711340205</v>
      </c>
      <c r="AE18" s="30">
        <f>IFERROR(INDEX(Survey_Counts!$N$2:$N$743,MATCH(1,INDEX((Survey_Counts!$A$2:$A$743=AE$3)*(Survey_Counts!$B$2:$B$743=$A18),0),0)),"")</f>
        <v>0.17894736842105263</v>
      </c>
      <c r="AF18" s="30">
        <f>IFERROR(INDEX(Survey_Counts!$N$2:$N$743,MATCH(1,INDEX((Survey_Counts!$A$2:$A$743=AF$3)*(Survey_Counts!$B$2:$B$743=$A18),0),0)),"")</f>
        <v>0.4</v>
      </c>
      <c r="AG18" s="30">
        <f>IFERROR(INDEX(Survey_Counts!$N$2:$N$743,MATCH(1,INDEX((Survey_Counts!$A$2:$A$743=AG$3)*(Survey_Counts!$B$2:$B$743=$A18),0),0)),"")</f>
        <v>0.60251046025104604</v>
      </c>
      <c r="AH18" s="30">
        <f>IFERROR(INDEX(Survey_Counts!$N$2:$N$743,MATCH(1,INDEX((Survey_Counts!$A$2:$A$743=AH$3)*(Survey_Counts!$B$2:$B$743=$A18),0),0)),"")</f>
        <v>0.51598173515981738</v>
      </c>
      <c r="AI18" s="30">
        <f>IFERROR(INDEX(Survey_Counts!$N$2:$N$743,MATCH(1,INDEX((Survey_Counts!$A$2:$A$743=AI$3)*(Survey_Counts!$B$2:$B$743=$A18),0),0)),"")</f>
        <v>0.45944678856071264</v>
      </c>
      <c r="AJ18" s="30">
        <f>IFERROR(INDEX(Survey_Counts!$N$2:$N$743,MATCH(1,INDEX((Survey_Counts!$A$2:$A$743=AJ$3)*(Survey_Counts!$B$2:$B$743=$A18),0),0)),"")</f>
        <v>0.53191489361702127</v>
      </c>
      <c r="AK18" s="30">
        <f>IFERROR(INDEX(Survey_Counts!$N$2:$N$743,MATCH(1,INDEX((Survey_Counts!$A$2:$A$743=AK$3)*(Survey_Counts!$B$2:$B$743=$A18),0),0)),"")</f>
        <v>0.39054726368159204</v>
      </c>
      <c r="AL18" s="30">
        <f>IFERROR(INDEX(Survey_Counts!$N$2:$N$743,MATCH(1,INDEX((Survey_Counts!$A$2:$A$743=AL$3)*(Survey_Counts!$B$2:$B$743=$A18),0),0)),"")</f>
        <v>0.66666666666666663</v>
      </c>
      <c r="AM18" s="30">
        <f>IFERROR(INDEX(Survey_Counts!$N$2:$N$743,MATCH(1,INDEX((Survey_Counts!$A$2:$A$743=AM$3)*(Survey_Counts!$B$2:$B$743=$A18),0),0)),"")</f>
        <v>0.13636363636363635</v>
      </c>
      <c r="AN18" s="30">
        <f>IFERROR(INDEX(Survey_Counts!$N$2:$N$743,MATCH(1,INDEX((Survey_Counts!$A$2:$A$743=AN$3)*(Survey_Counts!$B$2:$B$743=$A18),0),0)),"")</f>
        <v>0.24860335195530725</v>
      </c>
      <c r="AO18" s="30">
        <f>IFERROR(INDEX(Survey_Counts!$N$2:$N$743,MATCH(1,INDEX((Survey_Counts!$A$2:$A$743=AO$3)*(Survey_Counts!$B$2:$B$743=$A18),0),0)),"")</f>
        <v>0.56321839080459768</v>
      </c>
      <c r="AP18" s="30">
        <f>IFERROR(INDEX(Survey_Counts!$N$2:$N$743,MATCH(1,INDEX((Survey_Counts!$A$2:$A$743=AP$3)*(Survey_Counts!$B$2:$B$743=$A18),0),0)),"")</f>
        <v>0.56321839080459768</v>
      </c>
      <c r="AQ18" s="30">
        <f>IFERROR(INDEX(Survey_Counts!$N$2:$N$743,MATCH(1,INDEX((Survey_Counts!$A$2:$A$743=AQ$3)*(Survey_Counts!$B$2:$B$743=$A18),0),0)),"")</f>
        <v>0.40086206896551724</v>
      </c>
      <c r="AR18" s="30">
        <f>IFERROR(INDEX(Survey_Counts!$N$2:$N$743,MATCH(1,INDEX((Survey_Counts!$A$2:$A$743=AR$3)*(Survey_Counts!$B$2:$B$743=$A18),0),0)),"")</f>
        <v>0.28979591836734692</v>
      </c>
      <c r="AS18" s="30">
        <f>IFERROR(INDEX(Survey_Counts!$N$2:$N$743,MATCH(1,INDEX((Survey_Counts!$A$2:$A$743=AS$3)*(Survey_Counts!$B$2:$B$743=$A18),0),0)),"")</f>
        <v>0.2764505119453925</v>
      </c>
      <c r="AT18" s="30">
        <f>IFERROR(INDEX(Survey_Counts!$N$2:$N$743,MATCH(1,INDEX((Survey_Counts!$A$2:$A$743=AT$3)*(Survey_Counts!$B$2:$B$743=$A18),0),0)),"")</f>
        <v>0.51973684210526316</v>
      </c>
      <c r="AU18" s="30">
        <f>IFERROR(INDEX(Survey_Counts!$N$2:$N$743,MATCH(1,INDEX((Survey_Counts!$A$2:$A$743=AU$3)*(Survey_Counts!$B$2:$B$743=$A18),0),0)),"")</f>
        <v>0.2340966921119593</v>
      </c>
    </row>
    <row r="19" spans="1:47" ht="15" customHeight="1" x14ac:dyDescent="0.25">
      <c r="A19" s="22">
        <v>15</v>
      </c>
      <c r="B19" s="22" t="s">
        <v>469</v>
      </c>
      <c r="C19" s="22">
        <v>0</v>
      </c>
      <c r="D19" s="30">
        <f>IFERROR(INDEX(Survey_Counts!$N$2:$N$743,MATCH(1,INDEX((Survey_Counts!$A$2:$A$743=D$3)*(Survey_Counts!$B$2:$B$743=$A19),0),0)),"")</f>
        <v>0.20855614973262032</v>
      </c>
      <c r="E19" s="30">
        <f>IFERROR(INDEX(Survey_Counts!$N$2:$N$743,MATCH(1,INDEX((Survey_Counts!$A$2:$A$743=E$3)*(Survey_Counts!$B$2:$B$743=$A19),0),0)),"")</f>
        <v>0.20855614973262032</v>
      </c>
      <c r="F19" s="30">
        <f>IFERROR(INDEX(Survey_Counts!$N$2:$N$743,MATCH(1,INDEX((Survey_Counts!$A$2:$A$743=F$3)*(Survey_Counts!$B$2:$B$743=$A19),0),0)),"")</f>
        <v>0.12987012987012986</v>
      </c>
      <c r="G19" s="30">
        <f>IFERROR(INDEX(Survey_Counts!$N$2:$N$743,MATCH(1,INDEX((Survey_Counts!$A$2:$A$743=G$3)*(Survey_Counts!$B$2:$B$743=$A19),0),0)),"")</f>
        <v>0.12987012987012986</v>
      </c>
      <c r="H19" s="30">
        <f>IFERROR(INDEX(Survey_Counts!$N$2:$N$743,MATCH(1,INDEX((Survey_Counts!$A$2:$A$743=H$3)*(Survey_Counts!$B$2:$B$743=$A19),0),0)),"")</f>
        <v>0.14609053497942387</v>
      </c>
      <c r="I19" s="30">
        <f>IFERROR(INDEX(Survey_Counts!$N$2:$N$743,MATCH(1,INDEX((Survey_Counts!$A$2:$A$743=I$3)*(Survey_Counts!$B$2:$B$743=$A19),0),0)),"")</f>
        <v>0.34860050890585242</v>
      </c>
      <c r="J19" s="30">
        <f>IFERROR(INDEX(Survey_Counts!$N$2:$N$743,MATCH(1,INDEX((Survey_Counts!$A$2:$A$743=J$3)*(Survey_Counts!$B$2:$B$743=$A19),0),0)),"")</f>
        <v>0.48356807511737088</v>
      </c>
      <c r="K19" s="30">
        <f>IFERROR(INDEX(Survey_Counts!$N$2:$N$743,MATCH(1,INDEX((Survey_Counts!$A$2:$A$743=K$3)*(Survey_Counts!$B$2:$B$743=$A19),0),0)),"")</f>
        <v>0.50471698113207553</v>
      </c>
      <c r="L19" s="30">
        <f>IFERROR(INDEX(Survey_Counts!$N$2:$N$743,MATCH(1,INDEX((Survey_Counts!$A$2:$A$743=L$3)*(Survey_Counts!$B$2:$B$743=$A19),0),0)),"")</f>
        <v>0.64547781569965867</v>
      </c>
      <c r="M19" s="30">
        <f>IFERROR(INDEX(Survey_Counts!$N$2:$N$743,MATCH(1,INDEX((Survey_Counts!$A$2:$A$743=M$3)*(Survey_Counts!$B$2:$B$743=$A19),0),0)),"")</f>
        <v>0.64547781569965867</v>
      </c>
      <c r="N19" s="30">
        <f>IFERROR(INDEX(Survey_Counts!$N$2:$N$743,MATCH(1,INDEX((Survey_Counts!$A$2:$A$743=N$3)*(Survey_Counts!$B$2:$B$743=$A19),0),0)),"")</f>
        <v>0.18299246501614638</v>
      </c>
      <c r="O19" s="30">
        <f>IFERROR(INDEX(Survey_Counts!$N$2:$N$743,MATCH(1,INDEX((Survey_Counts!$A$2:$A$743=O$3)*(Survey_Counts!$B$2:$B$743=$A19),0),0)),"")</f>
        <v>0.18299246501614638</v>
      </c>
      <c r="P19" s="30">
        <f>IFERROR(INDEX(Survey_Counts!$N$2:$N$743,MATCH(1,INDEX((Survey_Counts!$A$2:$A$743=P$3)*(Survey_Counts!$B$2:$B$743=$A19),0),0)),"")</f>
        <v>0.21176470588235294</v>
      </c>
      <c r="Q19" s="30">
        <f>IFERROR(INDEX(Survey_Counts!$N$2:$N$743,MATCH(1,INDEX((Survey_Counts!$A$2:$A$743=Q$3)*(Survey_Counts!$B$2:$B$743=$A19),0),0)),"")</f>
        <v>0.18292682926829268</v>
      </c>
      <c r="R19" s="30">
        <f>IFERROR(INDEX(Survey_Counts!$N$2:$N$743,MATCH(1,INDEX((Survey_Counts!$A$2:$A$743=R$3)*(Survey_Counts!$B$2:$B$743=$A19),0),0)),"")</f>
        <v>0.1388888888888889</v>
      </c>
      <c r="S19" s="30">
        <f>IFERROR(INDEX(Survey_Counts!$N$2:$N$743,MATCH(1,INDEX((Survey_Counts!$A$2:$A$743=S$3)*(Survey_Counts!$B$2:$B$743=$A19),0),0)),"")</f>
        <v>0.2857142857142857</v>
      </c>
      <c r="T19" s="30">
        <f>IFERROR(INDEX(Survey_Counts!$N$2:$N$743,MATCH(1,INDEX((Survey_Counts!$A$2:$A$743=T$3)*(Survey_Counts!$B$2:$B$743=$A19),0),0)),"")</f>
        <v>0.19483101391650098</v>
      </c>
      <c r="U19" s="30">
        <f>IFERROR(INDEX(Survey_Counts!$N$2:$N$743,MATCH(1,INDEX((Survey_Counts!$A$2:$A$743=U$3)*(Survey_Counts!$B$2:$B$743=$A19),0),0)),"")</f>
        <v>0.3672055427251732</v>
      </c>
      <c r="V19" s="30">
        <f>IFERROR(INDEX(Survey_Counts!$N$2:$N$743,MATCH(1,INDEX((Survey_Counts!$A$2:$A$743=V$3)*(Survey_Counts!$B$2:$B$743=$A19),0),0)),"")</f>
        <v>0.3108108108108108</v>
      </c>
      <c r="W19" s="30">
        <f>IFERROR(INDEX(Survey_Counts!$N$2:$N$743,MATCH(1,INDEX((Survey_Counts!$A$2:$A$743=W$3)*(Survey_Counts!$B$2:$B$743=$A19),0),0)),"")</f>
        <v>8.4708470847084702E-2</v>
      </c>
      <c r="X19" s="30">
        <f>IFERROR(INDEX(Survey_Counts!$N$2:$N$743,MATCH(1,INDEX((Survey_Counts!$A$2:$A$743=X$3)*(Survey_Counts!$B$2:$B$743=$A19),0),0)),"")</f>
        <v>0.18702290076335878</v>
      </c>
      <c r="Y19" s="30">
        <f>IFERROR(INDEX(Survey_Counts!$N$2:$N$743,MATCH(1,INDEX((Survey_Counts!$A$2:$A$743=Y$3)*(Survey_Counts!$B$2:$B$743=$A19),0),0)),"")</f>
        <v>0.33663366336633666</v>
      </c>
      <c r="Z19" s="30">
        <f>IFERROR(INDEX(Survey_Counts!$N$2:$N$743,MATCH(1,INDEX((Survey_Counts!$A$2:$A$743=Z$3)*(Survey_Counts!$B$2:$B$743=$A19),0),0)),"")</f>
        <v>0.33663366336633666</v>
      </c>
      <c r="AA19" s="30">
        <f>IFERROR(INDEX(Survey_Counts!$N$2:$N$743,MATCH(1,INDEX((Survey_Counts!$A$2:$A$743=AA$3)*(Survey_Counts!$B$2:$B$743=$A19),0),0)),"")</f>
        <v>0.19305019305019305</v>
      </c>
      <c r="AB19" s="30">
        <f>IFERROR(INDEX(Survey_Counts!$N$2:$N$743,MATCH(1,INDEX((Survey_Counts!$A$2:$A$743=AB$3)*(Survey_Counts!$B$2:$B$743=$A19),0),0)),"")</f>
        <v>0.19305019305019305</v>
      </c>
      <c r="AC19" s="30">
        <f>IFERROR(INDEX(Survey_Counts!$N$2:$N$743,MATCH(1,INDEX((Survey_Counts!$A$2:$A$743=AC$3)*(Survey_Counts!$B$2:$B$743=$A19),0),0)),"")</f>
        <v>0.19587628865979381</v>
      </c>
      <c r="AD19" s="30">
        <f>IFERROR(INDEX(Survey_Counts!$N$2:$N$743,MATCH(1,INDEX((Survey_Counts!$A$2:$A$743=AD$3)*(Survey_Counts!$B$2:$B$743=$A19),0),0)),"")</f>
        <v>0.19587628865979381</v>
      </c>
      <c r="AE19" s="30">
        <f>IFERROR(INDEX(Survey_Counts!$N$2:$N$743,MATCH(1,INDEX((Survey_Counts!$A$2:$A$743=AE$3)*(Survey_Counts!$B$2:$B$743=$A19),0),0)),"")</f>
        <v>0.12631578947368421</v>
      </c>
      <c r="AF19" s="30">
        <f>IFERROR(INDEX(Survey_Counts!$N$2:$N$743,MATCH(1,INDEX((Survey_Counts!$A$2:$A$743=AF$3)*(Survey_Counts!$B$2:$B$743=$A19),0),0)),"")</f>
        <v>0.22702702702702704</v>
      </c>
      <c r="AG19" s="30">
        <f>IFERROR(INDEX(Survey_Counts!$N$2:$N$743,MATCH(1,INDEX((Survey_Counts!$A$2:$A$743=AG$3)*(Survey_Counts!$B$2:$B$743=$A19),0),0)),"")</f>
        <v>0.48117154811715479</v>
      </c>
      <c r="AH19" s="30">
        <f>IFERROR(INDEX(Survey_Counts!$N$2:$N$743,MATCH(1,INDEX((Survey_Counts!$A$2:$A$743=AH$3)*(Survey_Counts!$B$2:$B$743=$A19),0),0)),"")</f>
        <v>0.43835616438356162</v>
      </c>
      <c r="AI19" s="30">
        <f>IFERROR(INDEX(Survey_Counts!$N$2:$N$743,MATCH(1,INDEX((Survey_Counts!$A$2:$A$743=AI$3)*(Survey_Counts!$B$2:$B$743=$A19),0),0)),"")</f>
        <v>0.37365213314580403</v>
      </c>
      <c r="AJ19" s="30">
        <f>IFERROR(INDEX(Survey_Counts!$N$2:$N$743,MATCH(1,INDEX((Survey_Counts!$A$2:$A$743=AJ$3)*(Survey_Counts!$B$2:$B$743=$A19),0),0)),"")</f>
        <v>0.44680851063829785</v>
      </c>
      <c r="AK19" s="30">
        <f>IFERROR(INDEX(Survey_Counts!$N$2:$N$743,MATCH(1,INDEX((Survey_Counts!$A$2:$A$743=AK$3)*(Survey_Counts!$B$2:$B$743=$A19),0),0)),"")</f>
        <v>0.24129353233830847</v>
      </c>
      <c r="AL19" s="30">
        <f>IFERROR(INDEX(Survey_Counts!$N$2:$N$743,MATCH(1,INDEX((Survey_Counts!$A$2:$A$743=AL$3)*(Survey_Counts!$B$2:$B$743=$A19),0),0)),"")</f>
        <v>0.54575163398692805</v>
      </c>
      <c r="AM19" s="30">
        <f>IFERROR(INDEX(Survey_Counts!$N$2:$N$743,MATCH(1,INDEX((Survey_Counts!$A$2:$A$743=AM$3)*(Survey_Counts!$B$2:$B$743=$A19),0),0)),"")</f>
        <v>3.3670033670033669E-2</v>
      </c>
      <c r="AN19" s="30">
        <f>IFERROR(INDEX(Survey_Counts!$N$2:$N$743,MATCH(1,INDEX((Survey_Counts!$A$2:$A$743=AN$3)*(Survey_Counts!$B$2:$B$743=$A19),0),0)),"")</f>
        <v>0.18994413407821228</v>
      </c>
      <c r="AO19" s="30">
        <f>IFERROR(INDEX(Survey_Counts!$N$2:$N$743,MATCH(1,INDEX((Survey_Counts!$A$2:$A$743=AO$3)*(Survey_Counts!$B$2:$B$743=$A19),0),0)),"")</f>
        <v>0.47126436781609193</v>
      </c>
      <c r="AP19" s="30">
        <f>IFERROR(INDEX(Survey_Counts!$N$2:$N$743,MATCH(1,INDEX((Survey_Counts!$A$2:$A$743=AP$3)*(Survey_Counts!$B$2:$B$743=$A19),0),0)),"")</f>
        <v>0.47126436781609193</v>
      </c>
      <c r="AQ19" s="30">
        <f>IFERROR(INDEX(Survey_Counts!$N$2:$N$743,MATCH(1,INDEX((Survey_Counts!$A$2:$A$743=AQ$3)*(Survey_Counts!$B$2:$B$743=$A19),0),0)),"")</f>
        <v>0.32327586206896552</v>
      </c>
      <c r="AR19" s="30">
        <f>IFERROR(INDEX(Survey_Counts!$N$2:$N$743,MATCH(1,INDEX((Survey_Counts!$A$2:$A$743=AR$3)*(Survey_Counts!$B$2:$B$743=$A19),0),0)),"")</f>
        <v>0.21632653061224491</v>
      </c>
      <c r="AS19" s="30">
        <f>IFERROR(INDEX(Survey_Counts!$N$2:$N$743,MATCH(1,INDEX((Survey_Counts!$A$2:$A$743=AS$3)*(Survey_Counts!$B$2:$B$743=$A19),0),0)),"")</f>
        <v>0.19112627986348124</v>
      </c>
      <c r="AT19" s="30">
        <f>IFERROR(INDEX(Survey_Counts!$N$2:$N$743,MATCH(1,INDEX((Survey_Counts!$A$2:$A$743=AT$3)*(Survey_Counts!$B$2:$B$743=$A19),0),0)),"")</f>
        <v>0.46710526315789475</v>
      </c>
      <c r="AU19" s="30">
        <f>IFERROR(INDEX(Survey_Counts!$N$2:$N$743,MATCH(1,INDEX((Survey_Counts!$A$2:$A$743=AU$3)*(Survey_Counts!$B$2:$B$743=$A19),0),0)),"")</f>
        <v>0.16284987277353691</v>
      </c>
    </row>
    <row r="20" spans="1:47" ht="15" customHeight="1" x14ac:dyDescent="0.25">
      <c r="A20" s="22">
        <v>16</v>
      </c>
      <c r="B20" s="22" t="s">
        <v>351</v>
      </c>
      <c r="C20" s="22">
        <v>15</v>
      </c>
      <c r="D20" s="30">
        <f>IFERROR(INDEX(Survey_Counts!$N$2:$N$743,MATCH(1,INDEX((Survey_Counts!$A$2:$A$743=D$3)*(Survey_Counts!$B$2:$B$743=$A20),0),0)),"")</f>
        <v>0.16577540106951871</v>
      </c>
      <c r="E20" s="30">
        <f>IFERROR(INDEX(Survey_Counts!$N$2:$N$743,MATCH(1,INDEX((Survey_Counts!$A$2:$A$743=E$3)*(Survey_Counts!$B$2:$B$743=$A20),0),0)),"")</f>
        <v>0.16577540106951871</v>
      </c>
      <c r="F20" s="30">
        <f>IFERROR(INDEX(Survey_Counts!$N$2:$N$743,MATCH(1,INDEX((Survey_Counts!$A$2:$A$743=F$3)*(Survey_Counts!$B$2:$B$743=$A20),0),0)),"")</f>
        <v>7.3593073593073599E-2</v>
      </c>
      <c r="G20" s="30">
        <f>IFERROR(INDEX(Survey_Counts!$N$2:$N$743,MATCH(1,INDEX((Survey_Counts!$A$2:$A$743=G$3)*(Survey_Counts!$B$2:$B$743=$A20),0),0)),"")</f>
        <v>7.3593073593073599E-2</v>
      </c>
      <c r="H20" s="30">
        <f>IFERROR(INDEX(Survey_Counts!$N$2:$N$743,MATCH(1,INDEX((Survey_Counts!$A$2:$A$743=H$3)*(Survey_Counts!$B$2:$B$743=$A20),0),0)),"")</f>
        <v>0.13991769547325103</v>
      </c>
      <c r="I20" s="30">
        <f>IFERROR(INDEX(Survey_Counts!$N$2:$N$743,MATCH(1,INDEX((Survey_Counts!$A$2:$A$743=I$3)*(Survey_Counts!$B$2:$B$743=$A20),0),0)),"")</f>
        <v>0.24427480916030533</v>
      </c>
      <c r="J20" s="30">
        <f>IFERROR(INDEX(Survey_Counts!$N$2:$N$743,MATCH(1,INDEX((Survey_Counts!$A$2:$A$743=J$3)*(Survey_Counts!$B$2:$B$743=$A20),0),0)),"")</f>
        <v>0.43661971830985913</v>
      </c>
      <c r="K20" s="30">
        <f>IFERROR(INDEX(Survey_Counts!$N$2:$N$743,MATCH(1,INDEX((Survey_Counts!$A$2:$A$743=K$3)*(Survey_Counts!$B$2:$B$743=$A20),0),0)),"")</f>
        <v>0.38207547169811323</v>
      </c>
      <c r="L20" s="30">
        <f>IFERROR(INDEX(Survey_Counts!$N$2:$N$743,MATCH(1,INDEX((Survey_Counts!$A$2:$A$743=L$3)*(Survey_Counts!$B$2:$B$743=$A20),0),0)),"")</f>
        <v>0.54052901023890787</v>
      </c>
      <c r="M20" s="30">
        <f>IFERROR(INDEX(Survey_Counts!$N$2:$N$743,MATCH(1,INDEX((Survey_Counts!$A$2:$A$743=M$3)*(Survey_Counts!$B$2:$B$743=$A20),0),0)),"")</f>
        <v>0.54052901023890787</v>
      </c>
      <c r="N20" s="30">
        <f>IFERROR(INDEX(Survey_Counts!$N$2:$N$743,MATCH(1,INDEX((Survey_Counts!$A$2:$A$743=N$3)*(Survey_Counts!$B$2:$B$743=$A20),0),0)),"")</f>
        <v>0.12055974165769645</v>
      </c>
      <c r="O20" s="30">
        <f>IFERROR(INDEX(Survey_Counts!$N$2:$N$743,MATCH(1,INDEX((Survey_Counts!$A$2:$A$743=O$3)*(Survey_Counts!$B$2:$B$743=$A20),0),0)),"")</f>
        <v>0.12055974165769645</v>
      </c>
      <c r="P20" s="30">
        <f>IFERROR(INDEX(Survey_Counts!$N$2:$N$743,MATCH(1,INDEX((Survey_Counts!$A$2:$A$743=P$3)*(Survey_Counts!$B$2:$B$743=$A20),0),0)),"")</f>
        <v>0.21176470588235294</v>
      </c>
      <c r="Q20" s="30">
        <f>IFERROR(INDEX(Survey_Counts!$N$2:$N$743,MATCH(1,INDEX((Survey_Counts!$A$2:$A$743=Q$3)*(Survey_Counts!$B$2:$B$743=$A20),0),0)),"")</f>
        <v>0.18292682926829268</v>
      </c>
      <c r="R20" s="30">
        <f>IFERROR(INDEX(Survey_Counts!$N$2:$N$743,MATCH(1,INDEX((Survey_Counts!$A$2:$A$743=R$3)*(Survey_Counts!$B$2:$B$743=$A20),0),0)),"")</f>
        <v>0.10185185185185185</v>
      </c>
      <c r="S20" s="30">
        <f>IFERROR(INDEX(Survey_Counts!$N$2:$N$743,MATCH(1,INDEX((Survey_Counts!$A$2:$A$743=S$3)*(Survey_Counts!$B$2:$B$743=$A20),0),0)),"")</f>
        <v>0.21071428571428572</v>
      </c>
      <c r="T20" s="30">
        <f>IFERROR(INDEX(Survey_Counts!$N$2:$N$743,MATCH(1,INDEX((Survey_Counts!$A$2:$A$743=T$3)*(Survey_Counts!$B$2:$B$743=$A20),0),0)),"")</f>
        <v>0.1312127236580517</v>
      </c>
      <c r="U20" s="30">
        <f>IFERROR(INDEX(Survey_Counts!$N$2:$N$743,MATCH(1,INDEX((Survey_Counts!$A$2:$A$743=U$3)*(Survey_Counts!$B$2:$B$743=$A20),0),0)),"")</f>
        <v>0.2823325635103926</v>
      </c>
      <c r="V20" s="30">
        <f>IFERROR(INDEX(Survey_Counts!$N$2:$N$743,MATCH(1,INDEX((Survey_Counts!$A$2:$A$743=V$3)*(Survey_Counts!$B$2:$B$743=$A20),0),0)),"")</f>
        <v>0.22972972972972974</v>
      </c>
      <c r="W20" s="30">
        <f>IFERROR(INDEX(Survey_Counts!$N$2:$N$743,MATCH(1,INDEX((Survey_Counts!$A$2:$A$743=W$3)*(Survey_Counts!$B$2:$B$743=$A20),0),0)),"")</f>
        <v>-3.8503850385038507E-2</v>
      </c>
      <c r="X20" s="30">
        <f>IFERROR(INDEX(Survey_Counts!$N$2:$N$743,MATCH(1,INDEX((Survey_Counts!$A$2:$A$743=X$3)*(Survey_Counts!$B$2:$B$743=$A20),0),0)),"")</f>
        <v>7.6335877862595422E-2</v>
      </c>
      <c r="Y20" s="30">
        <f>IFERROR(INDEX(Survey_Counts!$N$2:$N$743,MATCH(1,INDEX((Survey_Counts!$A$2:$A$743=Y$3)*(Survey_Counts!$B$2:$B$743=$A20),0),0)),"")</f>
        <v>0.28005657708628007</v>
      </c>
      <c r="Z20" s="30">
        <f>IFERROR(INDEX(Survey_Counts!$N$2:$N$743,MATCH(1,INDEX((Survey_Counts!$A$2:$A$743=Z$3)*(Survey_Counts!$B$2:$B$743=$A20),0),0)),"")</f>
        <v>0.28005657708628007</v>
      </c>
      <c r="AA20" s="30">
        <f>IFERROR(INDEX(Survey_Counts!$N$2:$N$743,MATCH(1,INDEX((Survey_Counts!$A$2:$A$743=AA$3)*(Survey_Counts!$B$2:$B$743=$A20),0),0)),"")</f>
        <v>0.138996138996139</v>
      </c>
      <c r="AB20" s="30">
        <f>IFERROR(INDEX(Survey_Counts!$N$2:$N$743,MATCH(1,INDEX((Survey_Counts!$A$2:$A$743=AB$3)*(Survey_Counts!$B$2:$B$743=$A20),0),0)),"")</f>
        <v>0.138996138996139</v>
      </c>
      <c r="AC20" s="30">
        <f>IFERROR(INDEX(Survey_Counts!$N$2:$N$743,MATCH(1,INDEX((Survey_Counts!$A$2:$A$743=AC$3)*(Survey_Counts!$B$2:$B$743=$A20),0),0)),"")</f>
        <v>0.16494845360824742</v>
      </c>
      <c r="AD20" s="30">
        <f>IFERROR(INDEX(Survey_Counts!$N$2:$N$743,MATCH(1,INDEX((Survey_Counts!$A$2:$A$743=AD$3)*(Survey_Counts!$B$2:$B$743=$A20),0),0)),"")</f>
        <v>0.16494845360824742</v>
      </c>
      <c r="AE20" s="30">
        <f>IFERROR(INDEX(Survey_Counts!$N$2:$N$743,MATCH(1,INDEX((Survey_Counts!$A$2:$A$743=AE$3)*(Survey_Counts!$B$2:$B$743=$A20),0),0)),"")</f>
        <v>8.9473684210526316E-2</v>
      </c>
      <c r="AF20" s="30">
        <f>IFERROR(INDEX(Survey_Counts!$N$2:$N$743,MATCH(1,INDEX((Survey_Counts!$A$2:$A$743=AF$3)*(Survey_Counts!$B$2:$B$743=$A20),0),0)),"")</f>
        <v>0.14054054054054055</v>
      </c>
      <c r="AG20" s="30">
        <f>IFERROR(INDEX(Survey_Counts!$N$2:$N$743,MATCH(1,INDEX((Survey_Counts!$A$2:$A$743=AG$3)*(Survey_Counts!$B$2:$B$743=$A20),0),0)),"")</f>
        <v>0.32217573221757323</v>
      </c>
      <c r="AH20" s="30">
        <f>IFERROR(INDEX(Survey_Counts!$N$2:$N$743,MATCH(1,INDEX((Survey_Counts!$A$2:$A$743=AH$3)*(Survey_Counts!$B$2:$B$743=$A20),0),0)),"")</f>
        <v>0.33789954337899542</v>
      </c>
      <c r="AI20" s="30">
        <f>IFERROR(INDEX(Survey_Counts!$N$2:$N$743,MATCH(1,INDEX((Survey_Counts!$A$2:$A$743=AI$3)*(Survey_Counts!$B$2:$B$743=$A20),0),0)),"")</f>
        <v>0.29254571026722925</v>
      </c>
      <c r="AJ20" s="30">
        <f>IFERROR(INDEX(Survey_Counts!$N$2:$N$743,MATCH(1,INDEX((Survey_Counts!$A$2:$A$743=AJ$3)*(Survey_Counts!$B$2:$B$743=$A20),0),0)),"")</f>
        <v>0.36170212765957449</v>
      </c>
      <c r="AK20" s="30">
        <f>IFERROR(INDEX(Survey_Counts!$N$2:$N$743,MATCH(1,INDEX((Survey_Counts!$A$2:$A$743=AK$3)*(Survey_Counts!$B$2:$B$743=$A20),0),0)),"")</f>
        <v>0.12686567164179105</v>
      </c>
      <c r="AL20" s="30">
        <f>IFERROR(INDEX(Survey_Counts!$N$2:$N$743,MATCH(1,INDEX((Survey_Counts!$A$2:$A$743=AL$3)*(Survey_Counts!$B$2:$B$743=$A20),0),0)),"")</f>
        <v>0.42483660130718953</v>
      </c>
      <c r="AM20" s="30">
        <f>IFERROR(INDEX(Survey_Counts!$N$2:$N$743,MATCH(1,INDEX((Survey_Counts!$A$2:$A$743=AM$3)*(Survey_Counts!$B$2:$B$743=$A20),0),0)),"")</f>
        <v>-6.0606060606060608E-2</v>
      </c>
      <c r="AN20" s="30">
        <f>IFERROR(INDEX(Survey_Counts!$N$2:$N$743,MATCH(1,INDEX((Survey_Counts!$A$2:$A$743=AN$3)*(Survey_Counts!$B$2:$B$743=$A20),0),0)),"")</f>
        <v>0.10614525139664804</v>
      </c>
      <c r="AO20" s="30">
        <f>IFERROR(INDEX(Survey_Counts!$N$2:$N$743,MATCH(1,INDEX((Survey_Counts!$A$2:$A$743=AO$3)*(Survey_Counts!$B$2:$B$743=$A20),0),0)),"")</f>
        <v>0.39080459770114945</v>
      </c>
      <c r="AP20" s="30">
        <f>IFERROR(INDEX(Survey_Counts!$N$2:$N$743,MATCH(1,INDEX((Survey_Counts!$A$2:$A$743=AP$3)*(Survey_Counts!$B$2:$B$743=$A20),0),0)),"")</f>
        <v>0.39080459770114945</v>
      </c>
      <c r="AQ20" s="30">
        <f>IFERROR(INDEX(Survey_Counts!$N$2:$N$743,MATCH(1,INDEX((Survey_Counts!$A$2:$A$743=AQ$3)*(Survey_Counts!$B$2:$B$743=$A20),0),0)),"")</f>
        <v>0.25431034482758619</v>
      </c>
      <c r="AR20" s="30">
        <f>IFERROR(INDEX(Survey_Counts!$N$2:$N$743,MATCH(1,INDEX((Survey_Counts!$A$2:$A$743=AR$3)*(Survey_Counts!$B$2:$B$743=$A20),0),0)),"")</f>
        <v>0.18367346938775511</v>
      </c>
      <c r="AS20" s="30">
        <f>IFERROR(INDEX(Survey_Counts!$N$2:$N$743,MATCH(1,INDEX((Survey_Counts!$A$2:$A$743=AS$3)*(Survey_Counts!$B$2:$B$743=$A20),0),0)),"")</f>
        <v>0.10238907849829351</v>
      </c>
      <c r="AT20" s="30">
        <f>IFERROR(INDEX(Survey_Counts!$N$2:$N$743,MATCH(1,INDEX((Survey_Counts!$A$2:$A$743=AT$3)*(Survey_Counts!$B$2:$B$743=$A20),0),0)),"")</f>
        <v>0.38157894736842107</v>
      </c>
      <c r="AU20" s="30">
        <f>IFERROR(INDEX(Survey_Counts!$N$2:$N$743,MATCH(1,INDEX((Survey_Counts!$A$2:$A$743=AU$3)*(Survey_Counts!$B$2:$B$743=$A20),0),0)),"")</f>
        <v>0.10941475826972011</v>
      </c>
    </row>
    <row r="21" spans="1:47" ht="15" customHeight="1" x14ac:dyDescent="0.25">
      <c r="A21" s="22">
        <v>17</v>
      </c>
      <c r="B21" s="22" t="s">
        <v>311</v>
      </c>
      <c r="C21" s="22">
        <v>30</v>
      </c>
      <c r="D21" s="30">
        <f>IFERROR(INDEX(Survey_Counts!$N$2:$N$743,MATCH(1,INDEX((Survey_Counts!$A$2:$A$743=D$3)*(Survey_Counts!$B$2:$B$743=$A21),0),0)),"")</f>
        <v>0.10962566844919786</v>
      </c>
      <c r="E21" s="30">
        <f>IFERROR(INDEX(Survey_Counts!$N$2:$N$743,MATCH(1,INDEX((Survey_Counts!$A$2:$A$743=E$3)*(Survey_Counts!$B$2:$B$743=$A21),0),0)),"")</f>
        <v>0.10962566844919786</v>
      </c>
      <c r="F21" s="30">
        <f>IFERROR(INDEX(Survey_Counts!$N$2:$N$743,MATCH(1,INDEX((Survey_Counts!$A$2:$A$743=F$3)*(Survey_Counts!$B$2:$B$743=$A21),0),0)),"")</f>
        <v>6.4935064935064929E-2</v>
      </c>
      <c r="G21" s="30">
        <f>IFERROR(INDEX(Survey_Counts!$N$2:$N$743,MATCH(1,INDEX((Survey_Counts!$A$2:$A$743=G$3)*(Survey_Counts!$B$2:$B$743=$A21),0),0)),"")</f>
        <v>6.4935064935064929E-2</v>
      </c>
      <c r="H21" s="30">
        <f>IFERROR(INDEX(Survey_Counts!$N$2:$N$743,MATCH(1,INDEX((Survey_Counts!$A$2:$A$743=H$3)*(Survey_Counts!$B$2:$B$743=$A21),0),0)),"")</f>
        <v>0.10905349794238683</v>
      </c>
      <c r="I21" s="30">
        <f>IFERROR(INDEX(Survey_Counts!$N$2:$N$743,MATCH(1,INDEX((Survey_Counts!$A$2:$A$743=I$3)*(Survey_Counts!$B$2:$B$743=$A21),0),0)),"")</f>
        <v>0.19083969465648856</v>
      </c>
      <c r="J21" s="30">
        <f>IFERROR(INDEX(Survey_Counts!$N$2:$N$743,MATCH(1,INDEX((Survey_Counts!$A$2:$A$743=J$3)*(Survey_Counts!$B$2:$B$743=$A21),0),0)),"")</f>
        <v>0.32629107981220656</v>
      </c>
      <c r="K21" s="30">
        <f>IFERROR(INDEX(Survey_Counts!$N$2:$N$743,MATCH(1,INDEX((Survey_Counts!$A$2:$A$743=K$3)*(Survey_Counts!$B$2:$B$743=$A21),0),0)),"")</f>
        <v>0.28301886792452829</v>
      </c>
      <c r="L21" s="30">
        <f>IFERROR(INDEX(Survey_Counts!$N$2:$N$743,MATCH(1,INDEX((Survey_Counts!$A$2:$A$743=L$3)*(Survey_Counts!$B$2:$B$743=$A21),0),0)),"")</f>
        <v>0.41382252559726962</v>
      </c>
      <c r="M21" s="30">
        <f>IFERROR(INDEX(Survey_Counts!$N$2:$N$743,MATCH(1,INDEX((Survey_Counts!$A$2:$A$743=M$3)*(Survey_Counts!$B$2:$B$743=$A21),0),0)),"")</f>
        <v>0.41382252559726962</v>
      </c>
      <c r="N21" s="30">
        <f>IFERROR(INDEX(Survey_Counts!$N$2:$N$743,MATCH(1,INDEX((Survey_Counts!$A$2:$A$743=N$3)*(Survey_Counts!$B$2:$B$743=$A21),0),0)),"")</f>
        <v>8.7190527448869751E-2</v>
      </c>
      <c r="O21" s="30">
        <f>IFERROR(INDEX(Survey_Counts!$N$2:$N$743,MATCH(1,INDEX((Survey_Counts!$A$2:$A$743=O$3)*(Survey_Counts!$B$2:$B$743=$A21),0),0)),"")</f>
        <v>8.7190527448869751E-2</v>
      </c>
      <c r="P21" s="30">
        <f>IFERROR(INDEX(Survey_Counts!$N$2:$N$743,MATCH(1,INDEX((Survey_Counts!$A$2:$A$743=P$3)*(Survey_Counts!$B$2:$B$743=$A21),0),0)),"")</f>
        <v>0.16470588235294117</v>
      </c>
      <c r="Q21" s="30">
        <f>IFERROR(INDEX(Survey_Counts!$N$2:$N$743,MATCH(1,INDEX((Survey_Counts!$A$2:$A$743=Q$3)*(Survey_Counts!$B$2:$B$743=$A21),0),0)),"")</f>
        <v>0.13414634146341464</v>
      </c>
      <c r="R21" s="30">
        <f>IFERROR(INDEX(Survey_Counts!$N$2:$N$743,MATCH(1,INDEX((Survey_Counts!$A$2:$A$743=R$3)*(Survey_Counts!$B$2:$B$743=$A21),0),0)),"")</f>
        <v>5.6584362139917695E-2</v>
      </c>
      <c r="S21" s="30">
        <f>IFERROR(INDEX(Survey_Counts!$N$2:$N$743,MATCH(1,INDEX((Survey_Counts!$A$2:$A$743=S$3)*(Survey_Counts!$B$2:$B$743=$A21),0),0)),"")</f>
        <v>0.15</v>
      </c>
      <c r="T21" s="30">
        <f>IFERROR(INDEX(Survey_Counts!$N$2:$N$743,MATCH(1,INDEX((Survey_Counts!$A$2:$A$743=T$3)*(Survey_Counts!$B$2:$B$743=$A21),0),0)),"")</f>
        <v>5.5666003976143144E-2</v>
      </c>
      <c r="U21" s="30">
        <f>IFERROR(INDEX(Survey_Counts!$N$2:$N$743,MATCH(1,INDEX((Survey_Counts!$A$2:$A$743=U$3)*(Survey_Counts!$B$2:$B$743=$A21),0),0)),"")</f>
        <v>0.197459584295612</v>
      </c>
      <c r="V21" s="30">
        <f>IFERROR(INDEX(Survey_Counts!$N$2:$N$743,MATCH(1,INDEX((Survey_Counts!$A$2:$A$743=V$3)*(Survey_Counts!$B$2:$B$743=$A21),0),0)),"")</f>
        <v>9.45945945945946E-2</v>
      </c>
      <c r="W21" s="30">
        <f>IFERROR(INDEX(Survey_Counts!$N$2:$N$743,MATCH(1,INDEX((Survey_Counts!$A$2:$A$743=W$3)*(Survey_Counts!$B$2:$B$743=$A21),0),0)),"")</f>
        <v>-0.16831683168316833</v>
      </c>
      <c r="X21" s="30">
        <f>IFERROR(INDEX(Survey_Counts!$N$2:$N$743,MATCH(1,INDEX((Survey_Counts!$A$2:$A$743=X$3)*(Survey_Counts!$B$2:$B$743=$A21),0),0)),"")</f>
        <v>3.8167938931297708E-3</v>
      </c>
      <c r="Y21" s="30">
        <f>IFERROR(INDEX(Survey_Counts!$N$2:$N$743,MATCH(1,INDEX((Survey_Counts!$A$2:$A$743=Y$3)*(Survey_Counts!$B$2:$B$743=$A21),0),0)),"")</f>
        <v>0.22772277227722773</v>
      </c>
      <c r="Z21" s="30">
        <f>IFERROR(INDEX(Survey_Counts!$N$2:$N$743,MATCH(1,INDEX((Survey_Counts!$A$2:$A$743=Z$3)*(Survey_Counts!$B$2:$B$743=$A21),0),0)),"")</f>
        <v>0.22772277227722773</v>
      </c>
      <c r="AA21" s="30">
        <f>IFERROR(INDEX(Survey_Counts!$N$2:$N$743,MATCH(1,INDEX((Survey_Counts!$A$2:$A$743=AA$3)*(Survey_Counts!$B$2:$B$743=$A21),0),0)),"")</f>
        <v>9.2664092664092659E-2</v>
      </c>
      <c r="AB21" s="30">
        <f>IFERROR(INDEX(Survey_Counts!$N$2:$N$743,MATCH(1,INDEX((Survey_Counts!$A$2:$A$743=AB$3)*(Survey_Counts!$B$2:$B$743=$A21),0),0)),"")</f>
        <v>9.2664092664092659E-2</v>
      </c>
      <c r="AC21" s="30" t="str">
        <f>IFERROR(INDEX(Survey_Counts!$N$2:$N$743,MATCH(1,INDEX((Survey_Counts!$A$2:$A$743=AC$3)*(Survey_Counts!$B$2:$B$743=$A21),0),0)),"")</f>
        <v/>
      </c>
      <c r="AD21" s="30" t="str">
        <f>IFERROR(INDEX(Survey_Counts!$N$2:$N$743,MATCH(1,INDEX((Survey_Counts!$A$2:$A$743=AD$3)*(Survey_Counts!$B$2:$B$743=$A21),0),0)),"")</f>
        <v/>
      </c>
      <c r="AE21" s="30">
        <f>IFERROR(INDEX(Survey_Counts!$N$2:$N$743,MATCH(1,INDEX((Survey_Counts!$A$2:$A$743=AE$3)*(Survey_Counts!$B$2:$B$743=$A21),0),0)),"")</f>
        <v>6.8421052631578952E-2</v>
      </c>
      <c r="AF21" s="30">
        <f>IFERROR(INDEX(Survey_Counts!$N$2:$N$743,MATCH(1,INDEX((Survey_Counts!$A$2:$A$743=AF$3)*(Survey_Counts!$B$2:$B$743=$A21),0),0)),"")</f>
        <v>9.1891891891891897E-2</v>
      </c>
      <c r="AG21" s="30">
        <f>IFERROR(INDEX(Survey_Counts!$N$2:$N$743,MATCH(1,INDEX((Survey_Counts!$A$2:$A$743=AG$3)*(Survey_Counts!$B$2:$B$743=$A21),0),0)),"")</f>
        <v>0.2594142259414226</v>
      </c>
      <c r="AH21" s="30">
        <f>IFERROR(INDEX(Survey_Counts!$N$2:$N$743,MATCH(1,INDEX((Survey_Counts!$A$2:$A$743=AH$3)*(Survey_Counts!$B$2:$B$743=$A21),0),0)),"")</f>
        <v>0.21004566210045661</v>
      </c>
      <c r="AI21" s="30">
        <f>IFERROR(INDEX(Survey_Counts!$N$2:$N$743,MATCH(1,INDEX((Survey_Counts!$A$2:$A$743=AI$3)*(Survey_Counts!$B$2:$B$743=$A21),0),0)),"")</f>
        <v>0.2109704641350211</v>
      </c>
      <c r="AJ21" s="30">
        <f>IFERROR(INDEX(Survey_Counts!$N$2:$N$743,MATCH(1,INDEX((Survey_Counts!$A$2:$A$743=AJ$3)*(Survey_Counts!$B$2:$B$743=$A21),0),0)),"")</f>
        <v>0.2978723404255319</v>
      </c>
      <c r="AK21" s="30">
        <f>IFERROR(INDEX(Survey_Counts!$N$2:$N$743,MATCH(1,INDEX((Survey_Counts!$A$2:$A$743=AK$3)*(Survey_Counts!$B$2:$B$743=$A21),0),0)),"")</f>
        <v>-3.7313432835820892E-2</v>
      </c>
      <c r="AL21" s="30">
        <f>IFERROR(INDEX(Survey_Counts!$N$2:$N$743,MATCH(1,INDEX((Survey_Counts!$A$2:$A$743=AL$3)*(Survey_Counts!$B$2:$B$743=$A21),0),0)),"")</f>
        <v>0.27450980392156865</v>
      </c>
      <c r="AM21" s="30">
        <f>IFERROR(INDEX(Survey_Counts!$N$2:$N$743,MATCH(1,INDEX((Survey_Counts!$A$2:$A$743=AM$3)*(Survey_Counts!$B$2:$B$743=$A21),0),0)),"")</f>
        <v>-0.11616161616161616</v>
      </c>
      <c r="AN21" s="30">
        <f>IFERROR(INDEX(Survey_Counts!$N$2:$N$743,MATCH(1,INDEX((Survey_Counts!$A$2:$A$743=AN$3)*(Survey_Counts!$B$2:$B$743=$A21),0),0)),"")</f>
        <v>3.3519553072625698E-2</v>
      </c>
      <c r="AO21" s="30">
        <f>IFERROR(INDEX(Survey_Counts!$N$2:$N$743,MATCH(1,INDEX((Survey_Counts!$A$2:$A$743=AO$3)*(Survey_Counts!$B$2:$B$743=$A21),0),0)),"")</f>
        <v>0.31494252873563217</v>
      </c>
      <c r="AP21" s="30">
        <f>IFERROR(INDEX(Survey_Counts!$N$2:$N$743,MATCH(1,INDEX((Survey_Counts!$A$2:$A$743=AP$3)*(Survey_Counts!$B$2:$B$743=$A21),0),0)),"")</f>
        <v>0.31494252873563217</v>
      </c>
      <c r="AQ21" s="30">
        <f>IFERROR(INDEX(Survey_Counts!$N$2:$N$743,MATCH(1,INDEX((Survey_Counts!$A$2:$A$743=AQ$3)*(Survey_Counts!$B$2:$B$743=$A21),0),0)),"")</f>
        <v>0.21551724137931033</v>
      </c>
      <c r="AR21" s="30">
        <f>IFERROR(INDEX(Survey_Counts!$N$2:$N$743,MATCH(1,INDEX((Survey_Counts!$A$2:$A$743=AR$3)*(Survey_Counts!$B$2:$B$743=$A21),0),0)),"")</f>
        <v>0.12653061224489795</v>
      </c>
      <c r="AS21" s="30">
        <f>IFERROR(INDEX(Survey_Counts!$N$2:$N$743,MATCH(1,INDEX((Survey_Counts!$A$2:$A$743=AS$3)*(Survey_Counts!$B$2:$B$743=$A21),0),0)),"")</f>
        <v>6.8259385665529013E-2</v>
      </c>
      <c r="AT21" s="30">
        <f>IFERROR(INDEX(Survey_Counts!$N$2:$N$743,MATCH(1,INDEX((Survey_Counts!$A$2:$A$743=AT$3)*(Survey_Counts!$B$2:$B$743=$A21),0),0)),"")</f>
        <v>0.32236842105263158</v>
      </c>
      <c r="AU21" s="30">
        <f>IFERROR(INDEX(Survey_Counts!$N$2:$N$743,MATCH(1,INDEX((Survey_Counts!$A$2:$A$743=AU$3)*(Survey_Counts!$B$2:$B$743=$A21),0),0)),"")</f>
        <v>7.8880407124681931E-2</v>
      </c>
    </row>
    <row r="22" spans="1:47" ht="15" customHeight="1" x14ac:dyDescent="0.25">
      <c r="A22" s="22">
        <v>18</v>
      </c>
      <c r="B22" s="22" t="s">
        <v>211</v>
      </c>
      <c r="C22" s="22">
        <v>45</v>
      </c>
      <c r="D22" s="30">
        <f>IFERROR(INDEX(Survey_Counts!$N$2:$N$743,MATCH(1,INDEX((Survey_Counts!$A$2:$A$743=D$3)*(Survey_Counts!$B$2:$B$743=$A22),0),0)),"")</f>
        <v>5.3475935828877004E-2</v>
      </c>
      <c r="E22" s="30">
        <f>IFERROR(INDEX(Survey_Counts!$N$2:$N$743,MATCH(1,INDEX((Survey_Counts!$A$2:$A$743=E$3)*(Survey_Counts!$B$2:$B$743=$A22),0),0)),"")</f>
        <v>5.3475935828877004E-2</v>
      </c>
      <c r="F22" s="30">
        <f>IFERROR(INDEX(Survey_Counts!$N$2:$N$743,MATCH(1,INDEX((Survey_Counts!$A$2:$A$743=F$3)*(Survey_Counts!$B$2:$B$743=$A22),0),0)),"")</f>
        <v>3.4632034632034632E-2</v>
      </c>
      <c r="G22" s="30">
        <f>IFERROR(INDEX(Survey_Counts!$N$2:$N$743,MATCH(1,INDEX((Survey_Counts!$A$2:$A$743=G$3)*(Survey_Counts!$B$2:$B$743=$A22),0),0)),"")</f>
        <v>3.4632034632034632E-2</v>
      </c>
      <c r="H22" s="30">
        <f>IFERROR(INDEX(Survey_Counts!$N$2:$N$743,MATCH(1,INDEX((Survey_Counts!$A$2:$A$743=H$3)*(Survey_Counts!$B$2:$B$743=$A22),0),0)),"")</f>
        <v>8.0246913580246909E-2</v>
      </c>
      <c r="I22" s="30">
        <f>IFERROR(INDEX(Survey_Counts!$N$2:$N$743,MATCH(1,INDEX((Survey_Counts!$A$2:$A$743=I$3)*(Survey_Counts!$B$2:$B$743=$A22),0),0)),"")</f>
        <v>0.14503816793893129</v>
      </c>
      <c r="J22" s="30">
        <f>IFERROR(INDEX(Survey_Counts!$N$2:$N$743,MATCH(1,INDEX((Survey_Counts!$A$2:$A$743=J$3)*(Survey_Counts!$B$2:$B$743=$A22),0),0)),"")</f>
        <v>0.29342723004694837</v>
      </c>
      <c r="K22" s="30">
        <f>IFERROR(INDEX(Survey_Counts!$N$2:$N$743,MATCH(1,INDEX((Survey_Counts!$A$2:$A$743=K$3)*(Survey_Counts!$B$2:$B$743=$A22),0),0)),"")</f>
        <v>0.19339622641509435</v>
      </c>
      <c r="L22" s="30">
        <f>IFERROR(INDEX(Survey_Counts!$N$2:$N$743,MATCH(1,INDEX((Survey_Counts!$A$2:$A$743=L$3)*(Survey_Counts!$B$2:$B$743=$A22),0),0)),"")</f>
        <v>0.27559726962457337</v>
      </c>
      <c r="M22" s="30">
        <f>IFERROR(INDEX(Survey_Counts!$N$2:$N$743,MATCH(1,INDEX((Survey_Counts!$A$2:$A$743=M$3)*(Survey_Counts!$B$2:$B$743=$A22),0),0)),"")</f>
        <v>0.27559726962457337</v>
      </c>
      <c r="N22" s="30">
        <f>IFERROR(INDEX(Survey_Counts!$N$2:$N$743,MATCH(1,INDEX((Survey_Counts!$A$2:$A$743=N$3)*(Survey_Counts!$B$2:$B$743=$A22),0),0)),"")</f>
        <v>6.8891280947255107E-2</v>
      </c>
      <c r="O22" s="30">
        <f>IFERROR(INDEX(Survey_Counts!$N$2:$N$743,MATCH(1,INDEX((Survey_Counts!$A$2:$A$743=O$3)*(Survey_Counts!$B$2:$B$743=$A22),0),0)),"")</f>
        <v>6.8891280947255107E-2</v>
      </c>
      <c r="P22" s="30">
        <f>IFERROR(INDEX(Survey_Counts!$N$2:$N$743,MATCH(1,INDEX((Survey_Counts!$A$2:$A$743=P$3)*(Survey_Counts!$B$2:$B$743=$A22),0),0)),"")</f>
        <v>0.17647058823529413</v>
      </c>
      <c r="Q22" s="30">
        <f>IFERROR(INDEX(Survey_Counts!$N$2:$N$743,MATCH(1,INDEX((Survey_Counts!$A$2:$A$743=Q$3)*(Survey_Counts!$B$2:$B$743=$A22),0),0)),"")</f>
        <v>0.14634146341463414</v>
      </c>
      <c r="R22" s="30">
        <f>IFERROR(INDEX(Survey_Counts!$N$2:$N$743,MATCH(1,INDEX((Survey_Counts!$A$2:$A$743=R$3)*(Survey_Counts!$B$2:$B$743=$A22),0),0)),"")</f>
        <v>3.3950617283950615E-2</v>
      </c>
      <c r="S22" s="30">
        <f>IFERROR(INDEX(Survey_Counts!$N$2:$N$743,MATCH(1,INDEX((Survey_Counts!$A$2:$A$743=S$3)*(Survey_Counts!$B$2:$B$743=$A22),0),0)),"")</f>
        <v>6.7857142857142852E-2</v>
      </c>
      <c r="T22" s="30">
        <f>IFERROR(INDEX(Survey_Counts!$N$2:$N$743,MATCH(1,INDEX((Survey_Counts!$A$2:$A$743=T$3)*(Survey_Counts!$B$2:$B$743=$A22),0),0)),"")</f>
        <v>2.186878727634195E-2</v>
      </c>
      <c r="U22" s="30">
        <f>IFERROR(INDEX(Survey_Counts!$N$2:$N$743,MATCH(1,INDEX((Survey_Counts!$A$2:$A$743=U$3)*(Survey_Counts!$B$2:$B$743=$A22),0),0)),"")</f>
        <v>0.18187066974595842</v>
      </c>
      <c r="V22" s="30" t="str">
        <f>IFERROR(INDEX(Survey_Counts!$N$2:$N$743,MATCH(1,INDEX((Survey_Counts!$A$2:$A$743=V$3)*(Survey_Counts!$B$2:$B$743=$A22),0),0)),"")</f>
        <v/>
      </c>
      <c r="W22" s="30">
        <f>IFERROR(INDEX(Survey_Counts!$N$2:$N$743,MATCH(1,INDEX((Survey_Counts!$A$2:$A$743=W$3)*(Survey_Counts!$B$2:$B$743=$A22),0),0)),"")</f>
        <v>-0.19801980198019803</v>
      </c>
      <c r="X22" s="30">
        <f>IFERROR(INDEX(Survey_Counts!$N$2:$N$743,MATCH(1,INDEX((Survey_Counts!$A$2:$A$743=X$3)*(Survey_Counts!$B$2:$B$743=$A22),0),0)),"")</f>
        <v>3.8167938931297708E-3</v>
      </c>
      <c r="Y22" s="30">
        <f>IFERROR(INDEX(Survey_Counts!$N$2:$N$743,MATCH(1,INDEX((Survey_Counts!$A$2:$A$743=Y$3)*(Survey_Counts!$B$2:$B$743=$A22),0),0)),"")</f>
        <v>0.2050919377652051</v>
      </c>
      <c r="Z22" s="30">
        <f>IFERROR(INDEX(Survey_Counts!$N$2:$N$743,MATCH(1,INDEX((Survey_Counts!$A$2:$A$743=Z$3)*(Survey_Counts!$B$2:$B$743=$A22),0),0)),"")</f>
        <v>0.2050919377652051</v>
      </c>
      <c r="AA22" s="30">
        <f>IFERROR(INDEX(Survey_Counts!$N$2:$N$743,MATCH(1,INDEX((Survey_Counts!$A$2:$A$743=AA$3)*(Survey_Counts!$B$2:$B$743=$A22),0),0)),"")</f>
        <v>3.0888030888030889E-2</v>
      </c>
      <c r="AB22" s="30">
        <f>IFERROR(INDEX(Survey_Counts!$N$2:$N$743,MATCH(1,INDEX((Survey_Counts!$A$2:$A$743=AB$3)*(Survey_Counts!$B$2:$B$743=$A22),0),0)),"")</f>
        <v>3.0888030888030889E-2</v>
      </c>
      <c r="AC22" s="30" t="str">
        <f>IFERROR(INDEX(Survey_Counts!$N$2:$N$743,MATCH(1,INDEX((Survey_Counts!$A$2:$A$743=AC$3)*(Survey_Counts!$B$2:$B$743=$A22),0),0)),"")</f>
        <v/>
      </c>
      <c r="AD22" s="30" t="str">
        <f>IFERROR(INDEX(Survey_Counts!$N$2:$N$743,MATCH(1,INDEX((Survey_Counts!$A$2:$A$743=AD$3)*(Survey_Counts!$B$2:$B$743=$A22),0),0)),"")</f>
        <v/>
      </c>
      <c r="AE22" s="30" t="str">
        <f>IFERROR(INDEX(Survey_Counts!$N$2:$N$743,MATCH(1,INDEX((Survey_Counts!$A$2:$A$743=AE$3)*(Survey_Counts!$B$2:$B$743=$A22),0),0)),"")</f>
        <v/>
      </c>
      <c r="AF22" s="30">
        <f>IFERROR(INDEX(Survey_Counts!$N$2:$N$743,MATCH(1,INDEX((Survey_Counts!$A$2:$A$743=AF$3)*(Survey_Counts!$B$2:$B$743=$A22),0),0)),"")</f>
        <v>6.4864864864864868E-2</v>
      </c>
      <c r="AG22" s="30">
        <f>IFERROR(INDEX(Survey_Counts!$N$2:$N$743,MATCH(1,INDEX((Survey_Counts!$A$2:$A$743=AG$3)*(Survey_Counts!$B$2:$B$743=$A22),0),0)),"")</f>
        <v>0.17154811715481172</v>
      </c>
      <c r="AH22" s="30">
        <f>IFERROR(INDEX(Survey_Counts!$N$2:$N$743,MATCH(1,INDEX((Survey_Counts!$A$2:$A$743=AH$3)*(Survey_Counts!$B$2:$B$743=$A22),0),0)),"")</f>
        <v>0.14155251141552511</v>
      </c>
      <c r="AI22" s="30">
        <f>IFERROR(INDEX(Survey_Counts!$N$2:$N$743,MATCH(1,INDEX((Survey_Counts!$A$2:$A$743=AI$3)*(Survey_Counts!$B$2:$B$743=$A22),0),0)),"")</f>
        <v>0.15049226441631505</v>
      </c>
      <c r="AJ22" s="30">
        <f>IFERROR(INDEX(Survey_Counts!$N$2:$N$743,MATCH(1,INDEX((Survey_Counts!$A$2:$A$743=AJ$3)*(Survey_Counts!$B$2:$B$743=$A22),0),0)),"")</f>
        <v>0.23404255319148937</v>
      </c>
      <c r="AK22" s="30">
        <f>IFERROR(INDEX(Survey_Counts!$N$2:$N$743,MATCH(1,INDEX((Survey_Counts!$A$2:$A$743=AK$3)*(Survey_Counts!$B$2:$B$743=$A22),0),0)),"")</f>
        <v>-0.12189054726368159</v>
      </c>
      <c r="AL22" s="30">
        <f>IFERROR(INDEX(Survey_Counts!$N$2:$N$743,MATCH(1,INDEX((Survey_Counts!$A$2:$A$743=AL$3)*(Survey_Counts!$B$2:$B$743=$A22),0),0)),"")</f>
        <v>0.1437908496732026</v>
      </c>
      <c r="AM22" s="30">
        <f>IFERROR(INDEX(Survey_Counts!$N$2:$N$743,MATCH(1,INDEX((Survey_Counts!$A$2:$A$743=AM$3)*(Survey_Counts!$B$2:$B$743=$A22),0),0)),"")</f>
        <v>-0.17676767676767677</v>
      </c>
      <c r="AN22" s="30">
        <f>IFERROR(INDEX(Survey_Counts!$N$2:$N$743,MATCH(1,INDEX((Survey_Counts!$A$2:$A$743=AN$3)*(Survey_Counts!$B$2:$B$743=$A22),0),0)),"")</f>
        <v>-1.11731843575419E-2</v>
      </c>
      <c r="AO22" s="30">
        <f>IFERROR(INDEX(Survey_Counts!$N$2:$N$743,MATCH(1,INDEX((Survey_Counts!$A$2:$A$743=AO$3)*(Survey_Counts!$B$2:$B$743=$A22),0),0)),"")</f>
        <v>0.24367816091954023</v>
      </c>
      <c r="AP22" s="30">
        <f>IFERROR(INDEX(Survey_Counts!$N$2:$N$743,MATCH(1,INDEX((Survey_Counts!$A$2:$A$743=AP$3)*(Survey_Counts!$B$2:$B$743=$A22),0),0)),"")</f>
        <v>0.24367816091954023</v>
      </c>
      <c r="AQ22" s="30">
        <f>IFERROR(INDEX(Survey_Counts!$N$2:$N$743,MATCH(1,INDEX((Survey_Counts!$A$2:$A$743=AQ$3)*(Survey_Counts!$B$2:$B$743=$A22),0),0)),"")</f>
        <v>0.17672413793103448</v>
      </c>
      <c r="AR22" s="30">
        <f>IFERROR(INDEX(Survey_Counts!$N$2:$N$743,MATCH(1,INDEX((Survey_Counts!$A$2:$A$743=AR$3)*(Survey_Counts!$B$2:$B$743=$A22),0),0)),"")</f>
        <v>0.10612244897959183</v>
      </c>
      <c r="AS22" s="30">
        <f>IFERROR(INDEX(Survey_Counts!$N$2:$N$743,MATCH(1,INDEX((Survey_Counts!$A$2:$A$743=AS$3)*(Survey_Counts!$B$2:$B$743=$A22),0),0)),"")</f>
        <v>4.778156996587031E-2</v>
      </c>
      <c r="AT22" s="30">
        <f>IFERROR(INDEX(Survey_Counts!$N$2:$N$743,MATCH(1,INDEX((Survey_Counts!$A$2:$A$743=AT$3)*(Survey_Counts!$B$2:$B$743=$A22),0),0)),"")</f>
        <v>0.26315789473684209</v>
      </c>
      <c r="AU22" s="30">
        <f>IFERROR(INDEX(Survey_Counts!$N$2:$N$743,MATCH(1,INDEX((Survey_Counts!$A$2:$A$743=AU$3)*(Survey_Counts!$B$2:$B$743=$A22),0),0)),"")</f>
        <v>3.8167938931297711E-2</v>
      </c>
    </row>
    <row r="23" spans="1:47" ht="15" customHeight="1" x14ac:dyDescent="0.25">
      <c r="A23" s="22">
        <v>19</v>
      </c>
      <c r="B23" s="22" t="s">
        <v>190</v>
      </c>
      <c r="C23" s="22">
        <v>60</v>
      </c>
      <c r="D23" s="30">
        <f>IFERROR(INDEX(Survey_Counts!$N$2:$N$743,MATCH(1,INDEX((Survey_Counts!$A$2:$A$743=D$3)*(Survey_Counts!$B$2:$B$743=$A23),0),0)),"")</f>
        <v>1.6042780748663103E-2</v>
      </c>
      <c r="E23" s="30">
        <f>IFERROR(INDEX(Survey_Counts!$N$2:$N$743,MATCH(1,INDEX((Survey_Counts!$A$2:$A$743=E$3)*(Survey_Counts!$B$2:$B$743=$A23),0),0)),"")</f>
        <v>1.6042780748663103E-2</v>
      </c>
      <c r="F23" s="30" t="str">
        <f>IFERROR(INDEX(Survey_Counts!$N$2:$N$743,MATCH(1,INDEX((Survey_Counts!$A$2:$A$743=F$3)*(Survey_Counts!$B$2:$B$743=$A23),0),0)),"")</f>
        <v/>
      </c>
      <c r="G23" s="30" t="str">
        <f>IFERROR(INDEX(Survey_Counts!$N$2:$N$743,MATCH(1,INDEX((Survey_Counts!$A$2:$A$743=G$3)*(Survey_Counts!$B$2:$B$743=$A23),0),0)),"")</f>
        <v/>
      </c>
      <c r="H23" s="30" t="str">
        <f>IFERROR(INDEX(Survey_Counts!$N$2:$N$743,MATCH(1,INDEX((Survey_Counts!$A$2:$A$743=H$3)*(Survey_Counts!$B$2:$B$743=$A23),0),0)),"")</f>
        <v/>
      </c>
      <c r="I23" s="30" t="str">
        <f>IFERROR(INDEX(Survey_Counts!$N$2:$N$743,MATCH(1,INDEX((Survey_Counts!$A$2:$A$743=I$3)*(Survey_Counts!$B$2:$B$743=$A23),0),0)),"")</f>
        <v/>
      </c>
      <c r="J23" s="30" t="str">
        <f>IFERROR(INDEX(Survey_Counts!$N$2:$N$743,MATCH(1,INDEX((Survey_Counts!$A$2:$A$743=J$3)*(Survey_Counts!$B$2:$B$743=$A23),0),0)),"")</f>
        <v/>
      </c>
      <c r="K23" s="30" t="str">
        <f>IFERROR(INDEX(Survey_Counts!$N$2:$N$743,MATCH(1,INDEX((Survey_Counts!$A$2:$A$743=K$3)*(Survey_Counts!$B$2:$B$743=$A23),0),0)),"")</f>
        <v/>
      </c>
      <c r="L23" s="30">
        <f>IFERROR(INDEX(Survey_Counts!$N$2:$N$743,MATCH(1,INDEX((Survey_Counts!$A$2:$A$743=L$3)*(Survey_Counts!$B$2:$B$743=$A23),0),0)),"")</f>
        <v>0.14505119453924914</v>
      </c>
      <c r="M23" s="30">
        <f>IFERROR(INDEX(Survey_Counts!$N$2:$N$743,MATCH(1,INDEX((Survey_Counts!$A$2:$A$743=M$3)*(Survey_Counts!$B$2:$B$743=$A23),0),0)),"")</f>
        <v>0.14505119453924914</v>
      </c>
      <c r="N23" s="30" t="str">
        <f>IFERROR(INDEX(Survey_Counts!$N$2:$N$743,MATCH(1,INDEX((Survey_Counts!$A$2:$A$743=N$3)*(Survey_Counts!$B$2:$B$743=$A23),0),0)),"")</f>
        <v/>
      </c>
      <c r="O23" s="30" t="str">
        <f>IFERROR(INDEX(Survey_Counts!$N$2:$N$743,MATCH(1,INDEX((Survey_Counts!$A$2:$A$743=O$3)*(Survey_Counts!$B$2:$B$743=$A23),0),0)),"")</f>
        <v/>
      </c>
      <c r="P23" s="30">
        <f>IFERROR(INDEX(Survey_Counts!$N$2:$N$743,MATCH(1,INDEX((Survey_Counts!$A$2:$A$743=P$3)*(Survey_Counts!$B$2:$B$743=$A23),0),0)),"")</f>
        <v>0.16470588235294117</v>
      </c>
      <c r="Q23" s="30">
        <f>IFERROR(INDEX(Survey_Counts!$N$2:$N$743,MATCH(1,INDEX((Survey_Counts!$A$2:$A$743=Q$3)*(Survey_Counts!$B$2:$B$743=$A23),0),0)),"")</f>
        <v>0.13414634146341464</v>
      </c>
      <c r="R23" s="30">
        <f>IFERROR(INDEX(Survey_Counts!$N$2:$N$743,MATCH(1,INDEX((Survey_Counts!$A$2:$A$743=R$3)*(Survey_Counts!$B$2:$B$743=$A23),0),0)),"")</f>
        <v>1.646090534979424E-2</v>
      </c>
      <c r="S23" s="30" t="str">
        <f>IFERROR(INDEX(Survey_Counts!$N$2:$N$743,MATCH(1,INDEX((Survey_Counts!$A$2:$A$743=S$3)*(Survey_Counts!$B$2:$B$743=$A23),0),0)),"")</f>
        <v/>
      </c>
      <c r="T23" s="30" t="str">
        <f>IFERROR(INDEX(Survey_Counts!$N$2:$N$743,MATCH(1,INDEX((Survey_Counts!$A$2:$A$743=T$3)*(Survey_Counts!$B$2:$B$743=$A23),0),0)),"")</f>
        <v/>
      </c>
      <c r="U23" s="30">
        <f>IFERROR(INDEX(Survey_Counts!$N$2:$N$743,MATCH(1,INDEX((Survey_Counts!$A$2:$A$743=U$3)*(Survey_Counts!$B$2:$B$743=$A23),0),0)),"")</f>
        <v>0.18187066974595842</v>
      </c>
      <c r="V23" s="30" t="str">
        <f>IFERROR(INDEX(Survey_Counts!$N$2:$N$743,MATCH(1,INDEX((Survey_Counts!$A$2:$A$743=V$3)*(Survey_Counts!$B$2:$B$743=$A23),0),0)),"")</f>
        <v/>
      </c>
      <c r="W23" s="30" t="str">
        <f>IFERROR(INDEX(Survey_Counts!$N$2:$N$743,MATCH(1,INDEX((Survey_Counts!$A$2:$A$743=W$3)*(Survey_Counts!$B$2:$B$743=$A23),0),0)),"")</f>
        <v/>
      </c>
      <c r="X23" s="30" t="str">
        <f>IFERROR(INDEX(Survey_Counts!$N$2:$N$743,MATCH(1,INDEX((Survey_Counts!$A$2:$A$743=X$3)*(Survey_Counts!$B$2:$B$743=$A23),0),0)),"")</f>
        <v/>
      </c>
      <c r="Y23" s="30" t="str">
        <f>IFERROR(INDEX(Survey_Counts!$N$2:$N$743,MATCH(1,INDEX((Survey_Counts!$A$2:$A$743=Y$3)*(Survey_Counts!$B$2:$B$743=$A23),0),0)),"")</f>
        <v/>
      </c>
      <c r="Z23" s="30" t="str">
        <f>IFERROR(INDEX(Survey_Counts!$N$2:$N$743,MATCH(1,INDEX((Survey_Counts!$A$2:$A$743=Z$3)*(Survey_Counts!$B$2:$B$743=$A23),0),0)),"")</f>
        <v/>
      </c>
      <c r="AA23" s="30" t="str">
        <f>IFERROR(INDEX(Survey_Counts!$N$2:$N$743,MATCH(1,INDEX((Survey_Counts!$A$2:$A$743=AA$3)*(Survey_Counts!$B$2:$B$743=$A23),0),0)),"")</f>
        <v/>
      </c>
      <c r="AB23" s="30" t="str">
        <f>IFERROR(INDEX(Survey_Counts!$N$2:$N$743,MATCH(1,INDEX((Survey_Counts!$A$2:$A$743=AB$3)*(Survey_Counts!$B$2:$B$743=$A23),0),0)),"")</f>
        <v/>
      </c>
      <c r="AC23" s="30" t="str">
        <f>IFERROR(INDEX(Survey_Counts!$N$2:$N$743,MATCH(1,INDEX((Survey_Counts!$A$2:$A$743=AC$3)*(Survey_Counts!$B$2:$B$743=$A23),0),0)),"")</f>
        <v/>
      </c>
      <c r="AD23" s="30" t="str">
        <f>IFERROR(INDEX(Survey_Counts!$N$2:$N$743,MATCH(1,INDEX((Survey_Counts!$A$2:$A$743=AD$3)*(Survey_Counts!$B$2:$B$743=$A23),0),0)),"")</f>
        <v/>
      </c>
      <c r="AE23" s="30" t="str">
        <f>IFERROR(INDEX(Survey_Counts!$N$2:$N$743,MATCH(1,INDEX((Survey_Counts!$A$2:$A$743=AE$3)*(Survey_Counts!$B$2:$B$743=$A23),0),0)),"")</f>
        <v/>
      </c>
      <c r="AF23" s="30" t="str">
        <f>IFERROR(INDEX(Survey_Counts!$N$2:$N$743,MATCH(1,INDEX((Survey_Counts!$A$2:$A$743=AF$3)*(Survey_Counts!$B$2:$B$743=$A23),0),0)),"")</f>
        <v/>
      </c>
      <c r="AG23" s="30" t="str">
        <f>IFERROR(INDEX(Survey_Counts!$N$2:$N$743,MATCH(1,INDEX((Survey_Counts!$A$2:$A$743=AG$3)*(Survey_Counts!$B$2:$B$743=$A23),0),0)),"")</f>
        <v/>
      </c>
      <c r="AH23" s="30" t="str">
        <f>IFERROR(INDEX(Survey_Counts!$N$2:$N$743,MATCH(1,INDEX((Survey_Counts!$A$2:$A$743=AH$3)*(Survey_Counts!$B$2:$B$743=$A23),0),0)),"")</f>
        <v/>
      </c>
      <c r="AI23" s="30">
        <f>IFERROR(INDEX(Survey_Counts!$N$2:$N$743,MATCH(1,INDEX((Survey_Counts!$A$2:$A$743=AI$3)*(Survey_Counts!$B$2:$B$743=$A23),0),0)),"")</f>
        <v>0.13548992030004689</v>
      </c>
      <c r="AJ23" s="30">
        <f>IFERROR(INDEX(Survey_Counts!$N$2:$N$743,MATCH(1,INDEX((Survey_Counts!$A$2:$A$743=AJ$3)*(Survey_Counts!$B$2:$B$743=$A23),0),0)),"")</f>
        <v>0.23404255319148937</v>
      </c>
      <c r="AK23" s="30">
        <f>IFERROR(INDEX(Survey_Counts!$N$2:$N$743,MATCH(1,INDEX((Survey_Counts!$A$2:$A$743=AK$3)*(Survey_Counts!$B$2:$B$743=$A23),0),0)),"")</f>
        <v>-0.14427860696517414</v>
      </c>
      <c r="AL23" s="30">
        <f>IFERROR(INDEX(Survey_Counts!$N$2:$N$743,MATCH(1,INDEX((Survey_Counts!$A$2:$A$743=AL$3)*(Survey_Counts!$B$2:$B$743=$A23),0),0)),"")</f>
        <v>0.13725490196078433</v>
      </c>
      <c r="AM23" s="30">
        <f>IFERROR(INDEX(Survey_Counts!$N$2:$N$743,MATCH(1,INDEX((Survey_Counts!$A$2:$A$743=AM$3)*(Survey_Counts!$B$2:$B$743=$A23),0),0)),"")</f>
        <v>-0.19528619528619529</v>
      </c>
      <c r="AN23" s="30">
        <f>IFERROR(INDEX(Survey_Counts!$N$2:$N$743,MATCH(1,INDEX((Survey_Counts!$A$2:$A$743=AN$3)*(Survey_Counts!$B$2:$B$743=$A23),0),0)),"")</f>
        <v>-3.9106145251396648E-2</v>
      </c>
      <c r="AO23" s="30">
        <f>IFERROR(INDEX(Survey_Counts!$N$2:$N$743,MATCH(1,INDEX((Survey_Counts!$A$2:$A$743=AO$3)*(Survey_Counts!$B$2:$B$743=$A23),0),0)),"")</f>
        <v>0.17701149425287357</v>
      </c>
      <c r="AP23" s="30">
        <f>IFERROR(INDEX(Survey_Counts!$N$2:$N$743,MATCH(1,INDEX((Survey_Counts!$A$2:$A$743=AP$3)*(Survey_Counts!$B$2:$B$743=$A23),0),0)),"")</f>
        <v>0.17701149425287357</v>
      </c>
      <c r="AQ23" s="30" t="str">
        <f>IFERROR(INDEX(Survey_Counts!$N$2:$N$743,MATCH(1,INDEX((Survey_Counts!$A$2:$A$743=AQ$3)*(Survey_Counts!$B$2:$B$743=$A23),0),0)),"")</f>
        <v/>
      </c>
      <c r="AR23" s="30" t="str">
        <f>IFERROR(INDEX(Survey_Counts!$N$2:$N$743,MATCH(1,INDEX((Survey_Counts!$A$2:$A$743=AR$3)*(Survey_Counts!$B$2:$B$743=$A23),0),0)),"")</f>
        <v/>
      </c>
      <c r="AS23" s="30" t="str">
        <f>IFERROR(INDEX(Survey_Counts!$N$2:$N$743,MATCH(1,INDEX((Survey_Counts!$A$2:$A$743=AS$3)*(Survey_Counts!$B$2:$B$743=$A23),0),0)),"")</f>
        <v/>
      </c>
      <c r="AT23" s="30" t="str">
        <f>IFERROR(INDEX(Survey_Counts!$N$2:$N$743,MATCH(1,INDEX((Survey_Counts!$A$2:$A$743=AT$3)*(Survey_Counts!$B$2:$B$743=$A23),0),0)),"")</f>
        <v/>
      </c>
      <c r="AU23" s="30" t="str">
        <f>IFERROR(INDEX(Survey_Counts!$N$2:$N$743,MATCH(1,INDEX((Survey_Counts!$A$2:$A$743=AU$3)*(Survey_Counts!$B$2:$B$743=$A23),0),0)),"")</f>
        <v/>
      </c>
    </row>
    <row r="24" spans="1:47" ht="15" customHeight="1" x14ac:dyDescent="0.25">
      <c r="A24" s="22">
        <v>20</v>
      </c>
      <c r="B24" s="22" t="s">
        <v>472</v>
      </c>
      <c r="C24" s="22">
        <v>75</v>
      </c>
      <c r="D24" s="30" t="str">
        <f>IFERROR(INDEX(Survey_Counts!$N$2:$N$743,MATCH(1,INDEX((Survey_Counts!$A$2:$A$743=D$3)*(Survey_Counts!$B$2:$B$743=$A24),0),0)),"")</f>
        <v/>
      </c>
      <c r="E24" s="30" t="str">
        <f>IFERROR(INDEX(Survey_Counts!$N$2:$N$743,MATCH(1,INDEX((Survey_Counts!$A$2:$A$743=E$3)*(Survey_Counts!$B$2:$B$743=$A24),0),0)),"")</f>
        <v/>
      </c>
      <c r="F24" s="30" t="str">
        <f>IFERROR(INDEX(Survey_Counts!$N$2:$N$743,MATCH(1,INDEX((Survey_Counts!$A$2:$A$743=F$3)*(Survey_Counts!$B$2:$B$743=$A24),0),0)),"")</f>
        <v/>
      </c>
      <c r="G24" s="30" t="str">
        <f>IFERROR(INDEX(Survey_Counts!$N$2:$N$743,MATCH(1,INDEX((Survey_Counts!$A$2:$A$743=G$3)*(Survey_Counts!$B$2:$B$743=$A24),0),0)),"")</f>
        <v/>
      </c>
      <c r="H24" s="30" t="str">
        <f>IFERROR(INDEX(Survey_Counts!$N$2:$N$743,MATCH(1,INDEX((Survey_Counts!$A$2:$A$743=H$3)*(Survey_Counts!$B$2:$B$743=$A24),0),0)),"")</f>
        <v/>
      </c>
      <c r="I24" s="30" t="str">
        <f>IFERROR(INDEX(Survey_Counts!$N$2:$N$743,MATCH(1,INDEX((Survey_Counts!$A$2:$A$743=I$3)*(Survey_Counts!$B$2:$B$743=$A24),0),0)),"")</f>
        <v/>
      </c>
      <c r="J24" s="30" t="str">
        <f>IFERROR(INDEX(Survey_Counts!$N$2:$N$743,MATCH(1,INDEX((Survey_Counts!$A$2:$A$743=J$3)*(Survey_Counts!$B$2:$B$743=$A24),0),0)),"")</f>
        <v/>
      </c>
      <c r="K24" s="30" t="str">
        <f>IFERROR(INDEX(Survey_Counts!$N$2:$N$743,MATCH(1,INDEX((Survey_Counts!$A$2:$A$743=K$3)*(Survey_Counts!$B$2:$B$743=$A24),0),0)),"")</f>
        <v/>
      </c>
      <c r="L24" s="30">
        <f>IFERROR(INDEX(Survey_Counts!$N$2:$N$743,MATCH(1,INDEX((Survey_Counts!$A$2:$A$743=L$3)*(Survey_Counts!$B$2:$B$743=$A24),0),0)),"")</f>
        <v>3.7969283276450515E-2</v>
      </c>
      <c r="M24" s="30">
        <f>IFERROR(INDEX(Survey_Counts!$N$2:$N$743,MATCH(1,INDEX((Survey_Counts!$A$2:$A$743=M$3)*(Survey_Counts!$B$2:$B$743=$A24),0),0)),"")</f>
        <v>3.7969283276450515E-2</v>
      </c>
      <c r="N24" s="30" t="str">
        <f>IFERROR(INDEX(Survey_Counts!$N$2:$N$743,MATCH(1,INDEX((Survey_Counts!$A$2:$A$743=N$3)*(Survey_Counts!$B$2:$B$743=$A24),0),0)),"")</f>
        <v/>
      </c>
      <c r="O24" s="30" t="str">
        <f>IFERROR(INDEX(Survey_Counts!$N$2:$N$743,MATCH(1,INDEX((Survey_Counts!$A$2:$A$743=O$3)*(Survey_Counts!$B$2:$B$743=$A24),0),0)),"")</f>
        <v/>
      </c>
      <c r="P24" s="30">
        <f>IFERROR(INDEX(Survey_Counts!$N$2:$N$743,MATCH(1,INDEX((Survey_Counts!$A$2:$A$743=P$3)*(Survey_Counts!$B$2:$B$743=$A24),0),0)),"")</f>
        <v>0.14117647058823529</v>
      </c>
      <c r="Q24" s="30">
        <f>IFERROR(INDEX(Survey_Counts!$N$2:$N$743,MATCH(1,INDEX((Survey_Counts!$A$2:$A$743=Q$3)*(Survey_Counts!$B$2:$B$743=$A24),0),0)),"")</f>
        <v>0.10975609756097561</v>
      </c>
      <c r="R24" s="30" t="str">
        <f>IFERROR(INDEX(Survey_Counts!$N$2:$N$743,MATCH(1,INDEX((Survey_Counts!$A$2:$A$743=R$3)*(Survey_Counts!$B$2:$B$743=$A24),0),0)),"")</f>
        <v/>
      </c>
      <c r="S24" s="30" t="str">
        <f>IFERROR(INDEX(Survey_Counts!$N$2:$N$743,MATCH(1,INDEX((Survey_Counts!$A$2:$A$743=S$3)*(Survey_Counts!$B$2:$B$743=$A24),0),0)),"")</f>
        <v/>
      </c>
      <c r="T24" s="30" t="str">
        <f>IFERROR(INDEX(Survey_Counts!$N$2:$N$743,MATCH(1,INDEX((Survey_Counts!$A$2:$A$743=T$3)*(Survey_Counts!$B$2:$B$743=$A24),0),0)),"")</f>
        <v/>
      </c>
      <c r="U24" s="30" t="str">
        <f>IFERROR(INDEX(Survey_Counts!$N$2:$N$743,MATCH(1,INDEX((Survey_Counts!$A$2:$A$743=U$3)*(Survey_Counts!$B$2:$B$743=$A24),0),0)),"")</f>
        <v/>
      </c>
      <c r="V24" s="30" t="str">
        <f>IFERROR(INDEX(Survey_Counts!$N$2:$N$743,MATCH(1,INDEX((Survey_Counts!$A$2:$A$743=V$3)*(Survey_Counts!$B$2:$B$743=$A24),0),0)),"")</f>
        <v/>
      </c>
      <c r="W24" s="30" t="str">
        <f>IFERROR(INDEX(Survey_Counts!$N$2:$N$743,MATCH(1,INDEX((Survey_Counts!$A$2:$A$743=W$3)*(Survey_Counts!$B$2:$B$743=$A24),0),0)),"")</f>
        <v/>
      </c>
      <c r="X24" s="30" t="str">
        <f>IFERROR(INDEX(Survey_Counts!$N$2:$N$743,MATCH(1,INDEX((Survey_Counts!$A$2:$A$743=X$3)*(Survey_Counts!$B$2:$B$743=$A24),0),0)),"")</f>
        <v/>
      </c>
      <c r="Y24" s="30" t="str">
        <f>IFERROR(INDEX(Survey_Counts!$N$2:$N$743,MATCH(1,INDEX((Survey_Counts!$A$2:$A$743=Y$3)*(Survey_Counts!$B$2:$B$743=$A24),0),0)),"")</f>
        <v/>
      </c>
      <c r="Z24" s="30" t="str">
        <f>IFERROR(INDEX(Survey_Counts!$N$2:$N$743,MATCH(1,INDEX((Survey_Counts!$A$2:$A$743=Z$3)*(Survey_Counts!$B$2:$B$743=$A24),0),0)),"")</f>
        <v/>
      </c>
      <c r="AA24" s="30" t="str">
        <f>IFERROR(INDEX(Survey_Counts!$N$2:$N$743,MATCH(1,INDEX((Survey_Counts!$A$2:$A$743=AA$3)*(Survey_Counts!$B$2:$B$743=$A24),0),0)),"")</f>
        <v/>
      </c>
      <c r="AB24" s="30" t="str">
        <f>IFERROR(INDEX(Survey_Counts!$N$2:$N$743,MATCH(1,INDEX((Survey_Counts!$A$2:$A$743=AB$3)*(Survey_Counts!$B$2:$B$743=$A24),0),0)),"")</f>
        <v/>
      </c>
      <c r="AC24" s="30" t="str">
        <f>IFERROR(INDEX(Survey_Counts!$N$2:$N$743,MATCH(1,INDEX((Survey_Counts!$A$2:$A$743=AC$3)*(Survey_Counts!$B$2:$B$743=$A24),0),0)),"")</f>
        <v/>
      </c>
      <c r="AD24" s="30" t="str">
        <f>IFERROR(INDEX(Survey_Counts!$N$2:$N$743,MATCH(1,INDEX((Survey_Counts!$A$2:$A$743=AD$3)*(Survey_Counts!$B$2:$B$743=$A24),0),0)),"")</f>
        <v/>
      </c>
      <c r="AE24" s="30" t="str">
        <f>IFERROR(INDEX(Survey_Counts!$N$2:$N$743,MATCH(1,INDEX((Survey_Counts!$A$2:$A$743=AE$3)*(Survey_Counts!$B$2:$B$743=$A24),0),0)),"")</f>
        <v/>
      </c>
      <c r="AF24" s="30" t="str">
        <f>IFERROR(INDEX(Survey_Counts!$N$2:$N$743,MATCH(1,INDEX((Survey_Counts!$A$2:$A$743=AF$3)*(Survey_Counts!$B$2:$B$743=$A24),0),0)),"")</f>
        <v/>
      </c>
      <c r="AG24" s="30" t="str">
        <f>IFERROR(INDEX(Survey_Counts!$N$2:$N$743,MATCH(1,INDEX((Survey_Counts!$A$2:$A$743=AG$3)*(Survey_Counts!$B$2:$B$743=$A24),0),0)),"")</f>
        <v/>
      </c>
      <c r="AH24" s="30" t="str">
        <f>IFERROR(INDEX(Survey_Counts!$N$2:$N$743,MATCH(1,INDEX((Survey_Counts!$A$2:$A$743=AH$3)*(Survey_Counts!$B$2:$B$743=$A24),0),0)),"")</f>
        <v/>
      </c>
      <c r="AI24" s="30" t="str">
        <f>IFERROR(INDEX(Survey_Counts!$N$2:$N$743,MATCH(1,INDEX((Survey_Counts!$A$2:$A$743=AI$3)*(Survey_Counts!$B$2:$B$743=$A24),0),0)),"")</f>
        <v/>
      </c>
      <c r="AJ24" s="30" t="str">
        <f>IFERROR(INDEX(Survey_Counts!$N$2:$N$743,MATCH(1,INDEX((Survey_Counts!$A$2:$A$743=AJ$3)*(Survey_Counts!$B$2:$B$743=$A24),0),0)),"")</f>
        <v/>
      </c>
      <c r="AK24" s="30" t="str">
        <f>IFERROR(INDEX(Survey_Counts!$N$2:$N$743,MATCH(1,INDEX((Survey_Counts!$A$2:$A$743=AK$3)*(Survey_Counts!$B$2:$B$743=$A24),0),0)),"")</f>
        <v/>
      </c>
      <c r="AL24" s="30" t="str">
        <f>IFERROR(INDEX(Survey_Counts!$N$2:$N$743,MATCH(1,INDEX((Survey_Counts!$A$2:$A$743=AL$3)*(Survey_Counts!$B$2:$B$743=$A24),0),0)),"")</f>
        <v/>
      </c>
      <c r="AM24" s="30" t="str">
        <f>IFERROR(INDEX(Survey_Counts!$N$2:$N$743,MATCH(1,INDEX((Survey_Counts!$A$2:$A$743=AM$3)*(Survey_Counts!$B$2:$B$743=$A24),0),0)),"")</f>
        <v/>
      </c>
      <c r="AN24" s="30" t="str">
        <f>IFERROR(INDEX(Survey_Counts!$N$2:$N$743,MATCH(1,INDEX((Survey_Counts!$A$2:$A$743=AN$3)*(Survey_Counts!$B$2:$B$743=$A24),0),0)),"")</f>
        <v/>
      </c>
      <c r="AO24" s="30">
        <f>IFERROR(INDEX(Survey_Counts!$N$2:$N$743,MATCH(1,INDEX((Survey_Counts!$A$2:$A$743=AO$3)*(Survey_Counts!$B$2:$B$743=$A24),0),0)),"")</f>
        <v>0.13563218390804599</v>
      </c>
      <c r="AP24" s="30">
        <f>IFERROR(INDEX(Survey_Counts!$N$2:$N$743,MATCH(1,INDEX((Survey_Counts!$A$2:$A$743=AP$3)*(Survey_Counts!$B$2:$B$743=$A24),0),0)),"")</f>
        <v>0.13563218390804599</v>
      </c>
      <c r="AQ24" s="30" t="str">
        <f>IFERROR(INDEX(Survey_Counts!$N$2:$N$743,MATCH(1,INDEX((Survey_Counts!$A$2:$A$743=AQ$3)*(Survey_Counts!$B$2:$B$743=$A24),0),0)),"")</f>
        <v/>
      </c>
      <c r="AR24" s="30" t="str">
        <f>IFERROR(INDEX(Survey_Counts!$N$2:$N$743,MATCH(1,INDEX((Survey_Counts!$A$2:$A$743=AR$3)*(Survey_Counts!$B$2:$B$743=$A24),0),0)),"")</f>
        <v/>
      </c>
      <c r="AS24" s="30" t="str">
        <f>IFERROR(INDEX(Survey_Counts!$N$2:$N$743,MATCH(1,INDEX((Survey_Counts!$A$2:$A$743=AS$3)*(Survey_Counts!$B$2:$B$743=$A24),0),0)),"")</f>
        <v/>
      </c>
      <c r="AT24" s="30" t="str">
        <f>IFERROR(INDEX(Survey_Counts!$N$2:$N$743,MATCH(1,INDEX((Survey_Counts!$A$2:$A$743=AT$3)*(Survey_Counts!$B$2:$B$743=$A24),0),0)),"")</f>
        <v/>
      </c>
      <c r="AU24" s="30" t="str">
        <f>IFERROR(INDEX(Survey_Counts!$N$2:$N$743,MATCH(1,INDEX((Survey_Counts!$A$2:$A$743=AU$3)*(Survey_Counts!$B$2:$B$743=$A24),0),0)),"")</f>
        <v/>
      </c>
    </row>
    <row r="25" spans="1:47" ht="15" customHeight="1" x14ac:dyDescent="0.25">
      <c r="A25" s="22">
        <v>21</v>
      </c>
      <c r="B25" s="22" t="s">
        <v>250</v>
      </c>
      <c r="C25" s="22">
        <v>90</v>
      </c>
      <c r="D25" s="30" t="str">
        <f>IFERROR(INDEX(Survey_Counts!$N$2:$N$743,MATCH(1,INDEX((Survey_Counts!$A$2:$A$743=D$3)*(Survey_Counts!$B$2:$B$743=$A25),0),0)),"")</f>
        <v/>
      </c>
      <c r="E25" s="30" t="str">
        <f>IFERROR(INDEX(Survey_Counts!$N$2:$N$743,MATCH(1,INDEX((Survey_Counts!$A$2:$A$743=E$3)*(Survey_Counts!$B$2:$B$743=$A25),0),0)),"")</f>
        <v/>
      </c>
      <c r="F25" s="30" t="str">
        <f>IFERROR(INDEX(Survey_Counts!$N$2:$N$743,MATCH(1,INDEX((Survey_Counts!$A$2:$A$743=F$3)*(Survey_Counts!$B$2:$B$743=$A25),0),0)),"")</f>
        <v/>
      </c>
      <c r="G25" s="30" t="str">
        <f>IFERROR(INDEX(Survey_Counts!$N$2:$N$743,MATCH(1,INDEX((Survey_Counts!$A$2:$A$743=G$3)*(Survey_Counts!$B$2:$B$743=$A25),0),0)),"")</f>
        <v/>
      </c>
      <c r="H25" s="30" t="str">
        <f>IFERROR(INDEX(Survey_Counts!$N$2:$N$743,MATCH(1,INDEX((Survey_Counts!$A$2:$A$743=H$3)*(Survey_Counts!$B$2:$B$743=$A25),0),0)),"")</f>
        <v/>
      </c>
      <c r="I25" s="30" t="str">
        <f>IFERROR(INDEX(Survey_Counts!$N$2:$N$743,MATCH(1,INDEX((Survey_Counts!$A$2:$A$743=I$3)*(Survey_Counts!$B$2:$B$743=$A25),0),0)),"")</f>
        <v/>
      </c>
      <c r="J25" s="30" t="str">
        <f>IFERROR(INDEX(Survey_Counts!$N$2:$N$743,MATCH(1,INDEX((Survey_Counts!$A$2:$A$743=J$3)*(Survey_Counts!$B$2:$B$743=$A25),0),0)),"")</f>
        <v/>
      </c>
      <c r="K25" s="30" t="str">
        <f>IFERROR(INDEX(Survey_Counts!$N$2:$N$743,MATCH(1,INDEX((Survey_Counts!$A$2:$A$743=K$3)*(Survey_Counts!$B$2:$B$743=$A25),0),0)),"")</f>
        <v/>
      </c>
      <c r="L25" s="30">
        <f>IFERROR(INDEX(Survey_Counts!$N$2:$N$743,MATCH(1,INDEX((Survey_Counts!$A$2:$A$743=L$3)*(Survey_Counts!$B$2:$B$743=$A25),0),0)),"")</f>
        <v>3.6689419795221841E-2</v>
      </c>
      <c r="M25" s="30">
        <f>IFERROR(INDEX(Survey_Counts!$N$2:$N$743,MATCH(1,INDEX((Survey_Counts!$A$2:$A$743=M$3)*(Survey_Counts!$B$2:$B$743=$A25),0),0)),"")</f>
        <v>3.6689419795221841E-2</v>
      </c>
      <c r="N25" s="30" t="str">
        <f>IFERROR(INDEX(Survey_Counts!$N$2:$N$743,MATCH(1,INDEX((Survey_Counts!$A$2:$A$743=N$3)*(Survey_Counts!$B$2:$B$743=$A25),0),0)),"")</f>
        <v/>
      </c>
      <c r="O25" s="30" t="str">
        <f>IFERROR(INDEX(Survey_Counts!$N$2:$N$743,MATCH(1,INDEX((Survey_Counts!$A$2:$A$743=O$3)*(Survey_Counts!$B$2:$B$743=$A25),0),0)),"")</f>
        <v/>
      </c>
      <c r="P25" s="30">
        <f>IFERROR(INDEX(Survey_Counts!$N$2:$N$743,MATCH(1,INDEX((Survey_Counts!$A$2:$A$743=P$3)*(Survey_Counts!$B$2:$B$743=$A25),0),0)),"")</f>
        <v>7.0588235294117646E-2</v>
      </c>
      <c r="Q25" s="30">
        <f>IFERROR(INDEX(Survey_Counts!$N$2:$N$743,MATCH(1,INDEX((Survey_Counts!$A$2:$A$743=Q$3)*(Survey_Counts!$B$2:$B$743=$A25),0),0)),"")</f>
        <v>3.6585365853658534E-2</v>
      </c>
      <c r="R25" s="30" t="str">
        <f>IFERROR(INDEX(Survey_Counts!$N$2:$N$743,MATCH(1,INDEX((Survey_Counts!$A$2:$A$743=R$3)*(Survey_Counts!$B$2:$B$743=$A25),0),0)),"")</f>
        <v/>
      </c>
      <c r="S25" s="30" t="str">
        <f>IFERROR(INDEX(Survey_Counts!$N$2:$N$743,MATCH(1,INDEX((Survey_Counts!$A$2:$A$743=S$3)*(Survey_Counts!$B$2:$B$743=$A25),0),0)),"")</f>
        <v/>
      </c>
      <c r="T25" s="30" t="str">
        <f>IFERROR(INDEX(Survey_Counts!$N$2:$N$743,MATCH(1,INDEX((Survey_Counts!$A$2:$A$743=T$3)*(Survey_Counts!$B$2:$B$743=$A25),0),0)),"")</f>
        <v/>
      </c>
      <c r="U25" s="30" t="str">
        <f>IFERROR(INDEX(Survey_Counts!$N$2:$N$743,MATCH(1,INDEX((Survey_Counts!$A$2:$A$743=U$3)*(Survey_Counts!$B$2:$B$743=$A25),0),0)),"")</f>
        <v/>
      </c>
      <c r="V25" s="30" t="str">
        <f>IFERROR(INDEX(Survey_Counts!$N$2:$N$743,MATCH(1,INDEX((Survey_Counts!$A$2:$A$743=V$3)*(Survey_Counts!$B$2:$B$743=$A25),0),0)),"")</f>
        <v/>
      </c>
      <c r="W25" s="30" t="str">
        <f>IFERROR(INDEX(Survey_Counts!$N$2:$N$743,MATCH(1,INDEX((Survey_Counts!$A$2:$A$743=W$3)*(Survey_Counts!$B$2:$B$743=$A25),0),0)),"")</f>
        <v/>
      </c>
      <c r="X25" s="30" t="str">
        <f>IFERROR(INDEX(Survey_Counts!$N$2:$N$743,MATCH(1,INDEX((Survey_Counts!$A$2:$A$743=X$3)*(Survey_Counts!$B$2:$B$743=$A25),0),0)),"")</f>
        <v/>
      </c>
      <c r="Y25" s="30" t="str">
        <f>IFERROR(INDEX(Survey_Counts!$N$2:$N$743,MATCH(1,INDEX((Survey_Counts!$A$2:$A$743=Y$3)*(Survey_Counts!$B$2:$B$743=$A25),0),0)),"")</f>
        <v/>
      </c>
      <c r="Z25" s="30" t="str">
        <f>IFERROR(INDEX(Survey_Counts!$N$2:$N$743,MATCH(1,INDEX((Survey_Counts!$A$2:$A$743=Z$3)*(Survey_Counts!$B$2:$B$743=$A25),0),0)),"")</f>
        <v/>
      </c>
      <c r="AA25" s="30" t="str">
        <f>IFERROR(INDEX(Survey_Counts!$N$2:$N$743,MATCH(1,INDEX((Survey_Counts!$A$2:$A$743=AA$3)*(Survey_Counts!$B$2:$B$743=$A25),0),0)),"")</f>
        <v/>
      </c>
      <c r="AB25" s="30" t="str">
        <f>IFERROR(INDEX(Survey_Counts!$N$2:$N$743,MATCH(1,INDEX((Survey_Counts!$A$2:$A$743=AB$3)*(Survey_Counts!$B$2:$B$743=$A25),0),0)),"")</f>
        <v/>
      </c>
      <c r="AC25" s="30" t="str">
        <f>IFERROR(INDEX(Survey_Counts!$N$2:$N$743,MATCH(1,INDEX((Survey_Counts!$A$2:$A$743=AC$3)*(Survey_Counts!$B$2:$B$743=$A25),0),0)),"")</f>
        <v/>
      </c>
      <c r="AD25" s="30" t="str">
        <f>IFERROR(INDEX(Survey_Counts!$N$2:$N$743,MATCH(1,INDEX((Survey_Counts!$A$2:$A$743=AD$3)*(Survey_Counts!$B$2:$B$743=$A25),0),0)),"")</f>
        <v/>
      </c>
      <c r="AE25" s="30" t="str">
        <f>IFERROR(INDEX(Survey_Counts!$N$2:$N$743,MATCH(1,INDEX((Survey_Counts!$A$2:$A$743=AE$3)*(Survey_Counts!$B$2:$B$743=$A25),0),0)),"")</f>
        <v/>
      </c>
      <c r="AF25" s="30" t="str">
        <f>IFERROR(INDEX(Survey_Counts!$N$2:$N$743,MATCH(1,INDEX((Survey_Counts!$A$2:$A$743=AF$3)*(Survey_Counts!$B$2:$B$743=$A25),0),0)),"")</f>
        <v/>
      </c>
      <c r="AG25" s="30" t="str">
        <f>IFERROR(INDEX(Survey_Counts!$N$2:$N$743,MATCH(1,INDEX((Survey_Counts!$A$2:$A$743=AG$3)*(Survey_Counts!$B$2:$B$743=$A25),0),0)),"")</f>
        <v/>
      </c>
      <c r="AH25" s="30" t="str">
        <f>IFERROR(INDEX(Survey_Counts!$N$2:$N$743,MATCH(1,INDEX((Survey_Counts!$A$2:$A$743=AH$3)*(Survey_Counts!$B$2:$B$743=$A25),0),0)),"")</f>
        <v/>
      </c>
      <c r="AI25" s="30" t="str">
        <f>IFERROR(INDEX(Survey_Counts!$N$2:$N$743,MATCH(1,INDEX((Survey_Counts!$A$2:$A$743=AI$3)*(Survey_Counts!$B$2:$B$743=$A25),0),0)),"")</f>
        <v/>
      </c>
      <c r="AJ25" s="30" t="str">
        <f>IFERROR(INDEX(Survey_Counts!$N$2:$N$743,MATCH(1,INDEX((Survey_Counts!$A$2:$A$743=AJ$3)*(Survey_Counts!$B$2:$B$743=$A25),0),0)),"")</f>
        <v/>
      </c>
      <c r="AK25" s="30" t="str">
        <f>IFERROR(INDEX(Survey_Counts!$N$2:$N$743,MATCH(1,INDEX((Survey_Counts!$A$2:$A$743=AK$3)*(Survey_Counts!$B$2:$B$743=$A25),0),0)),"")</f>
        <v/>
      </c>
      <c r="AL25" s="30" t="str">
        <f>IFERROR(INDEX(Survey_Counts!$N$2:$N$743,MATCH(1,INDEX((Survey_Counts!$A$2:$A$743=AL$3)*(Survey_Counts!$B$2:$B$743=$A25),0),0)),"")</f>
        <v/>
      </c>
      <c r="AM25" s="30" t="str">
        <f>IFERROR(INDEX(Survey_Counts!$N$2:$N$743,MATCH(1,INDEX((Survey_Counts!$A$2:$A$743=AM$3)*(Survey_Counts!$B$2:$B$743=$A25),0),0)),"")</f>
        <v/>
      </c>
      <c r="AN25" s="30" t="str">
        <f>IFERROR(INDEX(Survey_Counts!$N$2:$N$743,MATCH(1,INDEX((Survey_Counts!$A$2:$A$743=AN$3)*(Survey_Counts!$B$2:$B$743=$A25),0),0)),"")</f>
        <v/>
      </c>
      <c r="AO25" s="30">
        <f>IFERROR(INDEX(Survey_Counts!$N$2:$N$743,MATCH(1,INDEX((Survey_Counts!$A$2:$A$743=AO$3)*(Survey_Counts!$B$2:$B$743=$A25),0),0)),"")</f>
        <v>7.8160919540229884E-2</v>
      </c>
      <c r="AP25" s="30">
        <f>IFERROR(INDEX(Survey_Counts!$N$2:$N$743,MATCH(1,INDEX((Survey_Counts!$A$2:$A$743=AP$3)*(Survey_Counts!$B$2:$B$743=$A25),0),0)),"")</f>
        <v>7.8160919540229884E-2</v>
      </c>
      <c r="AQ25" s="30" t="str">
        <f>IFERROR(INDEX(Survey_Counts!$N$2:$N$743,MATCH(1,INDEX((Survey_Counts!$A$2:$A$743=AQ$3)*(Survey_Counts!$B$2:$B$743=$A25),0),0)),"")</f>
        <v/>
      </c>
      <c r="AR25" s="30" t="str">
        <f>IFERROR(INDEX(Survey_Counts!$N$2:$N$743,MATCH(1,INDEX((Survey_Counts!$A$2:$A$743=AR$3)*(Survey_Counts!$B$2:$B$743=$A25),0),0)),"")</f>
        <v/>
      </c>
      <c r="AS25" s="30" t="str">
        <f>IFERROR(INDEX(Survey_Counts!$N$2:$N$743,MATCH(1,INDEX((Survey_Counts!$A$2:$A$743=AS$3)*(Survey_Counts!$B$2:$B$743=$A25),0),0)),"")</f>
        <v/>
      </c>
      <c r="AT25" s="30" t="str">
        <f>IFERROR(INDEX(Survey_Counts!$N$2:$N$743,MATCH(1,INDEX((Survey_Counts!$A$2:$A$743=AT$3)*(Survey_Counts!$B$2:$B$743=$A25),0),0)),"")</f>
        <v/>
      </c>
      <c r="AU25" s="30" t="str">
        <f>IFERROR(INDEX(Survey_Counts!$N$2:$N$743,MATCH(1,INDEX((Survey_Counts!$A$2:$A$743=AU$3)*(Survey_Counts!$B$2:$B$743=$A25),0),0)),"")</f>
        <v/>
      </c>
    </row>
    <row r="26" spans="1:47" ht="15" customHeight="1" x14ac:dyDescent="0.25">
      <c r="A26" s="22">
        <v>22</v>
      </c>
      <c r="B26" s="22" t="s">
        <v>403</v>
      </c>
      <c r="C26" s="22">
        <v>105</v>
      </c>
      <c r="D26" s="30" t="str">
        <f>IFERROR(INDEX(Survey_Counts!$N$2:$N$743,MATCH(1,INDEX((Survey_Counts!$A$2:$A$743=D$3)*(Survey_Counts!$B$2:$B$743=$A26),0),0)),"")</f>
        <v/>
      </c>
      <c r="E26" s="30" t="str">
        <f>IFERROR(INDEX(Survey_Counts!$N$2:$N$743,MATCH(1,INDEX((Survey_Counts!$A$2:$A$743=E$3)*(Survey_Counts!$B$2:$B$743=$A26),0),0)),"")</f>
        <v/>
      </c>
      <c r="F26" s="30" t="str">
        <f>IFERROR(INDEX(Survey_Counts!$N$2:$N$743,MATCH(1,INDEX((Survey_Counts!$A$2:$A$743=F$3)*(Survey_Counts!$B$2:$B$743=$A26),0),0)),"")</f>
        <v/>
      </c>
      <c r="G26" s="30" t="str">
        <f>IFERROR(INDEX(Survey_Counts!$N$2:$N$743,MATCH(1,INDEX((Survey_Counts!$A$2:$A$743=G$3)*(Survey_Counts!$B$2:$B$743=$A26),0),0)),"")</f>
        <v/>
      </c>
      <c r="H26" s="30" t="str">
        <f>IFERROR(INDEX(Survey_Counts!$N$2:$N$743,MATCH(1,INDEX((Survey_Counts!$A$2:$A$743=H$3)*(Survey_Counts!$B$2:$B$743=$A26),0),0)),"")</f>
        <v/>
      </c>
      <c r="I26" s="30" t="str">
        <f>IFERROR(INDEX(Survey_Counts!$N$2:$N$743,MATCH(1,INDEX((Survey_Counts!$A$2:$A$743=I$3)*(Survey_Counts!$B$2:$B$743=$A26),0),0)),"")</f>
        <v/>
      </c>
      <c r="J26" s="30" t="str">
        <f>IFERROR(INDEX(Survey_Counts!$N$2:$N$743,MATCH(1,INDEX((Survey_Counts!$A$2:$A$743=J$3)*(Survey_Counts!$B$2:$B$743=$A26),0),0)),"")</f>
        <v/>
      </c>
      <c r="K26" s="30" t="str">
        <f>IFERROR(INDEX(Survey_Counts!$N$2:$N$743,MATCH(1,INDEX((Survey_Counts!$A$2:$A$743=K$3)*(Survey_Counts!$B$2:$B$743=$A26),0),0)),"")</f>
        <v/>
      </c>
      <c r="L26" s="30" t="str">
        <f>IFERROR(INDEX(Survey_Counts!$N$2:$N$743,MATCH(1,INDEX((Survey_Counts!$A$2:$A$743=L$3)*(Survey_Counts!$B$2:$B$743=$A26),0),0)),"")</f>
        <v/>
      </c>
      <c r="M26" s="30" t="str">
        <f>IFERROR(INDEX(Survey_Counts!$N$2:$N$743,MATCH(1,INDEX((Survey_Counts!$A$2:$A$743=M$3)*(Survey_Counts!$B$2:$B$743=$A26),0),0)),"")</f>
        <v/>
      </c>
      <c r="N26" s="30" t="str">
        <f>IFERROR(INDEX(Survey_Counts!$N$2:$N$743,MATCH(1,INDEX((Survey_Counts!$A$2:$A$743=N$3)*(Survey_Counts!$B$2:$B$743=$A26),0),0)),"")</f>
        <v/>
      </c>
      <c r="O26" s="30" t="str">
        <f>IFERROR(INDEX(Survey_Counts!$N$2:$N$743,MATCH(1,INDEX((Survey_Counts!$A$2:$A$743=O$3)*(Survey_Counts!$B$2:$B$743=$A26),0),0)),"")</f>
        <v/>
      </c>
      <c r="P26" s="30" t="str">
        <f>IFERROR(INDEX(Survey_Counts!$N$2:$N$743,MATCH(1,INDEX((Survey_Counts!$A$2:$A$743=P$3)*(Survey_Counts!$B$2:$B$743=$A26),0),0)),"")</f>
        <v/>
      </c>
      <c r="Q26" s="30" t="str">
        <f>IFERROR(INDEX(Survey_Counts!$N$2:$N$743,MATCH(1,INDEX((Survey_Counts!$A$2:$A$743=Q$3)*(Survey_Counts!$B$2:$B$743=$A26),0),0)),"")</f>
        <v/>
      </c>
      <c r="R26" s="30" t="str">
        <f>IFERROR(INDEX(Survey_Counts!$N$2:$N$743,MATCH(1,INDEX((Survey_Counts!$A$2:$A$743=R$3)*(Survey_Counts!$B$2:$B$743=$A26),0),0)),"")</f>
        <v/>
      </c>
      <c r="S26" s="30" t="str">
        <f>IFERROR(INDEX(Survey_Counts!$N$2:$N$743,MATCH(1,INDEX((Survey_Counts!$A$2:$A$743=S$3)*(Survey_Counts!$B$2:$B$743=$A26),0),0)),"")</f>
        <v/>
      </c>
      <c r="T26" s="30" t="str">
        <f>IFERROR(INDEX(Survey_Counts!$N$2:$N$743,MATCH(1,INDEX((Survey_Counts!$A$2:$A$743=T$3)*(Survey_Counts!$B$2:$B$743=$A26),0),0)),"")</f>
        <v/>
      </c>
      <c r="U26" s="30" t="str">
        <f>IFERROR(INDEX(Survey_Counts!$N$2:$N$743,MATCH(1,INDEX((Survey_Counts!$A$2:$A$743=U$3)*(Survey_Counts!$B$2:$B$743=$A26),0),0)),"")</f>
        <v/>
      </c>
      <c r="V26" s="30" t="str">
        <f>IFERROR(INDEX(Survey_Counts!$N$2:$N$743,MATCH(1,INDEX((Survey_Counts!$A$2:$A$743=V$3)*(Survey_Counts!$B$2:$B$743=$A26),0),0)),"")</f>
        <v/>
      </c>
      <c r="W26" s="30" t="str">
        <f>IFERROR(INDEX(Survey_Counts!$N$2:$N$743,MATCH(1,INDEX((Survey_Counts!$A$2:$A$743=W$3)*(Survey_Counts!$B$2:$B$743=$A26),0),0)),"")</f>
        <v/>
      </c>
      <c r="X26" s="30" t="str">
        <f>IFERROR(INDEX(Survey_Counts!$N$2:$N$743,MATCH(1,INDEX((Survey_Counts!$A$2:$A$743=X$3)*(Survey_Counts!$B$2:$B$743=$A26),0),0)),"")</f>
        <v/>
      </c>
      <c r="Y26" s="30" t="str">
        <f>IFERROR(INDEX(Survey_Counts!$N$2:$N$743,MATCH(1,INDEX((Survey_Counts!$A$2:$A$743=Y$3)*(Survey_Counts!$B$2:$B$743=$A26),0),0)),"")</f>
        <v/>
      </c>
      <c r="Z26" s="30" t="str">
        <f>IFERROR(INDEX(Survey_Counts!$N$2:$N$743,MATCH(1,INDEX((Survey_Counts!$A$2:$A$743=Z$3)*(Survey_Counts!$B$2:$B$743=$A26),0),0)),"")</f>
        <v/>
      </c>
      <c r="AA26" s="30" t="str">
        <f>IFERROR(INDEX(Survey_Counts!$N$2:$N$743,MATCH(1,INDEX((Survey_Counts!$A$2:$A$743=AA$3)*(Survey_Counts!$B$2:$B$743=$A26),0),0)),"")</f>
        <v/>
      </c>
      <c r="AB26" s="30" t="str">
        <f>IFERROR(INDEX(Survey_Counts!$N$2:$N$743,MATCH(1,INDEX((Survey_Counts!$A$2:$A$743=AB$3)*(Survey_Counts!$B$2:$B$743=$A26),0),0)),"")</f>
        <v/>
      </c>
      <c r="AC26" s="30" t="str">
        <f>IFERROR(INDEX(Survey_Counts!$N$2:$N$743,MATCH(1,INDEX((Survey_Counts!$A$2:$A$743=AC$3)*(Survey_Counts!$B$2:$B$743=$A26),0),0)),"")</f>
        <v/>
      </c>
      <c r="AD26" s="30" t="str">
        <f>IFERROR(INDEX(Survey_Counts!$N$2:$N$743,MATCH(1,INDEX((Survey_Counts!$A$2:$A$743=AD$3)*(Survey_Counts!$B$2:$B$743=$A26),0),0)),"")</f>
        <v/>
      </c>
      <c r="AE26" s="30" t="str">
        <f>IFERROR(INDEX(Survey_Counts!$N$2:$N$743,MATCH(1,INDEX((Survey_Counts!$A$2:$A$743=AE$3)*(Survey_Counts!$B$2:$B$743=$A26),0),0)),"")</f>
        <v/>
      </c>
      <c r="AF26" s="30" t="str">
        <f>IFERROR(INDEX(Survey_Counts!$N$2:$N$743,MATCH(1,INDEX((Survey_Counts!$A$2:$A$743=AF$3)*(Survey_Counts!$B$2:$B$743=$A26),0),0)),"")</f>
        <v/>
      </c>
      <c r="AG26" s="30" t="str">
        <f>IFERROR(INDEX(Survey_Counts!$N$2:$N$743,MATCH(1,INDEX((Survey_Counts!$A$2:$A$743=AG$3)*(Survey_Counts!$B$2:$B$743=$A26),0),0)),"")</f>
        <v/>
      </c>
      <c r="AH26" s="30" t="str">
        <f>IFERROR(INDEX(Survey_Counts!$N$2:$N$743,MATCH(1,INDEX((Survey_Counts!$A$2:$A$743=AH$3)*(Survey_Counts!$B$2:$B$743=$A26),0),0)),"")</f>
        <v/>
      </c>
      <c r="AI26" s="30" t="str">
        <f>IFERROR(INDEX(Survey_Counts!$N$2:$N$743,MATCH(1,INDEX((Survey_Counts!$A$2:$A$743=AI$3)*(Survey_Counts!$B$2:$B$743=$A26),0),0)),"")</f>
        <v/>
      </c>
      <c r="AJ26" s="30" t="str">
        <f>IFERROR(INDEX(Survey_Counts!$N$2:$N$743,MATCH(1,INDEX((Survey_Counts!$A$2:$A$743=AJ$3)*(Survey_Counts!$B$2:$B$743=$A26),0),0)),"")</f>
        <v/>
      </c>
      <c r="AK26" s="30" t="str">
        <f>IFERROR(INDEX(Survey_Counts!$N$2:$N$743,MATCH(1,INDEX((Survey_Counts!$A$2:$A$743=AK$3)*(Survey_Counts!$B$2:$B$743=$A26),0),0)),"")</f>
        <v/>
      </c>
      <c r="AL26" s="30" t="str">
        <f>IFERROR(INDEX(Survey_Counts!$N$2:$N$743,MATCH(1,INDEX((Survey_Counts!$A$2:$A$743=AL$3)*(Survey_Counts!$B$2:$B$743=$A26),0),0)),"")</f>
        <v/>
      </c>
      <c r="AM26" s="30" t="str">
        <f>IFERROR(INDEX(Survey_Counts!$N$2:$N$743,MATCH(1,INDEX((Survey_Counts!$A$2:$A$743=AM$3)*(Survey_Counts!$B$2:$B$743=$A26),0),0)),"")</f>
        <v/>
      </c>
      <c r="AN26" s="30" t="str">
        <f>IFERROR(INDEX(Survey_Counts!$N$2:$N$743,MATCH(1,INDEX((Survey_Counts!$A$2:$A$743=AN$3)*(Survey_Counts!$B$2:$B$743=$A26),0),0)),"")</f>
        <v/>
      </c>
      <c r="AO26" s="30">
        <f>IFERROR(INDEX(Survey_Counts!$N$2:$N$743,MATCH(1,INDEX((Survey_Counts!$A$2:$A$743=AO$3)*(Survey_Counts!$B$2:$B$743=$A26),0),0)),"")</f>
        <v>5.057471264367816E-2</v>
      </c>
      <c r="AP26" s="30">
        <f>IFERROR(INDEX(Survey_Counts!$N$2:$N$743,MATCH(1,INDEX((Survey_Counts!$A$2:$A$743=AP$3)*(Survey_Counts!$B$2:$B$743=$A26),0),0)),"")</f>
        <v>5.057471264367816E-2</v>
      </c>
      <c r="AQ26" s="30" t="str">
        <f>IFERROR(INDEX(Survey_Counts!$N$2:$N$743,MATCH(1,INDEX((Survey_Counts!$A$2:$A$743=AQ$3)*(Survey_Counts!$B$2:$B$743=$A26),0),0)),"")</f>
        <v/>
      </c>
      <c r="AR26" s="30" t="str">
        <f>IFERROR(INDEX(Survey_Counts!$N$2:$N$743,MATCH(1,INDEX((Survey_Counts!$A$2:$A$743=AR$3)*(Survey_Counts!$B$2:$B$743=$A26),0),0)),"")</f>
        <v/>
      </c>
      <c r="AS26" s="30" t="str">
        <f>IFERROR(INDEX(Survey_Counts!$N$2:$N$743,MATCH(1,INDEX((Survey_Counts!$A$2:$A$743=AS$3)*(Survey_Counts!$B$2:$B$743=$A26),0),0)),"")</f>
        <v/>
      </c>
      <c r="AT26" s="30" t="str">
        <f>IFERROR(INDEX(Survey_Counts!$N$2:$N$743,MATCH(1,INDEX((Survey_Counts!$A$2:$A$743=AT$3)*(Survey_Counts!$B$2:$B$743=$A26),0),0)),"")</f>
        <v/>
      </c>
      <c r="AU26" s="30" t="str">
        <f>IFERROR(INDEX(Survey_Counts!$N$2:$N$743,MATCH(1,INDEX((Survey_Counts!$A$2:$A$743=AU$3)*(Survey_Counts!$B$2:$B$743=$A26),0),0)),"")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55"/>
  <sheetViews>
    <sheetView zoomScaleNormal="100" workbookViewId="0">
      <pane ySplit="1" topLeftCell="A2" activePane="bottomLeft" state="frozen"/>
      <selection pane="bottomLeft"/>
    </sheetView>
  </sheetViews>
  <sheetFormatPr defaultColWidth="8.7109375" defaultRowHeight="15" x14ac:dyDescent="0.25"/>
  <cols>
    <col min="1" max="1" width="13" customWidth="1"/>
    <col min="2" max="2" width="17" customWidth="1"/>
    <col min="3" max="3" width="22" customWidth="1"/>
    <col min="4" max="4" width="26" customWidth="1"/>
    <col min="5" max="5" width="9" customWidth="1"/>
    <col min="6" max="6" width="14" customWidth="1"/>
    <col min="7" max="7" width="12" customWidth="1"/>
    <col min="8" max="9" width="9" customWidth="1"/>
    <col min="10" max="11" width="10" customWidth="1"/>
    <col min="12" max="13" width="11" customWidth="1"/>
    <col min="14" max="14" width="12" customWidth="1"/>
    <col min="15" max="15" width="64" customWidth="1"/>
  </cols>
  <sheetData>
    <row r="1" spans="1:15" ht="30" customHeight="1" x14ac:dyDescent="0.25">
      <c r="A1" s="5" t="s">
        <v>152</v>
      </c>
      <c r="B1" s="5" t="s">
        <v>507</v>
      </c>
      <c r="C1" s="5" t="s">
        <v>508</v>
      </c>
      <c r="D1" s="5" t="s">
        <v>509</v>
      </c>
      <c r="E1" s="5" t="s">
        <v>452</v>
      </c>
      <c r="F1" s="5" t="s">
        <v>453</v>
      </c>
      <c r="G1" s="5" t="s">
        <v>454</v>
      </c>
      <c r="H1" s="5" t="s">
        <v>455</v>
      </c>
      <c r="I1" s="5" t="s">
        <v>456</v>
      </c>
      <c r="J1" s="5" t="s">
        <v>457</v>
      </c>
      <c r="K1" s="5" t="s">
        <v>458</v>
      </c>
      <c r="L1" s="5" t="s">
        <v>459</v>
      </c>
      <c r="M1" s="5" t="s">
        <v>166</v>
      </c>
      <c r="N1" s="5" t="s">
        <v>460</v>
      </c>
      <c r="O1" s="5" t="s">
        <v>175</v>
      </c>
    </row>
    <row r="2" spans="1:15" ht="15" customHeight="1" x14ac:dyDescent="0.25">
      <c r="A2" s="22" t="s">
        <v>247</v>
      </c>
      <c r="B2" s="22" t="s">
        <v>510</v>
      </c>
      <c r="C2" s="22" t="s">
        <v>511</v>
      </c>
      <c r="D2" s="22" t="s">
        <v>512</v>
      </c>
      <c r="E2" s="22">
        <v>0</v>
      </c>
      <c r="F2" s="22" t="s">
        <v>189</v>
      </c>
      <c r="G2" s="22"/>
      <c r="H2" s="22">
        <v>61</v>
      </c>
      <c r="I2" s="22">
        <v>0</v>
      </c>
      <c r="J2" s="22">
        <f t="shared" ref="J2:J33" si="0">SUMIFS($H$2:$H$260,$A$2:$A$260,$A2,$B$2:$B$260,$B2,$E$2:$E$260,"&lt;="&amp;$E2)</f>
        <v>61</v>
      </c>
      <c r="K2" s="22">
        <f t="shared" ref="K2:K33" si="1">SUMIFS($I$2:$I$260,$A$2:$A$260,$A2,$B$2:$B$260,$B2,$E$2:$E$260,"&lt;="&amp;$E2)</f>
        <v>0</v>
      </c>
      <c r="L2" s="22">
        <f t="shared" ref="L2:L33" si="2">J2-K2</f>
        <v>61</v>
      </c>
      <c r="M2" s="22">
        <f t="shared" ref="M2:M33" si="3">SUMIFS($H$2:$H$260,$A$2:$A$260,$A2,$B$2:$B$260,$B2)</f>
        <v>1252</v>
      </c>
      <c r="N2" s="24">
        <f t="shared" ref="N2:N33" si="4">IF(M2=0,"",L2/M2)</f>
        <v>4.8722044728434506E-2</v>
      </c>
      <c r="O2" s="22" t="s">
        <v>513</v>
      </c>
    </row>
    <row r="3" spans="1:15" ht="15" customHeight="1" x14ac:dyDescent="0.25">
      <c r="A3" s="22" t="s">
        <v>247</v>
      </c>
      <c r="B3" s="22" t="s">
        <v>510</v>
      </c>
      <c r="C3" s="22" t="s">
        <v>511</v>
      </c>
      <c r="D3" s="22" t="s">
        <v>512</v>
      </c>
      <c r="E3" s="22">
        <v>1</v>
      </c>
      <c r="F3" s="22" t="s">
        <v>471</v>
      </c>
      <c r="G3" s="22">
        <v>-210</v>
      </c>
      <c r="H3" s="22">
        <v>74</v>
      </c>
      <c r="I3" s="22">
        <v>2</v>
      </c>
      <c r="J3" s="22">
        <f t="shared" si="0"/>
        <v>135</v>
      </c>
      <c r="K3" s="22">
        <f t="shared" si="1"/>
        <v>2</v>
      </c>
      <c r="L3" s="22">
        <f t="shared" si="2"/>
        <v>133</v>
      </c>
      <c r="M3" s="22">
        <f t="shared" si="3"/>
        <v>1252</v>
      </c>
      <c r="N3" s="24">
        <f t="shared" si="4"/>
        <v>0.1062300319488818</v>
      </c>
      <c r="O3" s="22" t="s">
        <v>513</v>
      </c>
    </row>
    <row r="4" spans="1:15" ht="15" customHeight="1" x14ac:dyDescent="0.25">
      <c r="A4" s="22" t="s">
        <v>247</v>
      </c>
      <c r="B4" s="22" t="s">
        <v>510</v>
      </c>
      <c r="C4" s="22" t="s">
        <v>511</v>
      </c>
      <c r="D4" s="22" t="s">
        <v>512</v>
      </c>
      <c r="E4" s="22">
        <v>2</v>
      </c>
      <c r="F4" s="22" t="s">
        <v>325</v>
      </c>
      <c r="G4" s="22">
        <v>-195</v>
      </c>
      <c r="H4" s="22">
        <v>93</v>
      </c>
      <c r="I4" s="22">
        <v>4</v>
      </c>
      <c r="J4" s="22">
        <f t="shared" si="0"/>
        <v>228</v>
      </c>
      <c r="K4" s="22">
        <f t="shared" si="1"/>
        <v>6</v>
      </c>
      <c r="L4" s="22">
        <f t="shared" si="2"/>
        <v>222</v>
      </c>
      <c r="M4" s="22">
        <f t="shared" si="3"/>
        <v>1252</v>
      </c>
      <c r="N4" s="24">
        <f t="shared" si="4"/>
        <v>0.17731629392971246</v>
      </c>
      <c r="O4" s="22" t="s">
        <v>513</v>
      </c>
    </row>
    <row r="5" spans="1:15" ht="15" customHeight="1" x14ac:dyDescent="0.25">
      <c r="A5" s="22" t="s">
        <v>247</v>
      </c>
      <c r="B5" s="22" t="s">
        <v>510</v>
      </c>
      <c r="C5" s="22" t="s">
        <v>511</v>
      </c>
      <c r="D5" s="22" t="s">
        <v>512</v>
      </c>
      <c r="E5" s="22">
        <v>3</v>
      </c>
      <c r="F5" s="22" t="s">
        <v>464</v>
      </c>
      <c r="G5" s="22">
        <v>-180</v>
      </c>
      <c r="H5" s="22">
        <v>133</v>
      </c>
      <c r="I5" s="22">
        <v>4</v>
      </c>
      <c r="J5" s="22">
        <f t="shared" si="0"/>
        <v>361</v>
      </c>
      <c r="K5" s="22">
        <f t="shared" si="1"/>
        <v>10</v>
      </c>
      <c r="L5" s="22">
        <f t="shared" si="2"/>
        <v>351</v>
      </c>
      <c r="M5" s="22">
        <f t="shared" si="3"/>
        <v>1252</v>
      </c>
      <c r="N5" s="24">
        <f t="shared" si="4"/>
        <v>0.28035143769968052</v>
      </c>
      <c r="O5" s="22" t="s">
        <v>513</v>
      </c>
    </row>
    <row r="6" spans="1:15" ht="15" customHeight="1" x14ac:dyDescent="0.25">
      <c r="A6" s="22" t="s">
        <v>247</v>
      </c>
      <c r="B6" s="22" t="s">
        <v>510</v>
      </c>
      <c r="C6" s="22" t="s">
        <v>511</v>
      </c>
      <c r="D6" s="22" t="s">
        <v>512</v>
      </c>
      <c r="E6" s="22">
        <v>4</v>
      </c>
      <c r="F6" s="22" t="s">
        <v>465</v>
      </c>
      <c r="G6" s="22">
        <v>-165</v>
      </c>
      <c r="H6" s="22">
        <v>143</v>
      </c>
      <c r="I6" s="22">
        <v>7</v>
      </c>
      <c r="J6" s="22">
        <f t="shared" si="0"/>
        <v>504</v>
      </c>
      <c r="K6" s="22">
        <f t="shared" si="1"/>
        <v>17</v>
      </c>
      <c r="L6" s="22">
        <f t="shared" si="2"/>
        <v>487</v>
      </c>
      <c r="M6" s="22">
        <f t="shared" si="3"/>
        <v>1252</v>
      </c>
      <c r="N6" s="24">
        <f t="shared" si="4"/>
        <v>0.38897763578274758</v>
      </c>
      <c r="O6" s="22" t="s">
        <v>513</v>
      </c>
    </row>
    <row r="7" spans="1:15" ht="15" customHeight="1" x14ac:dyDescent="0.25">
      <c r="A7" s="22" t="s">
        <v>247</v>
      </c>
      <c r="B7" s="22" t="s">
        <v>510</v>
      </c>
      <c r="C7" s="22" t="s">
        <v>511</v>
      </c>
      <c r="D7" s="22" t="s">
        <v>512</v>
      </c>
      <c r="E7" s="22">
        <v>5</v>
      </c>
      <c r="F7" s="22" t="s">
        <v>466</v>
      </c>
      <c r="G7" s="22">
        <v>-150</v>
      </c>
      <c r="H7" s="22">
        <v>174</v>
      </c>
      <c r="I7" s="22">
        <v>28</v>
      </c>
      <c r="J7" s="22">
        <f t="shared" si="0"/>
        <v>678</v>
      </c>
      <c r="K7" s="22">
        <f t="shared" si="1"/>
        <v>45</v>
      </c>
      <c r="L7" s="22">
        <f t="shared" si="2"/>
        <v>633</v>
      </c>
      <c r="M7" s="22">
        <f t="shared" si="3"/>
        <v>1252</v>
      </c>
      <c r="N7" s="24">
        <f t="shared" si="4"/>
        <v>0.50559105431309903</v>
      </c>
      <c r="O7" s="22" t="s">
        <v>513</v>
      </c>
    </row>
    <row r="8" spans="1:15" ht="15" customHeight="1" x14ac:dyDescent="0.25">
      <c r="A8" s="22" t="s">
        <v>247</v>
      </c>
      <c r="B8" s="22" t="s">
        <v>510</v>
      </c>
      <c r="C8" s="22" t="s">
        <v>511</v>
      </c>
      <c r="D8" s="22" t="s">
        <v>512</v>
      </c>
      <c r="E8" s="22">
        <v>6</v>
      </c>
      <c r="F8" s="22" t="s">
        <v>467</v>
      </c>
      <c r="G8" s="22">
        <v>-135</v>
      </c>
      <c r="H8" s="22">
        <v>154</v>
      </c>
      <c r="I8" s="22">
        <v>24</v>
      </c>
      <c r="J8" s="22">
        <f t="shared" si="0"/>
        <v>832</v>
      </c>
      <c r="K8" s="22">
        <f t="shared" si="1"/>
        <v>69</v>
      </c>
      <c r="L8" s="22">
        <f t="shared" si="2"/>
        <v>763</v>
      </c>
      <c r="M8" s="22">
        <f t="shared" si="3"/>
        <v>1252</v>
      </c>
      <c r="N8" s="24">
        <f t="shared" si="4"/>
        <v>0.60942492012779548</v>
      </c>
      <c r="O8" s="22" t="s">
        <v>513</v>
      </c>
    </row>
    <row r="9" spans="1:15" ht="15" customHeight="1" x14ac:dyDescent="0.25">
      <c r="A9" s="22" t="s">
        <v>247</v>
      </c>
      <c r="B9" s="22" t="s">
        <v>510</v>
      </c>
      <c r="C9" s="22" t="s">
        <v>511</v>
      </c>
      <c r="D9" s="22" t="s">
        <v>512</v>
      </c>
      <c r="E9" s="22">
        <v>7</v>
      </c>
      <c r="F9" s="22" t="s">
        <v>212</v>
      </c>
      <c r="G9" s="22">
        <v>-120</v>
      </c>
      <c r="H9" s="22">
        <v>135</v>
      </c>
      <c r="I9" s="22">
        <v>38</v>
      </c>
      <c r="J9" s="22">
        <f t="shared" si="0"/>
        <v>967</v>
      </c>
      <c r="K9" s="22">
        <f t="shared" si="1"/>
        <v>107</v>
      </c>
      <c r="L9" s="22">
        <f t="shared" si="2"/>
        <v>860</v>
      </c>
      <c r="M9" s="22">
        <f t="shared" si="3"/>
        <v>1252</v>
      </c>
      <c r="N9" s="24">
        <f t="shared" si="4"/>
        <v>0.68690095846645371</v>
      </c>
      <c r="O9" s="22" t="s">
        <v>513</v>
      </c>
    </row>
    <row r="10" spans="1:15" ht="15" customHeight="1" x14ac:dyDescent="0.25">
      <c r="A10" s="22" t="s">
        <v>247</v>
      </c>
      <c r="B10" s="22" t="s">
        <v>510</v>
      </c>
      <c r="C10" s="22" t="s">
        <v>511</v>
      </c>
      <c r="D10" s="22" t="s">
        <v>512</v>
      </c>
      <c r="E10" s="22">
        <v>8</v>
      </c>
      <c r="F10" s="22" t="s">
        <v>226</v>
      </c>
      <c r="G10" s="22">
        <v>-105</v>
      </c>
      <c r="H10" s="22">
        <v>100</v>
      </c>
      <c r="I10" s="22">
        <v>64</v>
      </c>
      <c r="J10" s="22">
        <f t="shared" si="0"/>
        <v>1067</v>
      </c>
      <c r="K10" s="22">
        <f t="shared" si="1"/>
        <v>171</v>
      </c>
      <c r="L10" s="22">
        <f t="shared" si="2"/>
        <v>896</v>
      </c>
      <c r="M10" s="22">
        <f t="shared" si="3"/>
        <v>1252</v>
      </c>
      <c r="N10" s="24">
        <f t="shared" si="4"/>
        <v>0.71565495207667729</v>
      </c>
      <c r="O10" s="22" t="s">
        <v>513</v>
      </c>
    </row>
    <row r="11" spans="1:15" ht="15" customHeight="1" x14ac:dyDescent="0.25">
      <c r="A11" s="22" t="s">
        <v>247</v>
      </c>
      <c r="B11" s="22" t="s">
        <v>510</v>
      </c>
      <c r="C11" s="22" t="s">
        <v>511</v>
      </c>
      <c r="D11" s="22" t="s">
        <v>512</v>
      </c>
      <c r="E11" s="22">
        <v>9</v>
      </c>
      <c r="F11" s="22" t="s">
        <v>264</v>
      </c>
      <c r="G11" s="22">
        <v>-90</v>
      </c>
      <c r="H11" s="22">
        <v>61</v>
      </c>
      <c r="I11" s="22">
        <v>73</v>
      </c>
      <c r="J11" s="22">
        <f t="shared" si="0"/>
        <v>1128</v>
      </c>
      <c r="K11" s="22">
        <f t="shared" si="1"/>
        <v>244</v>
      </c>
      <c r="L11" s="22">
        <f t="shared" si="2"/>
        <v>884</v>
      </c>
      <c r="M11" s="22">
        <f t="shared" si="3"/>
        <v>1252</v>
      </c>
      <c r="N11" s="24">
        <f t="shared" si="4"/>
        <v>0.70607028753993606</v>
      </c>
      <c r="O11" s="22" t="s">
        <v>513</v>
      </c>
    </row>
    <row r="12" spans="1:15" ht="15" customHeight="1" x14ac:dyDescent="0.25">
      <c r="A12" s="22" t="s">
        <v>247</v>
      </c>
      <c r="B12" s="22" t="s">
        <v>510</v>
      </c>
      <c r="C12" s="22" t="s">
        <v>511</v>
      </c>
      <c r="D12" s="22" t="s">
        <v>512</v>
      </c>
      <c r="E12" s="22">
        <v>10</v>
      </c>
      <c r="F12" s="22" t="s">
        <v>191</v>
      </c>
      <c r="G12" s="22">
        <v>-75</v>
      </c>
      <c r="H12" s="22">
        <v>28</v>
      </c>
      <c r="I12" s="22">
        <v>94</v>
      </c>
      <c r="J12" s="22">
        <f t="shared" si="0"/>
        <v>1156</v>
      </c>
      <c r="K12" s="22">
        <f t="shared" si="1"/>
        <v>338</v>
      </c>
      <c r="L12" s="22">
        <f t="shared" si="2"/>
        <v>818</v>
      </c>
      <c r="M12" s="22">
        <f t="shared" si="3"/>
        <v>1252</v>
      </c>
      <c r="N12" s="24">
        <f t="shared" si="4"/>
        <v>0.65335463258785942</v>
      </c>
      <c r="O12" s="22" t="s">
        <v>513</v>
      </c>
    </row>
    <row r="13" spans="1:15" ht="15" customHeight="1" x14ac:dyDescent="0.25">
      <c r="A13" s="22" t="s">
        <v>247</v>
      </c>
      <c r="B13" s="22" t="s">
        <v>510</v>
      </c>
      <c r="C13" s="22" t="s">
        <v>511</v>
      </c>
      <c r="D13" s="22" t="s">
        <v>512</v>
      </c>
      <c r="E13" s="22">
        <v>11</v>
      </c>
      <c r="F13" s="22" t="s">
        <v>231</v>
      </c>
      <c r="G13" s="22">
        <v>-60</v>
      </c>
      <c r="H13" s="22">
        <v>36</v>
      </c>
      <c r="I13" s="22">
        <v>146</v>
      </c>
      <c r="J13" s="22">
        <f t="shared" si="0"/>
        <v>1192</v>
      </c>
      <c r="K13" s="22">
        <f t="shared" si="1"/>
        <v>484</v>
      </c>
      <c r="L13" s="22">
        <f t="shared" si="2"/>
        <v>708</v>
      </c>
      <c r="M13" s="22">
        <f t="shared" si="3"/>
        <v>1252</v>
      </c>
      <c r="N13" s="24">
        <f t="shared" si="4"/>
        <v>0.56549520766773165</v>
      </c>
      <c r="O13" s="22" t="s">
        <v>513</v>
      </c>
    </row>
    <row r="14" spans="1:15" ht="15" customHeight="1" x14ac:dyDescent="0.25">
      <c r="A14" s="22" t="s">
        <v>247</v>
      </c>
      <c r="B14" s="22" t="s">
        <v>510</v>
      </c>
      <c r="C14" s="22" t="s">
        <v>511</v>
      </c>
      <c r="D14" s="22" t="s">
        <v>512</v>
      </c>
      <c r="E14" s="22">
        <v>12</v>
      </c>
      <c r="F14" s="22" t="s">
        <v>239</v>
      </c>
      <c r="G14" s="22">
        <v>-45</v>
      </c>
      <c r="H14" s="22">
        <v>20</v>
      </c>
      <c r="I14" s="22">
        <v>162</v>
      </c>
      <c r="J14" s="22">
        <f t="shared" si="0"/>
        <v>1212</v>
      </c>
      <c r="K14" s="22">
        <f t="shared" si="1"/>
        <v>646</v>
      </c>
      <c r="L14" s="22">
        <f t="shared" si="2"/>
        <v>566</v>
      </c>
      <c r="M14" s="22">
        <f t="shared" si="3"/>
        <v>1252</v>
      </c>
      <c r="N14" s="24">
        <f t="shared" si="4"/>
        <v>0.45207667731629392</v>
      </c>
      <c r="O14" s="22" t="s">
        <v>513</v>
      </c>
    </row>
    <row r="15" spans="1:15" ht="15" customHeight="1" x14ac:dyDescent="0.25">
      <c r="A15" s="22" t="s">
        <v>247</v>
      </c>
      <c r="B15" s="22" t="s">
        <v>510</v>
      </c>
      <c r="C15" s="22" t="s">
        <v>511</v>
      </c>
      <c r="D15" s="22" t="s">
        <v>512</v>
      </c>
      <c r="E15" s="22">
        <v>13</v>
      </c>
      <c r="F15" s="22" t="s">
        <v>387</v>
      </c>
      <c r="G15" s="22">
        <v>-30</v>
      </c>
      <c r="H15" s="22">
        <v>11</v>
      </c>
      <c r="I15" s="22">
        <v>184</v>
      </c>
      <c r="J15" s="22">
        <f t="shared" si="0"/>
        <v>1223</v>
      </c>
      <c r="K15" s="22">
        <f t="shared" si="1"/>
        <v>830</v>
      </c>
      <c r="L15" s="22">
        <f t="shared" si="2"/>
        <v>393</v>
      </c>
      <c r="M15" s="22">
        <f t="shared" si="3"/>
        <v>1252</v>
      </c>
      <c r="N15" s="24">
        <f t="shared" si="4"/>
        <v>0.31389776357827476</v>
      </c>
      <c r="O15" s="22" t="s">
        <v>513</v>
      </c>
    </row>
    <row r="16" spans="1:15" ht="15" customHeight="1" x14ac:dyDescent="0.25">
      <c r="A16" s="22" t="s">
        <v>247</v>
      </c>
      <c r="B16" s="22" t="s">
        <v>510</v>
      </c>
      <c r="C16" s="22" t="s">
        <v>511</v>
      </c>
      <c r="D16" s="22" t="s">
        <v>512</v>
      </c>
      <c r="E16" s="22">
        <v>14</v>
      </c>
      <c r="F16" s="22" t="s">
        <v>468</v>
      </c>
      <c r="G16" s="22">
        <v>-15</v>
      </c>
      <c r="H16" s="22">
        <v>8</v>
      </c>
      <c r="I16" s="22">
        <v>111</v>
      </c>
      <c r="J16" s="22">
        <f t="shared" si="0"/>
        <v>1231</v>
      </c>
      <c r="K16" s="22">
        <f t="shared" si="1"/>
        <v>941</v>
      </c>
      <c r="L16" s="22">
        <f t="shared" si="2"/>
        <v>290</v>
      </c>
      <c r="M16" s="22">
        <f t="shared" si="3"/>
        <v>1252</v>
      </c>
      <c r="N16" s="24">
        <f t="shared" si="4"/>
        <v>0.23162939297124602</v>
      </c>
      <c r="O16" s="22" t="s">
        <v>513</v>
      </c>
    </row>
    <row r="17" spans="1:15" ht="15" customHeight="1" x14ac:dyDescent="0.25">
      <c r="A17" s="22" t="s">
        <v>247</v>
      </c>
      <c r="B17" s="22" t="s">
        <v>510</v>
      </c>
      <c r="C17" s="22" t="s">
        <v>511</v>
      </c>
      <c r="D17" s="22" t="s">
        <v>512</v>
      </c>
      <c r="E17" s="22">
        <v>15</v>
      </c>
      <c r="F17" s="22" t="s">
        <v>469</v>
      </c>
      <c r="G17" s="22">
        <v>0</v>
      </c>
      <c r="H17" s="22">
        <v>12</v>
      </c>
      <c r="I17" s="22">
        <v>87</v>
      </c>
      <c r="J17" s="22">
        <f t="shared" si="0"/>
        <v>1243</v>
      </c>
      <c r="K17" s="22">
        <f t="shared" si="1"/>
        <v>1028</v>
      </c>
      <c r="L17" s="22">
        <f t="shared" si="2"/>
        <v>215</v>
      </c>
      <c r="M17" s="22">
        <f t="shared" si="3"/>
        <v>1252</v>
      </c>
      <c r="N17" s="24">
        <f t="shared" si="4"/>
        <v>0.17172523961661343</v>
      </c>
      <c r="O17" s="22" t="s">
        <v>513</v>
      </c>
    </row>
    <row r="18" spans="1:15" ht="15" customHeight="1" x14ac:dyDescent="0.25">
      <c r="A18" s="22" t="s">
        <v>247</v>
      </c>
      <c r="B18" s="22" t="s">
        <v>510</v>
      </c>
      <c r="C18" s="22" t="s">
        <v>511</v>
      </c>
      <c r="D18" s="22" t="s">
        <v>512</v>
      </c>
      <c r="E18" s="22">
        <v>16</v>
      </c>
      <c r="F18" s="22" t="s">
        <v>351</v>
      </c>
      <c r="G18" s="22">
        <v>15</v>
      </c>
      <c r="H18" s="22">
        <v>3</v>
      </c>
      <c r="I18" s="22">
        <v>60</v>
      </c>
      <c r="J18" s="22">
        <f t="shared" si="0"/>
        <v>1246</v>
      </c>
      <c r="K18" s="22">
        <f t="shared" si="1"/>
        <v>1088</v>
      </c>
      <c r="L18" s="22">
        <f t="shared" si="2"/>
        <v>158</v>
      </c>
      <c r="M18" s="22">
        <f t="shared" si="3"/>
        <v>1252</v>
      </c>
      <c r="N18" s="24">
        <f t="shared" si="4"/>
        <v>0.12619808306709265</v>
      </c>
      <c r="O18" s="22" t="s">
        <v>513</v>
      </c>
    </row>
    <row r="19" spans="1:15" ht="15" customHeight="1" x14ac:dyDescent="0.25">
      <c r="A19" s="22" t="s">
        <v>247</v>
      </c>
      <c r="B19" s="22" t="s">
        <v>510</v>
      </c>
      <c r="C19" s="22" t="s">
        <v>511</v>
      </c>
      <c r="D19" s="22" t="s">
        <v>512</v>
      </c>
      <c r="E19" s="22">
        <v>17</v>
      </c>
      <c r="F19" s="22" t="s">
        <v>311</v>
      </c>
      <c r="G19" s="22">
        <v>30</v>
      </c>
      <c r="H19" s="22">
        <v>3</v>
      </c>
      <c r="I19" s="22">
        <v>64</v>
      </c>
      <c r="J19" s="22">
        <f t="shared" si="0"/>
        <v>1249</v>
      </c>
      <c r="K19" s="22">
        <f t="shared" si="1"/>
        <v>1152</v>
      </c>
      <c r="L19" s="22">
        <f t="shared" si="2"/>
        <v>97</v>
      </c>
      <c r="M19" s="22">
        <f t="shared" si="3"/>
        <v>1252</v>
      </c>
      <c r="N19" s="24">
        <f t="shared" si="4"/>
        <v>7.747603833865814E-2</v>
      </c>
      <c r="O19" s="22" t="s">
        <v>513</v>
      </c>
    </row>
    <row r="20" spans="1:15" ht="15" customHeight="1" x14ac:dyDescent="0.25">
      <c r="A20" s="22" t="s">
        <v>247</v>
      </c>
      <c r="B20" s="22" t="s">
        <v>510</v>
      </c>
      <c r="C20" s="22" t="s">
        <v>511</v>
      </c>
      <c r="D20" s="22" t="s">
        <v>512</v>
      </c>
      <c r="E20" s="22">
        <v>18</v>
      </c>
      <c r="F20" s="22" t="s">
        <v>211</v>
      </c>
      <c r="G20" s="22">
        <v>45</v>
      </c>
      <c r="H20" s="22">
        <v>2</v>
      </c>
      <c r="I20" s="22">
        <v>47</v>
      </c>
      <c r="J20" s="22">
        <f t="shared" si="0"/>
        <v>1251</v>
      </c>
      <c r="K20" s="22">
        <f t="shared" si="1"/>
        <v>1199</v>
      </c>
      <c r="L20" s="22">
        <f t="shared" si="2"/>
        <v>52</v>
      </c>
      <c r="M20" s="22">
        <f t="shared" si="3"/>
        <v>1252</v>
      </c>
      <c r="N20" s="24">
        <f t="shared" si="4"/>
        <v>4.1533546325878593E-2</v>
      </c>
      <c r="O20" s="22" t="s">
        <v>513</v>
      </c>
    </row>
    <row r="21" spans="1:15" ht="15" customHeight="1" x14ac:dyDescent="0.25">
      <c r="A21" s="22" t="s">
        <v>247</v>
      </c>
      <c r="B21" s="22" t="s">
        <v>510</v>
      </c>
      <c r="C21" s="22" t="s">
        <v>511</v>
      </c>
      <c r="D21" s="22" t="s">
        <v>512</v>
      </c>
      <c r="E21" s="22">
        <v>19</v>
      </c>
      <c r="F21" s="22" t="s">
        <v>190</v>
      </c>
      <c r="G21" s="22">
        <v>60</v>
      </c>
      <c r="H21" s="22">
        <v>1</v>
      </c>
      <c r="I21" s="22">
        <v>18</v>
      </c>
      <c r="J21" s="22">
        <f t="shared" si="0"/>
        <v>1252</v>
      </c>
      <c r="K21" s="22">
        <f t="shared" si="1"/>
        <v>1217</v>
      </c>
      <c r="L21" s="22">
        <f t="shared" si="2"/>
        <v>35</v>
      </c>
      <c r="M21" s="22">
        <f t="shared" si="3"/>
        <v>1252</v>
      </c>
      <c r="N21" s="24">
        <f t="shared" si="4"/>
        <v>2.7955271565495207E-2</v>
      </c>
      <c r="O21" s="22" t="s">
        <v>513</v>
      </c>
    </row>
    <row r="22" spans="1:15" ht="15" customHeight="1" x14ac:dyDescent="0.25">
      <c r="A22" s="22" t="s">
        <v>247</v>
      </c>
      <c r="B22" s="22" t="s">
        <v>514</v>
      </c>
      <c r="C22" s="22" t="s">
        <v>511</v>
      </c>
      <c r="D22" s="22" t="s">
        <v>512</v>
      </c>
      <c r="E22" s="22">
        <v>0</v>
      </c>
      <c r="F22" s="22" t="s">
        <v>189</v>
      </c>
      <c r="G22" s="22"/>
      <c r="H22" s="22">
        <v>61</v>
      </c>
      <c r="I22" s="22">
        <v>0</v>
      </c>
      <c r="J22" s="22">
        <f t="shared" si="0"/>
        <v>61</v>
      </c>
      <c r="K22" s="22">
        <f t="shared" si="1"/>
        <v>0</v>
      </c>
      <c r="L22" s="22">
        <f t="shared" si="2"/>
        <v>61</v>
      </c>
      <c r="M22" s="22">
        <f t="shared" si="3"/>
        <v>1837</v>
      </c>
      <c r="N22" s="24">
        <f t="shared" si="4"/>
        <v>3.3206314643440392E-2</v>
      </c>
      <c r="O22" s="22" t="s">
        <v>515</v>
      </c>
    </row>
    <row r="23" spans="1:15" ht="15" customHeight="1" x14ac:dyDescent="0.25">
      <c r="A23" s="22" t="s">
        <v>247</v>
      </c>
      <c r="B23" s="22" t="s">
        <v>514</v>
      </c>
      <c r="C23" s="22" t="s">
        <v>511</v>
      </c>
      <c r="D23" s="22" t="s">
        <v>512</v>
      </c>
      <c r="E23" s="22">
        <v>1</v>
      </c>
      <c r="F23" s="22" t="s">
        <v>471</v>
      </c>
      <c r="G23" s="22">
        <v>-210</v>
      </c>
      <c r="H23" s="22">
        <v>268</v>
      </c>
      <c r="I23" s="22">
        <v>2</v>
      </c>
      <c r="J23" s="22">
        <f t="shared" si="0"/>
        <v>329</v>
      </c>
      <c r="K23" s="22">
        <f t="shared" si="1"/>
        <v>2</v>
      </c>
      <c r="L23" s="22">
        <f t="shared" si="2"/>
        <v>327</v>
      </c>
      <c r="M23" s="22">
        <f t="shared" si="3"/>
        <v>1837</v>
      </c>
      <c r="N23" s="24">
        <f t="shared" si="4"/>
        <v>0.17800762112139357</v>
      </c>
      <c r="O23" s="22" t="s">
        <v>515</v>
      </c>
    </row>
    <row r="24" spans="1:15" ht="15" customHeight="1" x14ac:dyDescent="0.25">
      <c r="A24" s="22" t="s">
        <v>247</v>
      </c>
      <c r="B24" s="22" t="s">
        <v>514</v>
      </c>
      <c r="C24" s="22" t="s">
        <v>511</v>
      </c>
      <c r="D24" s="22" t="s">
        <v>512</v>
      </c>
      <c r="E24" s="22">
        <v>2</v>
      </c>
      <c r="F24" s="22" t="s">
        <v>325</v>
      </c>
      <c r="G24" s="22">
        <v>-195</v>
      </c>
      <c r="H24" s="22">
        <v>169</v>
      </c>
      <c r="I24" s="22">
        <v>10</v>
      </c>
      <c r="J24" s="22">
        <f t="shared" si="0"/>
        <v>498</v>
      </c>
      <c r="K24" s="22">
        <f t="shared" si="1"/>
        <v>12</v>
      </c>
      <c r="L24" s="22">
        <f t="shared" si="2"/>
        <v>486</v>
      </c>
      <c r="M24" s="22">
        <f t="shared" si="3"/>
        <v>1837</v>
      </c>
      <c r="N24" s="24">
        <f t="shared" si="4"/>
        <v>0.26456178551986936</v>
      </c>
      <c r="O24" s="22" t="s">
        <v>515</v>
      </c>
    </row>
    <row r="25" spans="1:15" ht="15" customHeight="1" x14ac:dyDescent="0.25">
      <c r="A25" s="22" t="s">
        <v>247</v>
      </c>
      <c r="B25" s="22" t="s">
        <v>514</v>
      </c>
      <c r="C25" s="22" t="s">
        <v>511</v>
      </c>
      <c r="D25" s="22" t="s">
        <v>512</v>
      </c>
      <c r="E25" s="22">
        <v>3</v>
      </c>
      <c r="F25" s="22" t="s">
        <v>464</v>
      </c>
      <c r="G25" s="22">
        <v>-180</v>
      </c>
      <c r="H25" s="22">
        <v>215</v>
      </c>
      <c r="I25" s="22">
        <v>9</v>
      </c>
      <c r="J25" s="22">
        <f t="shared" si="0"/>
        <v>713</v>
      </c>
      <c r="K25" s="22">
        <f t="shared" si="1"/>
        <v>21</v>
      </c>
      <c r="L25" s="22">
        <f t="shared" si="2"/>
        <v>692</v>
      </c>
      <c r="M25" s="22">
        <f t="shared" si="3"/>
        <v>1837</v>
      </c>
      <c r="N25" s="24">
        <f t="shared" si="4"/>
        <v>0.37670114316820902</v>
      </c>
      <c r="O25" s="22" t="s">
        <v>515</v>
      </c>
    </row>
    <row r="26" spans="1:15" ht="15" customHeight="1" x14ac:dyDescent="0.25">
      <c r="A26" s="22" t="s">
        <v>247</v>
      </c>
      <c r="B26" s="22" t="s">
        <v>514</v>
      </c>
      <c r="C26" s="22" t="s">
        <v>511</v>
      </c>
      <c r="D26" s="22" t="s">
        <v>512</v>
      </c>
      <c r="E26" s="22">
        <v>4</v>
      </c>
      <c r="F26" s="22" t="s">
        <v>465</v>
      </c>
      <c r="G26" s="22">
        <v>-165</v>
      </c>
      <c r="H26" s="22">
        <v>242</v>
      </c>
      <c r="I26" s="22">
        <v>9</v>
      </c>
      <c r="J26" s="22">
        <f t="shared" si="0"/>
        <v>955</v>
      </c>
      <c r="K26" s="22">
        <f t="shared" si="1"/>
        <v>30</v>
      </c>
      <c r="L26" s="22">
        <f t="shared" si="2"/>
        <v>925</v>
      </c>
      <c r="M26" s="22">
        <f t="shared" si="3"/>
        <v>1837</v>
      </c>
      <c r="N26" s="24">
        <f t="shared" si="4"/>
        <v>0.50353837778987476</v>
      </c>
      <c r="O26" s="22" t="s">
        <v>515</v>
      </c>
    </row>
    <row r="27" spans="1:15" ht="15" customHeight="1" x14ac:dyDescent="0.25">
      <c r="A27" s="22" t="s">
        <v>247</v>
      </c>
      <c r="B27" s="22" t="s">
        <v>514</v>
      </c>
      <c r="C27" s="22" t="s">
        <v>511</v>
      </c>
      <c r="D27" s="22" t="s">
        <v>512</v>
      </c>
      <c r="E27" s="22">
        <v>5</v>
      </c>
      <c r="F27" s="22" t="s">
        <v>466</v>
      </c>
      <c r="G27" s="22">
        <v>-150</v>
      </c>
      <c r="H27" s="22">
        <v>229</v>
      </c>
      <c r="I27" s="22">
        <v>31</v>
      </c>
      <c r="J27" s="22">
        <f t="shared" si="0"/>
        <v>1184</v>
      </c>
      <c r="K27" s="22">
        <f t="shared" si="1"/>
        <v>61</v>
      </c>
      <c r="L27" s="22">
        <f t="shared" si="2"/>
        <v>1123</v>
      </c>
      <c r="M27" s="22">
        <f t="shared" si="3"/>
        <v>1837</v>
      </c>
      <c r="N27" s="24">
        <f t="shared" si="4"/>
        <v>0.61132280892759938</v>
      </c>
      <c r="O27" s="22" t="s">
        <v>515</v>
      </c>
    </row>
    <row r="28" spans="1:15" ht="15" customHeight="1" x14ac:dyDescent="0.25">
      <c r="A28" s="22" t="s">
        <v>247</v>
      </c>
      <c r="B28" s="22" t="s">
        <v>514</v>
      </c>
      <c r="C28" s="22" t="s">
        <v>511</v>
      </c>
      <c r="D28" s="22" t="s">
        <v>512</v>
      </c>
      <c r="E28" s="22">
        <v>6</v>
      </c>
      <c r="F28" s="22" t="s">
        <v>467</v>
      </c>
      <c r="G28" s="22">
        <v>-135</v>
      </c>
      <c r="H28" s="22">
        <v>187</v>
      </c>
      <c r="I28" s="22">
        <v>52</v>
      </c>
      <c r="J28" s="22">
        <f t="shared" si="0"/>
        <v>1371</v>
      </c>
      <c r="K28" s="22">
        <f t="shared" si="1"/>
        <v>113</v>
      </c>
      <c r="L28" s="22">
        <f t="shared" si="2"/>
        <v>1258</v>
      </c>
      <c r="M28" s="22">
        <f t="shared" si="3"/>
        <v>1837</v>
      </c>
      <c r="N28" s="24">
        <f t="shared" si="4"/>
        <v>0.68481219379422975</v>
      </c>
      <c r="O28" s="22" t="s">
        <v>515</v>
      </c>
    </row>
    <row r="29" spans="1:15" ht="15" customHeight="1" x14ac:dyDescent="0.25">
      <c r="A29" s="22" t="s">
        <v>247</v>
      </c>
      <c r="B29" s="22" t="s">
        <v>514</v>
      </c>
      <c r="C29" s="22" t="s">
        <v>511</v>
      </c>
      <c r="D29" s="22" t="s">
        <v>512</v>
      </c>
      <c r="E29" s="22">
        <v>7</v>
      </c>
      <c r="F29" s="22" t="s">
        <v>212</v>
      </c>
      <c r="G29" s="22">
        <v>-120</v>
      </c>
      <c r="H29" s="22">
        <v>160</v>
      </c>
      <c r="I29" s="22">
        <v>73</v>
      </c>
      <c r="J29" s="22">
        <f t="shared" si="0"/>
        <v>1531</v>
      </c>
      <c r="K29" s="22">
        <f t="shared" si="1"/>
        <v>186</v>
      </c>
      <c r="L29" s="22">
        <f t="shared" si="2"/>
        <v>1345</v>
      </c>
      <c r="M29" s="22">
        <f t="shared" si="3"/>
        <v>1837</v>
      </c>
      <c r="N29" s="24">
        <f t="shared" si="4"/>
        <v>0.73217201959716927</v>
      </c>
      <c r="O29" s="22" t="s">
        <v>515</v>
      </c>
    </row>
    <row r="30" spans="1:15" ht="15" customHeight="1" x14ac:dyDescent="0.25">
      <c r="A30" s="22" t="s">
        <v>247</v>
      </c>
      <c r="B30" s="22" t="s">
        <v>514</v>
      </c>
      <c r="C30" s="22" t="s">
        <v>511</v>
      </c>
      <c r="D30" s="22" t="s">
        <v>512</v>
      </c>
      <c r="E30" s="22">
        <v>8</v>
      </c>
      <c r="F30" s="22" t="s">
        <v>226</v>
      </c>
      <c r="G30" s="22">
        <v>-105</v>
      </c>
      <c r="H30" s="22">
        <v>112</v>
      </c>
      <c r="I30" s="22">
        <v>132</v>
      </c>
      <c r="J30" s="22">
        <f t="shared" si="0"/>
        <v>1643</v>
      </c>
      <c r="K30" s="22">
        <f t="shared" si="1"/>
        <v>318</v>
      </c>
      <c r="L30" s="22">
        <f t="shared" si="2"/>
        <v>1325</v>
      </c>
      <c r="M30" s="22">
        <f t="shared" si="3"/>
        <v>1837</v>
      </c>
      <c r="N30" s="24">
        <f t="shared" si="4"/>
        <v>0.72128470332063144</v>
      </c>
      <c r="O30" s="22" t="s">
        <v>515</v>
      </c>
    </row>
    <row r="31" spans="1:15" ht="15" customHeight="1" x14ac:dyDescent="0.25">
      <c r="A31" s="22" t="s">
        <v>247</v>
      </c>
      <c r="B31" s="22" t="s">
        <v>514</v>
      </c>
      <c r="C31" s="22" t="s">
        <v>511</v>
      </c>
      <c r="D31" s="22" t="s">
        <v>512</v>
      </c>
      <c r="E31" s="22">
        <v>9</v>
      </c>
      <c r="F31" s="22" t="s">
        <v>264</v>
      </c>
      <c r="G31" s="22">
        <v>-90</v>
      </c>
      <c r="H31" s="22">
        <v>68</v>
      </c>
      <c r="I31" s="22">
        <v>167</v>
      </c>
      <c r="J31" s="22">
        <f t="shared" si="0"/>
        <v>1711</v>
      </c>
      <c r="K31" s="22">
        <f t="shared" si="1"/>
        <v>485</v>
      </c>
      <c r="L31" s="22">
        <f t="shared" si="2"/>
        <v>1226</v>
      </c>
      <c r="M31" s="22">
        <f t="shared" si="3"/>
        <v>1837</v>
      </c>
      <c r="N31" s="24">
        <f t="shared" si="4"/>
        <v>0.66739248775176918</v>
      </c>
      <c r="O31" s="22" t="s">
        <v>515</v>
      </c>
    </row>
    <row r="32" spans="1:15" ht="15" customHeight="1" x14ac:dyDescent="0.25">
      <c r="A32" s="22" t="s">
        <v>247</v>
      </c>
      <c r="B32" s="22" t="s">
        <v>514</v>
      </c>
      <c r="C32" s="22" t="s">
        <v>511</v>
      </c>
      <c r="D32" s="22" t="s">
        <v>512</v>
      </c>
      <c r="E32" s="22">
        <v>10</v>
      </c>
      <c r="F32" s="22" t="s">
        <v>191</v>
      </c>
      <c r="G32" s="22">
        <v>-75</v>
      </c>
      <c r="H32" s="22">
        <v>29</v>
      </c>
      <c r="I32" s="22">
        <v>230</v>
      </c>
      <c r="J32" s="22">
        <f t="shared" si="0"/>
        <v>1740</v>
      </c>
      <c r="K32" s="22">
        <f t="shared" si="1"/>
        <v>715</v>
      </c>
      <c r="L32" s="22">
        <f t="shared" si="2"/>
        <v>1025</v>
      </c>
      <c r="M32" s="22">
        <f t="shared" si="3"/>
        <v>1837</v>
      </c>
      <c r="N32" s="24">
        <f t="shared" si="4"/>
        <v>0.55797495917256401</v>
      </c>
      <c r="O32" s="22" t="s">
        <v>515</v>
      </c>
    </row>
    <row r="33" spans="1:15" ht="15" customHeight="1" x14ac:dyDescent="0.25">
      <c r="A33" s="22" t="s">
        <v>247</v>
      </c>
      <c r="B33" s="22" t="s">
        <v>514</v>
      </c>
      <c r="C33" s="22" t="s">
        <v>511</v>
      </c>
      <c r="D33" s="22" t="s">
        <v>512</v>
      </c>
      <c r="E33" s="22">
        <v>11</v>
      </c>
      <c r="F33" s="22" t="s">
        <v>231</v>
      </c>
      <c r="G33" s="22">
        <v>-60</v>
      </c>
      <c r="H33" s="22">
        <v>36</v>
      </c>
      <c r="I33" s="22">
        <v>211</v>
      </c>
      <c r="J33" s="22">
        <f t="shared" si="0"/>
        <v>1776</v>
      </c>
      <c r="K33" s="22">
        <f t="shared" si="1"/>
        <v>926</v>
      </c>
      <c r="L33" s="22">
        <f t="shared" si="2"/>
        <v>850</v>
      </c>
      <c r="M33" s="22">
        <f t="shared" si="3"/>
        <v>1837</v>
      </c>
      <c r="N33" s="24">
        <f t="shared" si="4"/>
        <v>0.46271094175285793</v>
      </c>
      <c r="O33" s="22" t="s">
        <v>515</v>
      </c>
    </row>
    <row r="34" spans="1:15" ht="15" customHeight="1" x14ac:dyDescent="0.25">
      <c r="A34" s="22" t="s">
        <v>247</v>
      </c>
      <c r="B34" s="22" t="s">
        <v>514</v>
      </c>
      <c r="C34" s="22" t="s">
        <v>511</v>
      </c>
      <c r="D34" s="22" t="s">
        <v>512</v>
      </c>
      <c r="E34" s="22">
        <v>12</v>
      </c>
      <c r="F34" s="22" t="s">
        <v>239</v>
      </c>
      <c r="G34" s="22">
        <v>-45</v>
      </c>
      <c r="H34" s="22">
        <v>20</v>
      </c>
      <c r="I34" s="22">
        <v>233</v>
      </c>
      <c r="J34" s="22">
        <f t="shared" ref="J34:J65" si="5">SUMIFS($H$2:$H$260,$A$2:$A$260,$A34,$B$2:$B$260,$B34,$E$2:$E$260,"&lt;="&amp;$E34)</f>
        <v>1796</v>
      </c>
      <c r="K34" s="22">
        <f t="shared" ref="K34:K65" si="6">SUMIFS($I$2:$I$260,$A$2:$A$260,$A34,$B$2:$B$260,$B34,$E$2:$E$260,"&lt;="&amp;$E34)</f>
        <v>1159</v>
      </c>
      <c r="L34" s="22">
        <f t="shared" ref="L34:L65" si="7">J34-K34</f>
        <v>637</v>
      </c>
      <c r="M34" s="22">
        <f t="shared" ref="M34:M65" si="8">SUMIFS($H$2:$H$260,$A$2:$A$260,$A34,$B$2:$B$260,$B34)</f>
        <v>1837</v>
      </c>
      <c r="N34" s="24">
        <f t="shared" ref="N34:N65" si="9">IF(M34=0,"",L34/M34)</f>
        <v>0.34676102340773002</v>
      </c>
      <c r="O34" s="22" t="s">
        <v>515</v>
      </c>
    </row>
    <row r="35" spans="1:15" ht="15" customHeight="1" x14ac:dyDescent="0.25">
      <c r="A35" s="22" t="s">
        <v>247</v>
      </c>
      <c r="B35" s="22" t="s">
        <v>514</v>
      </c>
      <c r="C35" s="22" t="s">
        <v>511</v>
      </c>
      <c r="D35" s="22" t="s">
        <v>512</v>
      </c>
      <c r="E35" s="22">
        <v>13</v>
      </c>
      <c r="F35" s="22" t="s">
        <v>387</v>
      </c>
      <c r="G35" s="22">
        <v>-30</v>
      </c>
      <c r="H35" s="22">
        <v>11</v>
      </c>
      <c r="I35" s="22">
        <v>215</v>
      </c>
      <c r="J35" s="22">
        <f t="shared" si="5"/>
        <v>1807</v>
      </c>
      <c r="K35" s="22">
        <f t="shared" si="6"/>
        <v>1374</v>
      </c>
      <c r="L35" s="22">
        <f t="shared" si="7"/>
        <v>433</v>
      </c>
      <c r="M35" s="22">
        <f t="shared" si="8"/>
        <v>1837</v>
      </c>
      <c r="N35" s="24">
        <f t="shared" si="9"/>
        <v>0.23571039738704411</v>
      </c>
      <c r="O35" s="22" t="s">
        <v>515</v>
      </c>
    </row>
    <row r="36" spans="1:15" ht="15" customHeight="1" x14ac:dyDescent="0.25">
      <c r="A36" s="22" t="s">
        <v>247</v>
      </c>
      <c r="B36" s="22" t="s">
        <v>514</v>
      </c>
      <c r="C36" s="22" t="s">
        <v>511</v>
      </c>
      <c r="D36" s="22" t="s">
        <v>512</v>
      </c>
      <c r="E36" s="22">
        <v>14</v>
      </c>
      <c r="F36" s="22" t="s">
        <v>468</v>
      </c>
      <c r="G36" s="22">
        <v>-15</v>
      </c>
      <c r="H36" s="22">
        <v>9</v>
      </c>
      <c r="I36" s="22">
        <v>122</v>
      </c>
      <c r="J36" s="22">
        <f t="shared" si="5"/>
        <v>1816</v>
      </c>
      <c r="K36" s="22">
        <f t="shared" si="6"/>
        <v>1496</v>
      </c>
      <c r="L36" s="22">
        <f t="shared" si="7"/>
        <v>320</v>
      </c>
      <c r="M36" s="22">
        <f t="shared" si="8"/>
        <v>1837</v>
      </c>
      <c r="N36" s="24">
        <f t="shared" si="9"/>
        <v>0.17419706042460534</v>
      </c>
      <c r="O36" s="22" t="s">
        <v>515</v>
      </c>
    </row>
    <row r="37" spans="1:15" ht="15" customHeight="1" x14ac:dyDescent="0.25">
      <c r="A37" s="22" t="s">
        <v>247</v>
      </c>
      <c r="B37" s="22" t="s">
        <v>514</v>
      </c>
      <c r="C37" s="22" t="s">
        <v>511</v>
      </c>
      <c r="D37" s="22" t="s">
        <v>512</v>
      </c>
      <c r="E37" s="22">
        <v>15</v>
      </c>
      <c r="F37" s="22" t="s">
        <v>469</v>
      </c>
      <c r="G37" s="22">
        <v>0</v>
      </c>
      <c r="H37" s="22">
        <v>12</v>
      </c>
      <c r="I37" s="22">
        <v>87</v>
      </c>
      <c r="J37" s="22">
        <f t="shared" si="5"/>
        <v>1828</v>
      </c>
      <c r="K37" s="22">
        <f t="shared" si="6"/>
        <v>1583</v>
      </c>
      <c r="L37" s="22">
        <f t="shared" si="7"/>
        <v>245</v>
      </c>
      <c r="M37" s="22">
        <f t="shared" si="8"/>
        <v>1837</v>
      </c>
      <c r="N37" s="24">
        <f t="shared" si="9"/>
        <v>0.13336962438758845</v>
      </c>
      <c r="O37" s="22" t="s">
        <v>515</v>
      </c>
    </row>
    <row r="38" spans="1:15" ht="15" customHeight="1" x14ac:dyDescent="0.25">
      <c r="A38" s="22" t="s">
        <v>247</v>
      </c>
      <c r="B38" s="22" t="s">
        <v>514</v>
      </c>
      <c r="C38" s="22" t="s">
        <v>511</v>
      </c>
      <c r="D38" s="22" t="s">
        <v>512</v>
      </c>
      <c r="E38" s="22">
        <v>16</v>
      </c>
      <c r="F38" s="22" t="s">
        <v>351</v>
      </c>
      <c r="G38" s="22">
        <v>15</v>
      </c>
      <c r="H38" s="22">
        <v>3</v>
      </c>
      <c r="I38" s="22">
        <v>60</v>
      </c>
      <c r="J38" s="22">
        <f t="shared" si="5"/>
        <v>1831</v>
      </c>
      <c r="K38" s="22">
        <f t="shared" si="6"/>
        <v>1643</v>
      </c>
      <c r="L38" s="22">
        <f t="shared" si="7"/>
        <v>188</v>
      </c>
      <c r="M38" s="22">
        <f t="shared" si="8"/>
        <v>1837</v>
      </c>
      <c r="N38" s="24">
        <f t="shared" si="9"/>
        <v>0.10234077299945564</v>
      </c>
      <c r="O38" s="22" t="s">
        <v>515</v>
      </c>
    </row>
    <row r="39" spans="1:15" ht="15" customHeight="1" x14ac:dyDescent="0.25">
      <c r="A39" s="22" t="s">
        <v>247</v>
      </c>
      <c r="B39" s="22" t="s">
        <v>514</v>
      </c>
      <c r="C39" s="22" t="s">
        <v>511</v>
      </c>
      <c r="D39" s="22" t="s">
        <v>512</v>
      </c>
      <c r="E39" s="22">
        <v>17</v>
      </c>
      <c r="F39" s="22" t="s">
        <v>311</v>
      </c>
      <c r="G39" s="22">
        <v>30</v>
      </c>
      <c r="H39" s="22">
        <v>3</v>
      </c>
      <c r="I39" s="22">
        <v>64</v>
      </c>
      <c r="J39" s="22">
        <f t="shared" si="5"/>
        <v>1834</v>
      </c>
      <c r="K39" s="22">
        <f t="shared" si="6"/>
        <v>1707</v>
      </c>
      <c r="L39" s="22">
        <f t="shared" si="7"/>
        <v>127</v>
      </c>
      <c r="M39" s="22">
        <f t="shared" si="8"/>
        <v>1837</v>
      </c>
      <c r="N39" s="24">
        <f t="shared" si="9"/>
        <v>6.9134458356015241E-2</v>
      </c>
      <c r="O39" s="22" t="s">
        <v>515</v>
      </c>
    </row>
    <row r="40" spans="1:15" ht="15" customHeight="1" x14ac:dyDescent="0.25">
      <c r="A40" s="22" t="s">
        <v>247</v>
      </c>
      <c r="B40" s="22" t="s">
        <v>514</v>
      </c>
      <c r="C40" s="22" t="s">
        <v>511</v>
      </c>
      <c r="D40" s="22" t="s">
        <v>512</v>
      </c>
      <c r="E40" s="22">
        <v>18</v>
      </c>
      <c r="F40" s="22" t="s">
        <v>211</v>
      </c>
      <c r="G40" s="22">
        <v>45</v>
      </c>
      <c r="H40" s="22">
        <v>2</v>
      </c>
      <c r="I40" s="22">
        <v>47</v>
      </c>
      <c r="J40" s="22">
        <f t="shared" si="5"/>
        <v>1836</v>
      </c>
      <c r="K40" s="22">
        <f t="shared" si="6"/>
        <v>1754</v>
      </c>
      <c r="L40" s="22">
        <f t="shared" si="7"/>
        <v>82</v>
      </c>
      <c r="M40" s="22">
        <f t="shared" si="8"/>
        <v>1837</v>
      </c>
      <c r="N40" s="24">
        <f t="shared" si="9"/>
        <v>4.463799673380512E-2</v>
      </c>
      <c r="O40" s="22" t="s">
        <v>515</v>
      </c>
    </row>
    <row r="41" spans="1:15" ht="15" customHeight="1" x14ac:dyDescent="0.25">
      <c r="A41" s="22" t="s">
        <v>247</v>
      </c>
      <c r="B41" s="22" t="s">
        <v>514</v>
      </c>
      <c r="C41" s="22" t="s">
        <v>511</v>
      </c>
      <c r="D41" s="22" t="s">
        <v>512</v>
      </c>
      <c r="E41" s="22">
        <v>19</v>
      </c>
      <c r="F41" s="22" t="s">
        <v>190</v>
      </c>
      <c r="G41" s="22">
        <v>60</v>
      </c>
      <c r="H41" s="22">
        <v>1</v>
      </c>
      <c r="I41" s="22">
        <v>18</v>
      </c>
      <c r="J41" s="22">
        <f t="shared" si="5"/>
        <v>1837</v>
      </c>
      <c r="K41" s="22">
        <f t="shared" si="6"/>
        <v>1772</v>
      </c>
      <c r="L41" s="22">
        <f t="shared" si="7"/>
        <v>65</v>
      </c>
      <c r="M41" s="22">
        <f t="shared" si="8"/>
        <v>1837</v>
      </c>
      <c r="N41" s="24">
        <f t="shared" si="9"/>
        <v>3.5383777898747956E-2</v>
      </c>
      <c r="O41" s="22" t="s">
        <v>515</v>
      </c>
    </row>
    <row r="42" spans="1:15" ht="15" customHeight="1" x14ac:dyDescent="0.25">
      <c r="A42" s="22" t="s">
        <v>378</v>
      </c>
      <c r="B42" s="22" t="s">
        <v>510</v>
      </c>
      <c r="C42" s="22" t="s">
        <v>516</v>
      </c>
      <c r="D42" s="22" t="s">
        <v>512</v>
      </c>
      <c r="E42" s="22">
        <v>0</v>
      </c>
      <c r="F42" s="22" t="s">
        <v>189</v>
      </c>
      <c r="G42" s="22"/>
      <c r="H42" s="22">
        <v>68</v>
      </c>
      <c r="I42" s="22">
        <v>18</v>
      </c>
      <c r="J42" s="22">
        <f t="shared" si="5"/>
        <v>68</v>
      </c>
      <c r="K42" s="22">
        <f t="shared" si="6"/>
        <v>18</v>
      </c>
      <c r="L42" s="22">
        <f t="shared" si="7"/>
        <v>50</v>
      </c>
      <c r="M42" s="22">
        <f t="shared" si="8"/>
        <v>245</v>
      </c>
      <c r="N42" s="24">
        <f t="shared" si="9"/>
        <v>0.20408163265306123</v>
      </c>
      <c r="O42" s="22" t="s">
        <v>513</v>
      </c>
    </row>
    <row r="43" spans="1:15" ht="15" customHeight="1" x14ac:dyDescent="0.25">
      <c r="A43" s="22" t="s">
        <v>378</v>
      </c>
      <c r="B43" s="22" t="s">
        <v>510</v>
      </c>
      <c r="C43" s="22" t="s">
        <v>516</v>
      </c>
      <c r="D43" s="22" t="s">
        <v>512</v>
      </c>
      <c r="E43" s="22">
        <v>1</v>
      </c>
      <c r="F43" s="22" t="s">
        <v>471</v>
      </c>
      <c r="G43" s="22">
        <v>-210</v>
      </c>
      <c r="H43" s="22">
        <v>0</v>
      </c>
      <c r="I43" s="22">
        <v>0</v>
      </c>
      <c r="J43" s="22">
        <f t="shared" si="5"/>
        <v>68</v>
      </c>
      <c r="K43" s="22">
        <f t="shared" si="6"/>
        <v>18</v>
      </c>
      <c r="L43" s="22">
        <f t="shared" si="7"/>
        <v>50</v>
      </c>
      <c r="M43" s="22">
        <f t="shared" si="8"/>
        <v>245</v>
      </c>
      <c r="N43" s="24">
        <f t="shared" si="9"/>
        <v>0.20408163265306123</v>
      </c>
      <c r="O43" s="22" t="s">
        <v>513</v>
      </c>
    </row>
    <row r="44" spans="1:15" ht="15" customHeight="1" x14ac:dyDescent="0.25">
      <c r="A44" s="22" t="s">
        <v>378</v>
      </c>
      <c r="B44" s="22" t="s">
        <v>510</v>
      </c>
      <c r="C44" s="22" t="s">
        <v>516</v>
      </c>
      <c r="D44" s="22" t="s">
        <v>512</v>
      </c>
      <c r="E44" s="22">
        <v>2</v>
      </c>
      <c r="F44" s="22" t="s">
        <v>325</v>
      </c>
      <c r="G44" s="22">
        <v>-195</v>
      </c>
      <c r="H44" s="22">
        <v>0</v>
      </c>
      <c r="I44" s="22">
        <v>0</v>
      </c>
      <c r="J44" s="22">
        <f t="shared" si="5"/>
        <v>68</v>
      </c>
      <c r="K44" s="22">
        <f t="shared" si="6"/>
        <v>18</v>
      </c>
      <c r="L44" s="22">
        <f t="shared" si="7"/>
        <v>50</v>
      </c>
      <c r="M44" s="22">
        <f t="shared" si="8"/>
        <v>245</v>
      </c>
      <c r="N44" s="24">
        <f t="shared" si="9"/>
        <v>0.20408163265306123</v>
      </c>
      <c r="O44" s="22" t="s">
        <v>513</v>
      </c>
    </row>
    <row r="45" spans="1:15" ht="15" customHeight="1" x14ac:dyDescent="0.25">
      <c r="A45" s="22" t="s">
        <v>378</v>
      </c>
      <c r="B45" s="22" t="s">
        <v>510</v>
      </c>
      <c r="C45" s="22" t="s">
        <v>516</v>
      </c>
      <c r="D45" s="22" t="s">
        <v>512</v>
      </c>
      <c r="E45" s="22">
        <v>3</v>
      </c>
      <c r="F45" s="22" t="s">
        <v>464</v>
      </c>
      <c r="G45" s="22">
        <v>-180</v>
      </c>
      <c r="H45" s="22">
        <v>9</v>
      </c>
      <c r="I45" s="22">
        <v>3</v>
      </c>
      <c r="J45" s="22">
        <f t="shared" si="5"/>
        <v>77</v>
      </c>
      <c r="K45" s="22">
        <f t="shared" si="6"/>
        <v>21</v>
      </c>
      <c r="L45" s="22">
        <f t="shared" si="7"/>
        <v>56</v>
      </c>
      <c r="M45" s="22">
        <f t="shared" si="8"/>
        <v>245</v>
      </c>
      <c r="N45" s="24">
        <f t="shared" si="9"/>
        <v>0.22857142857142856</v>
      </c>
      <c r="O45" s="22" t="s">
        <v>513</v>
      </c>
    </row>
    <row r="46" spans="1:15" ht="15" customHeight="1" x14ac:dyDescent="0.25">
      <c r="A46" s="22" t="s">
        <v>378</v>
      </c>
      <c r="B46" s="22" t="s">
        <v>510</v>
      </c>
      <c r="C46" s="22" t="s">
        <v>516</v>
      </c>
      <c r="D46" s="22" t="s">
        <v>512</v>
      </c>
      <c r="E46" s="22">
        <v>4</v>
      </c>
      <c r="F46" s="22" t="s">
        <v>465</v>
      </c>
      <c r="G46" s="22">
        <v>-165</v>
      </c>
      <c r="H46" s="22">
        <v>16</v>
      </c>
      <c r="I46" s="22">
        <v>8</v>
      </c>
      <c r="J46" s="22">
        <f t="shared" si="5"/>
        <v>93</v>
      </c>
      <c r="K46" s="22">
        <f t="shared" si="6"/>
        <v>29</v>
      </c>
      <c r="L46" s="22">
        <f t="shared" si="7"/>
        <v>64</v>
      </c>
      <c r="M46" s="22">
        <f t="shared" si="8"/>
        <v>245</v>
      </c>
      <c r="N46" s="24">
        <f t="shared" si="9"/>
        <v>0.26122448979591839</v>
      </c>
      <c r="O46" s="22" t="s">
        <v>513</v>
      </c>
    </row>
    <row r="47" spans="1:15" ht="15" customHeight="1" x14ac:dyDescent="0.25">
      <c r="A47" s="22" t="s">
        <v>378</v>
      </c>
      <c r="B47" s="22" t="s">
        <v>510</v>
      </c>
      <c r="C47" s="22" t="s">
        <v>516</v>
      </c>
      <c r="D47" s="22" t="s">
        <v>512</v>
      </c>
      <c r="E47" s="22">
        <v>5</v>
      </c>
      <c r="F47" s="22" t="s">
        <v>466</v>
      </c>
      <c r="G47" s="22">
        <v>-150</v>
      </c>
      <c r="H47" s="22">
        <v>25</v>
      </c>
      <c r="I47" s="22">
        <v>8</v>
      </c>
      <c r="J47" s="22">
        <f t="shared" si="5"/>
        <v>118</v>
      </c>
      <c r="K47" s="22">
        <f t="shared" si="6"/>
        <v>37</v>
      </c>
      <c r="L47" s="22">
        <f t="shared" si="7"/>
        <v>81</v>
      </c>
      <c r="M47" s="22">
        <f t="shared" si="8"/>
        <v>245</v>
      </c>
      <c r="N47" s="24">
        <f t="shared" si="9"/>
        <v>0.33061224489795921</v>
      </c>
      <c r="O47" s="22" t="s">
        <v>513</v>
      </c>
    </row>
    <row r="48" spans="1:15" ht="15" customHeight="1" x14ac:dyDescent="0.25">
      <c r="A48" s="22" t="s">
        <v>378</v>
      </c>
      <c r="B48" s="22" t="s">
        <v>510</v>
      </c>
      <c r="C48" s="22" t="s">
        <v>516</v>
      </c>
      <c r="D48" s="22" t="s">
        <v>512</v>
      </c>
      <c r="E48" s="22">
        <v>6</v>
      </c>
      <c r="F48" s="22" t="s">
        <v>467</v>
      </c>
      <c r="G48" s="22">
        <v>-135</v>
      </c>
      <c r="H48" s="22">
        <v>21</v>
      </c>
      <c r="I48" s="22">
        <v>5</v>
      </c>
      <c r="J48" s="22">
        <f t="shared" si="5"/>
        <v>139</v>
      </c>
      <c r="K48" s="22">
        <f t="shared" si="6"/>
        <v>42</v>
      </c>
      <c r="L48" s="22">
        <f t="shared" si="7"/>
        <v>97</v>
      </c>
      <c r="M48" s="22">
        <f t="shared" si="8"/>
        <v>245</v>
      </c>
      <c r="N48" s="24">
        <f t="shared" si="9"/>
        <v>0.39591836734693875</v>
      </c>
      <c r="O48" s="22" t="s">
        <v>513</v>
      </c>
    </row>
    <row r="49" spans="1:15" ht="15" customHeight="1" x14ac:dyDescent="0.25">
      <c r="A49" s="22" t="s">
        <v>378</v>
      </c>
      <c r="B49" s="22" t="s">
        <v>510</v>
      </c>
      <c r="C49" s="22" t="s">
        <v>516</v>
      </c>
      <c r="D49" s="22" t="s">
        <v>512</v>
      </c>
      <c r="E49" s="22">
        <v>7</v>
      </c>
      <c r="F49" s="22" t="s">
        <v>212</v>
      </c>
      <c r="G49" s="22">
        <v>-120</v>
      </c>
      <c r="H49" s="22">
        <v>22</v>
      </c>
      <c r="I49" s="22">
        <v>5</v>
      </c>
      <c r="J49" s="22">
        <f t="shared" si="5"/>
        <v>161</v>
      </c>
      <c r="K49" s="22">
        <f t="shared" si="6"/>
        <v>47</v>
      </c>
      <c r="L49" s="22">
        <f t="shared" si="7"/>
        <v>114</v>
      </c>
      <c r="M49" s="22">
        <f t="shared" si="8"/>
        <v>245</v>
      </c>
      <c r="N49" s="24">
        <f t="shared" si="9"/>
        <v>0.46530612244897956</v>
      </c>
      <c r="O49" s="22" t="s">
        <v>513</v>
      </c>
    </row>
    <row r="50" spans="1:15" ht="15" customHeight="1" x14ac:dyDescent="0.25">
      <c r="A50" s="22" t="s">
        <v>378</v>
      </c>
      <c r="B50" s="22" t="s">
        <v>510</v>
      </c>
      <c r="C50" s="22" t="s">
        <v>516</v>
      </c>
      <c r="D50" s="22" t="s">
        <v>512</v>
      </c>
      <c r="E50" s="22">
        <v>8</v>
      </c>
      <c r="F50" s="22" t="s">
        <v>226</v>
      </c>
      <c r="G50" s="22">
        <v>-105</v>
      </c>
      <c r="H50" s="22">
        <v>12</v>
      </c>
      <c r="I50" s="22">
        <v>15</v>
      </c>
      <c r="J50" s="22">
        <f t="shared" si="5"/>
        <v>173</v>
      </c>
      <c r="K50" s="22">
        <f t="shared" si="6"/>
        <v>62</v>
      </c>
      <c r="L50" s="22">
        <f t="shared" si="7"/>
        <v>111</v>
      </c>
      <c r="M50" s="22">
        <f t="shared" si="8"/>
        <v>245</v>
      </c>
      <c r="N50" s="24">
        <f t="shared" si="9"/>
        <v>0.45306122448979591</v>
      </c>
      <c r="O50" s="22" t="s">
        <v>513</v>
      </c>
    </row>
    <row r="51" spans="1:15" ht="15" customHeight="1" x14ac:dyDescent="0.25">
      <c r="A51" s="22" t="s">
        <v>378</v>
      </c>
      <c r="B51" s="22" t="s">
        <v>510</v>
      </c>
      <c r="C51" s="22" t="s">
        <v>516</v>
      </c>
      <c r="D51" s="22" t="s">
        <v>512</v>
      </c>
      <c r="E51" s="22">
        <v>9</v>
      </c>
      <c r="F51" s="22" t="s">
        <v>264</v>
      </c>
      <c r="G51" s="22">
        <v>-90</v>
      </c>
      <c r="H51" s="22">
        <v>13</v>
      </c>
      <c r="I51" s="22">
        <v>7</v>
      </c>
      <c r="J51" s="22">
        <f t="shared" si="5"/>
        <v>186</v>
      </c>
      <c r="K51" s="22">
        <f t="shared" si="6"/>
        <v>69</v>
      </c>
      <c r="L51" s="22">
        <f t="shared" si="7"/>
        <v>117</v>
      </c>
      <c r="M51" s="22">
        <f t="shared" si="8"/>
        <v>245</v>
      </c>
      <c r="N51" s="24">
        <f t="shared" si="9"/>
        <v>0.47755102040816327</v>
      </c>
      <c r="O51" s="22" t="s">
        <v>513</v>
      </c>
    </row>
    <row r="52" spans="1:15" ht="15" customHeight="1" x14ac:dyDescent="0.25">
      <c r="A52" s="22" t="s">
        <v>378</v>
      </c>
      <c r="B52" s="22" t="s">
        <v>510</v>
      </c>
      <c r="C52" s="22" t="s">
        <v>516</v>
      </c>
      <c r="D52" s="22" t="s">
        <v>512</v>
      </c>
      <c r="E52" s="22">
        <v>10</v>
      </c>
      <c r="F52" s="22" t="s">
        <v>191</v>
      </c>
      <c r="G52" s="22">
        <v>-75</v>
      </c>
      <c r="H52" s="22">
        <v>28</v>
      </c>
      <c r="I52" s="22">
        <v>16</v>
      </c>
      <c r="J52" s="22">
        <f t="shared" si="5"/>
        <v>214</v>
      </c>
      <c r="K52" s="22">
        <f t="shared" si="6"/>
        <v>85</v>
      </c>
      <c r="L52" s="22">
        <f t="shared" si="7"/>
        <v>129</v>
      </c>
      <c r="M52" s="22">
        <f t="shared" si="8"/>
        <v>245</v>
      </c>
      <c r="N52" s="24">
        <f t="shared" si="9"/>
        <v>0.52653061224489794</v>
      </c>
      <c r="O52" s="22" t="s">
        <v>513</v>
      </c>
    </row>
    <row r="53" spans="1:15" ht="15" customHeight="1" x14ac:dyDescent="0.25">
      <c r="A53" s="22" t="s">
        <v>378</v>
      </c>
      <c r="B53" s="22" t="s">
        <v>510</v>
      </c>
      <c r="C53" s="22" t="s">
        <v>516</v>
      </c>
      <c r="D53" s="22" t="s">
        <v>512</v>
      </c>
      <c r="E53" s="22">
        <v>11</v>
      </c>
      <c r="F53" s="22" t="s">
        <v>231</v>
      </c>
      <c r="G53" s="22">
        <v>-60</v>
      </c>
      <c r="H53" s="22">
        <v>9</v>
      </c>
      <c r="I53" s="22">
        <v>6</v>
      </c>
      <c r="J53" s="22">
        <f t="shared" si="5"/>
        <v>223</v>
      </c>
      <c r="K53" s="22">
        <f t="shared" si="6"/>
        <v>91</v>
      </c>
      <c r="L53" s="22">
        <f t="shared" si="7"/>
        <v>132</v>
      </c>
      <c r="M53" s="22">
        <f t="shared" si="8"/>
        <v>245</v>
      </c>
      <c r="N53" s="24">
        <f t="shared" si="9"/>
        <v>0.53877551020408165</v>
      </c>
      <c r="O53" s="22" t="s">
        <v>513</v>
      </c>
    </row>
    <row r="54" spans="1:15" ht="15" customHeight="1" x14ac:dyDescent="0.25">
      <c r="A54" s="22" t="s">
        <v>378</v>
      </c>
      <c r="B54" s="22" t="s">
        <v>510</v>
      </c>
      <c r="C54" s="22" t="s">
        <v>516</v>
      </c>
      <c r="D54" s="22" t="s">
        <v>512</v>
      </c>
      <c r="E54" s="22">
        <v>12</v>
      </c>
      <c r="F54" s="22" t="s">
        <v>239</v>
      </c>
      <c r="G54" s="22">
        <v>-45</v>
      </c>
      <c r="H54" s="22">
        <v>4</v>
      </c>
      <c r="I54" s="22">
        <v>18</v>
      </c>
      <c r="J54" s="22">
        <f t="shared" si="5"/>
        <v>227</v>
      </c>
      <c r="K54" s="22">
        <f t="shared" si="6"/>
        <v>109</v>
      </c>
      <c r="L54" s="22">
        <f t="shared" si="7"/>
        <v>118</v>
      </c>
      <c r="M54" s="22">
        <f t="shared" si="8"/>
        <v>245</v>
      </c>
      <c r="N54" s="24">
        <f t="shared" si="9"/>
        <v>0.48163265306122449</v>
      </c>
      <c r="O54" s="22" t="s">
        <v>513</v>
      </c>
    </row>
    <row r="55" spans="1:15" ht="15" customHeight="1" x14ac:dyDescent="0.25">
      <c r="A55" s="22" t="s">
        <v>378</v>
      </c>
      <c r="B55" s="22" t="s">
        <v>510</v>
      </c>
      <c r="C55" s="22" t="s">
        <v>516</v>
      </c>
      <c r="D55" s="22" t="s">
        <v>512</v>
      </c>
      <c r="E55" s="22">
        <v>13</v>
      </c>
      <c r="F55" s="22" t="s">
        <v>387</v>
      </c>
      <c r="G55" s="22">
        <v>-30</v>
      </c>
      <c r="H55" s="22">
        <v>5</v>
      </c>
      <c r="I55" s="22">
        <v>28</v>
      </c>
      <c r="J55" s="22">
        <f t="shared" si="5"/>
        <v>232</v>
      </c>
      <c r="K55" s="22">
        <f t="shared" si="6"/>
        <v>137</v>
      </c>
      <c r="L55" s="22">
        <f t="shared" si="7"/>
        <v>95</v>
      </c>
      <c r="M55" s="22">
        <f t="shared" si="8"/>
        <v>245</v>
      </c>
      <c r="N55" s="24">
        <f t="shared" si="9"/>
        <v>0.38775510204081631</v>
      </c>
      <c r="O55" s="22" t="s">
        <v>513</v>
      </c>
    </row>
    <row r="56" spans="1:15" ht="15" customHeight="1" x14ac:dyDescent="0.25">
      <c r="A56" s="22" t="s">
        <v>378</v>
      </c>
      <c r="B56" s="22" t="s">
        <v>510</v>
      </c>
      <c r="C56" s="22" t="s">
        <v>516</v>
      </c>
      <c r="D56" s="22" t="s">
        <v>512</v>
      </c>
      <c r="E56" s="22">
        <v>14</v>
      </c>
      <c r="F56" s="22" t="s">
        <v>468</v>
      </c>
      <c r="G56" s="22">
        <v>-15</v>
      </c>
      <c r="H56" s="22">
        <v>5</v>
      </c>
      <c r="I56" s="22">
        <v>29</v>
      </c>
      <c r="J56" s="22">
        <f t="shared" si="5"/>
        <v>237</v>
      </c>
      <c r="K56" s="22">
        <f t="shared" si="6"/>
        <v>166</v>
      </c>
      <c r="L56" s="22">
        <f t="shared" si="7"/>
        <v>71</v>
      </c>
      <c r="M56" s="22">
        <f t="shared" si="8"/>
        <v>245</v>
      </c>
      <c r="N56" s="24">
        <f t="shared" si="9"/>
        <v>0.28979591836734692</v>
      </c>
      <c r="O56" s="22" t="s">
        <v>513</v>
      </c>
    </row>
    <row r="57" spans="1:15" ht="15" customHeight="1" x14ac:dyDescent="0.25">
      <c r="A57" s="22" t="s">
        <v>378</v>
      </c>
      <c r="B57" s="22" t="s">
        <v>510</v>
      </c>
      <c r="C57" s="22" t="s">
        <v>516</v>
      </c>
      <c r="D57" s="22" t="s">
        <v>512</v>
      </c>
      <c r="E57" s="22">
        <v>15</v>
      </c>
      <c r="F57" s="22" t="s">
        <v>469</v>
      </c>
      <c r="G57" s="22">
        <v>0</v>
      </c>
      <c r="H57" s="22">
        <v>3</v>
      </c>
      <c r="I57" s="22">
        <v>21</v>
      </c>
      <c r="J57" s="22">
        <f t="shared" si="5"/>
        <v>240</v>
      </c>
      <c r="K57" s="22">
        <f t="shared" si="6"/>
        <v>187</v>
      </c>
      <c r="L57" s="22">
        <f t="shared" si="7"/>
        <v>53</v>
      </c>
      <c r="M57" s="22">
        <f t="shared" si="8"/>
        <v>245</v>
      </c>
      <c r="N57" s="24">
        <f t="shared" si="9"/>
        <v>0.21632653061224491</v>
      </c>
      <c r="O57" s="22" t="s">
        <v>513</v>
      </c>
    </row>
    <row r="58" spans="1:15" ht="15" customHeight="1" x14ac:dyDescent="0.25">
      <c r="A58" s="22" t="s">
        <v>378</v>
      </c>
      <c r="B58" s="22" t="s">
        <v>510</v>
      </c>
      <c r="C58" s="22" t="s">
        <v>516</v>
      </c>
      <c r="D58" s="22" t="s">
        <v>512</v>
      </c>
      <c r="E58" s="22">
        <v>16</v>
      </c>
      <c r="F58" s="22" t="s">
        <v>351</v>
      </c>
      <c r="G58" s="22">
        <v>15</v>
      </c>
      <c r="H58" s="22">
        <v>2</v>
      </c>
      <c r="I58" s="22">
        <v>10</v>
      </c>
      <c r="J58" s="22">
        <f t="shared" si="5"/>
        <v>242</v>
      </c>
      <c r="K58" s="22">
        <f t="shared" si="6"/>
        <v>197</v>
      </c>
      <c r="L58" s="22">
        <f t="shared" si="7"/>
        <v>45</v>
      </c>
      <c r="M58" s="22">
        <f t="shared" si="8"/>
        <v>245</v>
      </c>
      <c r="N58" s="24">
        <f t="shared" si="9"/>
        <v>0.18367346938775511</v>
      </c>
      <c r="O58" s="22" t="s">
        <v>513</v>
      </c>
    </row>
    <row r="59" spans="1:15" ht="15" customHeight="1" x14ac:dyDescent="0.25">
      <c r="A59" s="22" t="s">
        <v>378</v>
      </c>
      <c r="B59" s="22" t="s">
        <v>510</v>
      </c>
      <c r="C59" s="22" t="s">
        <v>516</v>
      </c>
      <c r="D59" s="22" t="s">
        <v>512</v>
      </c>
      <c r="E59" s="22">
        <v>17</v>
      </c>
      <c r="F59" s="22" t="s">
        <v>311</v>
      </c>
      <c r="G59" s="22">
        <v>30</v>
      </c>
      <c r="H59" s="22">
        <v>1</v>
      </c>
      <c r="I59" s="22">
        <v>15</v>
      </c>
      <c r="J59" s="22">
        <f t="shared" si="5"/>
        <v>243</v>
      </c>
      <c r="K59" s="22">
        <f t="shared" si="6"/>
        <v>212</v>
      </c>
      <c r="L59" s="22">
        <f t="shared" si="7"/>
        <v>31</v>
      </c>
      <c r="M59" s="22">
        <f t="shared" si="8"/>
        <v>245</v>
      </c>
      <c r="N59" s="24">
        <f t="shared" si="9"/>
        <v>0.12653061224489795</v>
      </c>
      <c r="O59" s="22" t="s">
        <v>513</v>
      </c>
    </row>
    <row r="60" spans="1:15" ht="15" customHeight="1" x14ac:dyDescent="0.25">
      <c r="A60" s="22" t="s">
        <v>378</v>
      </c>
      <c r="B60" s="22" t="s">
        <v>510</v>
      </c>
      <c r="C60" s="22" t="s">
        <v>516</v>
      </c>
      <c r="D60" s="22" t="s">
        <v>512</v>
      </c>
      <c r="E60" s="22">
        <v>18</v>
      </c>
      <c r="F60" s="22" t="s">
        <v>211</v>
      </c>
      <c r="G60" s="22">
        <v>45</v>
      </c>
      <c r="H60" s="22">
        <v>2</v>
      </c>
      <c r="I60" s="22">
        <v>7</v>
      </c>
      <c r="J60" s="22">
        <f t="shared" si="5"/>
        <v>245</v>
      </c>
      <c r="K60" s="22">
        <f t="shared" si="6"/>
        <v>219</v>
      </c>
      <c r="L60" s="22">
        <f t="shared" si="7"/>
        <v>26</v>
      </c>
      <c r="M60" s="22">
        <f t="shared" si="8"/>
        <v>245</v>
      </c>
      <c r="N60" s="24">
        <f t="shared" si="9"/>
        <v>0.10612244897959183</v>
      </c>
      <c r="O60" s="22" t="s">
        <v>513</v>
      </c>
    </row>
    <row r="61" spans="1:15" ht="15" customHeight="1" x14ac:dyDescent="0.25">
      <c r="A61" s="22" t="s">
        <v>378</v>
      </c>
      <c r="B61" s="22" t="s">
        <v>517</v>
      </c>
      <c r="C61" s="22" t="s">
        <v>511</v>
      </c>
      <c r="D61" s="22" t="s">
        <v>512</v>
      </c>
      <c r="E61" s="22">
        <v>0</v>
      </c>
      <c r="F61" s="22" t="s">
        <v>189</v>
      </c>
      <c r="G61" s="22"/>
      <c r="H61" s="22">
        <v>108</v>
      </c>
      <c r="I61" s="22">
        <v>20</v>
      </c>
      <c r="J61" s="22">
        <f t="shared" si="5"/>
        <v>108</v>
      </c>
      <c r="K61" s="22">
        <f t="shared" si="6"/>
        <v>20</v>
      </c>
      <c r="L61" s="22">
        <f t="shared" si="7"/>
        <v>88</v>
      </c>
      <c r="M61" s="22">
        <f t="shared" si="8"/>
        <v>884</v>
      </c>
      <c r="N61" s="24">
        <f t="shared" si="9"/>
        <v>9.9547511312217188E-2</v>
      </c>
      <c r="O61" s="22" t="s">
        <v>103</v>
      </c>
    </row>
    <row r="62" spans="1:15" ht="15" customHeight="1" x14ac:dyDescent="0.25">
      <c r="A62" s="22" t="s">
        <v>378</v>
      </c>
      <c r="B62" s="22" t="s">
        <v>517</v>
      </c>
      <c r="C62" s="22" t="s">
        <v>511</v>
      </c>
      <c r="D62" s="22" t="s">
        <v>512</v>
      </c>
      <c r="E62" s="22">
        <v>1</v>
      </c>
      <c r="F62" s="22" t="s">
        <v>471</v>
      </c>
      <c r="G62" s="22">
        <v>-210</v>
      </c>
      <c r="H62" s="22">
        <v>0</v>
      </c>
      <c r="I62" s="22">
        <v>0</v>
      </c>
      <c r="J62" s="22">
        <f t="shared" si="5"/>
        <v>108</v>
      </c>
      <c r="K62" s="22">
        <f t="shared" si="6"/>
        <v>20</v>
      </c>
      <c r="L62" s="22">
        <f t="shared" si="7"/>
        <v>88</v>
      </c>
      <c r="M62" s="22">
        <f t="shared" si="8"/>
        <v>884</v>
      </c>
      <c r="N62" s="24">
        <f t="shared" si="9"/>
        <v>9.9547511312217188E-2</v>
      </c>
      <c r="O62" s="22" t="s">
        <v>103</v>
      </c>
    </row>
    <row r="63" spans="1:15" ht="15" customHeight="1" x14ac:dyDescent="0.25">
      <c r="A63" s="22" t="s">
        <v>378</v>
      </c>
      <c r="B63" s="22" t="s">
        <v>517</v>
      </c>
      <c r="C63" s="22" t="s">
        <v>511</v>
      </c>
      <c r="D63" s="22" t="s">
        <v>512</v>
      </c>
      <c r="E63" s="22">
        <v>2</v>
      </c>
      <c r="F63" s="22" t="s">
        <v>325</v>
      </c>
      <c r="G63" s="22">
        <v>-195</v>
      </c>
      <c r="H63" s="22">
        <v>12</v>
      </c>
      <c r="I63" s="22">
        <v>0</v>
      </c>
      <c r="J63" s="22">
        <f t="shared" si="5"/>
        <v>120</v>
      </c>
      <c r="K63" s="22">
        <f t="shared" si="6"/>
        <v>20</v>
      </c>
      <c r="L63" s="22">
        <f t="shared" si="7"/>
        <v>100</v>
      </c>
      <c r="M63" s="22">
        <f t="shared" si="8"/>
        <v>884</v>
      </c>
      <c r="N63" s="24">
        <f t="shared" si="9"/>
        <v>0.11312217194570136</v>
      </c>
      <c r="O63" s="22" t="s">
        <v>103</v>
      </c>
    </row>
    <row r="64" spans="1:15" ht="15" customHeight="1" x14ac:dyDescent="0.25">
      <c r="A64" s="22" t="s">
        <v>378</v>
      </c>
      <c r="B64" s="22" t="s">
        <v>517</v>
      </c>
      <c r="C64" s="22" t="s">
        <v>511</v>
      </c>
      <c r="D64" s="22" t="s">
        <v>512</v>
      </c>
      <c r="E64" s="22">
        <v>3</v>
      </c>
      <c r="F64" s="22" t="s">
        <v>464</v>
      </c>
      <c r="G64" s="22">
        <v>-180</v>
      </c>
      <c r="H64" s="22">
        <v>56</v>
      </c>
      <c r="I64" s="22">
        <v>7</v>
      </c>
      <c r="J64" s="22">
        <f t="shared" si="5"/>
        <v>176</v>
      </c>
      <c r="K64" s="22">
        <f t="shared" si="6"/>
        <v>27</v>
      </c>
      <c r="L64" s="22">
        <f t="shared" si="7"/>
        <v>149</v>
      </c>
      <c r="M64" s="22">
        <f t="shared" si="8"/>
        <v>884</v>
      </c>
      <c r="N64" s="24">
        <f t="shared" si="9"/>
        <v>0.16855203619909503</v>
      </c>
      <c r="O64" s="22" t="s">
        <v>103</v>
      </c>
    </row>
    <row r="65" spans="1:15" ht="15" customHeight="1" x14ac:dyDescent="0.25">
      <c r="A65" s="22" t="s">
        <v>378</v>
      </c>
      <c r="B65" s="22" t="s">
        <v>517</v>
      </c>
      <c r="C65" s="22" t="s">
        <v>511</v>
      </c>
      <c r="D65" s="22" t="s">
        <v>512</v>
      </c>
      <c r="E65" s="22">
        <v>4</v>
      </c>
      <c r="F65" s="22" t="s">
        <v>465</v>
      </c>
      <c r="G65" s="22">
        <v>-165</v>
      </c>
      <c r="H65" s="22">
        <v>73</v>
      </c>
      <c r="I65" s="22">
        <v>14</v>
      </c>
      <c r="J65" s="22">
        <f t="shared" si="5"/>
        <v>249</v>
      </c>
      <c r="K65" s="22">
        <f t="shared" si="6"/>
        <v>41</v>
      </c>
      <c r="L65" s="22">
        <f t="shared" si="7"/>
        <v>208</v>
      </c>
      <c r="M65" s="22">
        <f t="shared" si="8"/>
        <v>884</v>
      </c>
      <c r="N65" s="24">
        <f t="shared" si="9"/>
        <v>0.23529411764705882</v>
      </c>
      <c r="O65" s="22" t="s">
        <v>103</v>
      </c>
    </row>
    <row r="66" spans="1:15" ht="15" customHeight="1" x14ac:dyDescent="0.25">
      <c r="A66" s="22" t="s">
        <v>378</v>
      </c>
      <c r="B66" s="22" t="s">
        <v>517</v>
      </c>
      <c r="C66" s="22" t="s">
        <v>511</v>
      </c>
      <c r="D66" s="22" t="s">
        <v>512</v>
      </c>
      <c r="E66" s="22">
        <v>5</v>
      </c>
      <c r="F66" s="22" t="s">
        <v>466</v>
      </c>
      <c r="G66" s="22">
        <v>-150</v>
      </c>
      <c r="H66" s="22">
        <v>101</v>
      </c>
      <c r="I66" s="22">
        <v>13</v>
      </c>
      <c r="J66" s="22">
        <f t="shared" ref="J66:J97" si="10">SUMIFS($H$2:$H$260,$A$2:$A$260,$A66,$B$2:$B$260,$B66,$E$2:$E$260,"&lt;="&amp;$E66)</f>
        <v>350</v>
      </c>
      <c r="K66" s="22">
        <f t="shared" ref="K66:K97" si="11">SUMIFS($I$2:$I$260,$A$2:$A$260,$A66,$B$2:$B$260,$B66,$E$2:$E$260,"&lt;="&amp;$E66)</f>
        <v>54</v>
      </c>
      <c r="L66" s="22">
        <f t="shared" ref="L66:L97" si="12">J66-K66</f>
        <v>296</v>
      </c>
      <c r="M66" s="22">
        <f t="shared" ref="M66:M97" si="13">SUMIFS($H$2:$H$260,$A$2:$A$260,$A66,$B$2:$B$260,$B66)</f>
        <v>884</v>
      </c>
      <c r="N66" s="24">
        <f t="shared" ref="N66:N97" si="14">IF(M66=0,"",L66/M66)</f>
        <v>0.33484162895927599</v>
      </c>
      <c r="O66" s="22" t="s">
        <v>103</v>
      </c>
    </row>
    <row r="67" spans="1:15" ht="15" customHeight="1" x14ac:dyDescent="0.25">
      <c r="A67" s="22" t="s">
        <v>378</v>
      </c>
      <c r="B67" s="22" t="s">
        <v>517</v>
      </c>
      <c r="C67" s="22" t="s">
        <v>511</v>
      </c>
      <c r="D67" s="22" t="s">
        <v>512</v>
      </c>
      <c r="E67" s="22">
        <v>6</v>
      </c>
      <c r="F67" s="22" t="s">
        <v>467</v>
      </c>
      <c r="G67" s="22">
        <v>-135</v>
      </c>
      <c r="H67" s="22">
        <v>103</v>
      </c>
      <c r="I67" s="22">
        <v>16</v>
      </c>
      <c r="J67" s="22">
        <f t="shared" si="10"/>
        <v>453</v>
      </c>
      <c r="K67" s="22">
        <f t="shared" si="11"/>
        <v>70</v>
      </c>
      <c r="L67" s="22">
        <f t="shared" si="12"/>
        <v>383</v>
      </c>
      <c r="M67" s="22">
        <f t="shared" si="13"/>
        <v>884</v>
      </c>
      <c r="N67" s="24">
        <f t="shared" si="14"/>
        <v>0.43325791855203621</v>
      </c>
      <c r="O67" s="22" t="s">
        <v>103</v>
      </c>
    </row>
    <row r="68" spans="1:15" ht="15" customHeight="1" x14ac:dyDescent="0.25">
      <c r="A68" s="22" t="s">
        <v>378</v>
      </c>
      <c r="B68" s="22" t="s">
        <v>517</v>
      </c>
      <c r="C68" s="22" t="s">
        <v>511</v>
      </c>
      <c r="D68" s="22" t="s">
        <v>512</v>
      </c>
      <c r="E68" s="22">
        <v>7</v>
      </c>
      <c r="F68" s="22" t="s">
        <v>212</v>
      </c>
      <c r="G68" s="22">
        <v>-120</v>
      </c>
      <c r="H68" s="22">
        <v>105</v>
      </c>
      <c r="I68" s="22">
        <v>24</v>
      </c>
      <c r="J68" s="22">
        <f t="shared" si="10"/>
        <v>558</v>
      </c>
      <c r="K68" s="22">
        <f t="shared" si="11"/>
        <v>94</v>
      </c>
      <c r="L68" s="22">
        <f t="shared" si="12"/>
        <v>464</v>
      </c>
      <c r="M68" s="22">
        <f t="shared" si="13"/>
        <v>884</v>
      </c>
      <c r="N68" s="24">
        <f t="shared" si="14"/>
        <v>0.52488687782805432</v>
      </c>
      <c r="O68" s="22" t="s">
        <v>103</v>
      </c>
    </row>
    <row r="69" spans="1:15" ht="15" customHeight="1" x14ac:dyDescent="0.25">
      <c r="A69" s="22" t="s">
        <v>378</v>
      </c>
      <c r="B69" s="22" t="s">
        <v>517</v>
      </c>
      <c r="C69" s="22" t="s">
        <v>511</v>
      </c>
      <c r="D69" s="22" t="s">
        <v>512</v>
      </c>
      <c r="E69" s="22">
        <v>8</v>
      </c>
      <c r="F69" s="22" t="s">
        <v>226</v>
      </c>
      <c r="G69" s="22">
        <v>-105</v>
      </c>
      <c r="H69" s="22">
        <v>75</v>
      </c>
      <c r="I69" s="22">
        <v>64</v>
      </c>
      <c r="J69" s="22">
        <f t="shared" si="10"/>
        <v>633</v>
      </c>
      <c r="K69" s="22">
        <f t="shared" si="11"/>
        <v>158</v>
      </c>
      <c r="L69" s="22">
        <f t="shared" si="12"/>
        <v>475</v>
      </c>
      <c r="M69" s="22">
        <f t="shared" si="13"/>
        <v>884</v>
      </c>
      <c r="N69" s="24">
        <f t="shared" si="14"/>
        <v>0.53733031674208143</v>
      </c>
      <c r="O69" s="22" t="s">
        <v>103</v>
      </c>
    </row>
    <row r="70" spans="1:15" ht="15" customHeight="1" x14ac:dyDescent="0.25">
      <c r="A70" s="22" t="s">
        <v>378</v>
      </c>
      <c r="B70" s="22" t="s">
        <v>517</v>
      </c>
      <c r="C70" s="22" t="s">
        <v>511</v>
      </c>
      <c r="D70" s="22" t="s">
        <v>512</v>
      </c>
      <c r="E70" s="22">
        <v>9</v>
      </c>
      <c r="F70" s="22" t="s">
        <v>264</v>
      </c>
      <c r="G70" s="22">
        <v>-90</v>
      </c>
      <c r="H70" s="22">
        <v>63</v>
      </c>
      <c r="I70" s="22">
        <v>79</v>
      </c>
      <c r="J70" s="22">
        <f t="shared" si="10"/>
        <v>696</v>
      </c>
      <c r="K70" s="22">
        <f t="shared" si="11"/>
        <v>237</v>
      </c>
      <c r="L70" s="22">
        <f t="shared" si="12"/>
        <v>459</v>
      </c>
      <c r="M70" s="22">
        <f t="shared" si="13"/>
        <v>884</v>
      </c>
      <c r="N70" s="24">
        <f t="shared" si="14"/>
        <v>0.51923076923076927</v>
      </c>
      <c r="O70" s="22" t="s">
        <v>103</v>
      </c>
    </row>
    <row r="71" spans="1:15" ht="15" customHeight="1" x14ac:dyDescent="0.25">
      <c r="A71" s="22" t="s">
        <v>378</v>
      </c>
      <c r="B71" s="22" t="s">
        <v>517</v>
      </c>
      <c r="C71" s="22" t="s">
        <v>511</v>
      </c>
      <c r="D71" s="22" t="s">
        <v>512</v>
      </c>
      <c r="E71" s="22">
        <v>10</v>
      </c>
      <c r="F71" s="22" t="s">
        <v>191</v>
      </c>
      <c r="G71" s="22">
        <v>-75</v>
      </c>
      <c r="H71" s="22">
        <v>63</v>
      </c>
      <c r="I71" s="22">
        <v>97</v>
      </c>
      <c r="J71" s="22">
        <f t="shared" si="10"/>
        <v>759</v>
      </c>
      <c r="K71" s="22">
        <f t="shared" si="11"/>
        <v>334</v>
      </c>
      <c r="L71" s="22">
        <f t="shared" si="12"/>
        <v>425</v>
      </c>
      <c r="M71" s="22">
        <f t="shared" si="13"/>
        <v>884</v>
      </c>
      <c r="N71" s="24">
        <f t="shared" si="14"/>
        <v>0.48076923076923078</v>
      </c>
      <c r="O71" s="22" t="s">
        <v>103</v>
      </c>
    </row>
    <row r="72" spans="1:15" ht="15" customHeight="1" x14ac:dyDescent="0.25">
      <c r="A72" s="22" t="s">
        <v>378</v>
      </c>
      <c r="B72" s="22" t="s">
        <v>517</v>
      </c>
      <c r="C72" s="22" t="s">
        <v>511</v>
      </c>
      <c r="D72" s="22" t="s">
        <v>512</v>
      </c>
      <c r="E72" s="22">
        <v>11</v>
      </c>
      <c r="F72" s="22" t="s">
        <v>231</v>
      </c>
      <c r="G72" s="22">
        <v>-60</v>
      </c>
      <c r="H72" s="22">
        <v>40</v>
      </c>
      <c r="I72" s="22">
        <v>92</v>
      </c>
      <c r="J72" s="22">
        <f t="shared" si="10"/>
        <v>799</v>
      </c>
      <c r="K72" s="22">
        <f t="shared" si="11"/>
        <v>426</v>
      </c>
      <c r="L72" s="22">
        <f t="shared" si="12"/>
        <v>373</v>
      </c>
      <c r="M72" s="22">
        <f t="shared" si="13"/>
        <v>884</v>
      </c>
      <c r="N72" s="24">
        <f t="shared" si="14"/>
        <v>0.42194570135746606</v>
      </c>
      <c r="O72" s="22" t="s">
        <v>103</v>
      </c>
    </row>
    <row r="73" spans="1:15" ht="15" customHeight="1" x14ac:dyDescent="0.25">
      <c r="A73" s="22" t="s">
        <v>378</v>
      </c>
      <c r="B73" s="22" t="s">
        <v>517</v>
      </c>
      <c r="C73" s="22" t="s">
        <v>511</v>
      </c>
      <c r="D73" s="22" t="s">
        <v>512</v>
      </c>
      <c r="E73" s="22">
        <v>12</v>
      </c>
      <c r="F73" s="22" t="s">
        <v>239</v>
      </c>
      <c r="G73" s="22">
        <v>-45</v>
      </c>
      <c r="H73" s="22">
        <v>23</v>
      </c>
      <c r="I73" s="22">
        <v>99</v>
      </c>
      <c r="J73" s="22">
        <f t="shared" si="10"/>
        <v>822</v>
      </c>
      <c r="K73" s="22">
        <f t="shared" si="11"/>
        <v>525</v>
      </c>
      <c r="L73" s="22">
        <f t="shared" si="12"/>
        <v>297</v>
      </c>
      <c r="M73" s="22">
        <f t="shared" si="13"/>
        <v>884</v>
      </c>
      <c r="N73" s="24">
        <f t="shared" si="14"/>
        <v>0.33597285067873306</v>
      </c>
      <c r="O73" s="22" t="s">
        <v>103</v>
      </c>
    </row>
    <row r="74" spans="1:15" ht="15" customHeight="1" x14ac:dyDescent="0.25">
      <c r="A74" s="22" t="s">
        <v>378</v>
      </c>
      <c r="B74" s="22" t="s">
        <v>517</v>
      </c>
      <c r="C74" s="22" t="s">
        <v>511</v>
      </c>
      <c r="D74" s="22" t="s">
        <v>512</v>
      </c>
      <c r="E74" s="22">
        <v>13</v>
      </c>
      <c r="F74" s="22" t="s">
        <v>387</v>
      </c>
      <c r="G74" s="22">
        <v>-30</v>
      </c>
      <c r="H74" s="22">
        <v>30</v>
      </c>
      <c r="I74" s="22">
        <v>88</v>
      </c>
      <c r="J74" s="22">
        <f t="shared" si="10"/>
        <v>852</v>
      </c>
      <c r="K74" s="22">
        <f t="shared" si="11"/>
        <v>613</v>
      </c>
      <c r="L74" s="22">
        <f t="shared" si="12"/>
        <v>239</v>
      </c>
      <c r="M74" s="22">
        <f t="shared" si="13"/>
        <v>884</v>
      </c>
      <c r="N74" s="24">
        <f t="shared" si="14"/>
        <v>0.27036199095022623</v>
      </c>
      <c r="O74" s="22" t="s">
        <v>103</v>
      </c>
    </row>
    <row r="75" spans="1:15" ht="15" customHeight="1" x14ac:dyDescent="0.25">
      <c r="A75" s="22" t="s">
        <v>378</v>
      </c>
      <c r="B75" s="22" t="s">
        <v>517</v>
      </c>
      <c r="C75" s="22" t="s">
        <v>511</v>
      </c>
      <c r="D75" s="22" t="s">
        <v>512</v>
      </c>
      <c r="E75" s="22">
        <v>14</v>
      </c>
      <c r="F75" s="22" t="s">
        <v>468</v>
      </c>
      <c r="G75" s="22">
        <v>-15</v>
      </c>
      <c r="H75" s="22">
        <v>17</v>
      </c>
      <c r="I75" s="22">
        <v>87</v>
      </c>
      <c r="J75" s="22">
        <f t="shared" si="10"/>
        <v>869</v>
      </c>
      <c r="K75" s="22">
        <f t="shared" si="11"/>
        <v>700</v>
      </c>
      <c r="L75" s="22">
        <f t="shared" si="12"/>
        <v>169</v>
      </c>
      <c r="M75" s="22">
        <f t="shared" si="13"/>
        <v>884</v>
      </c>
      <c r="N75" s="24">
        <f t="shared" si="14"/>
        <v>0.19117647058823528</v>
      </c>
      <c r="O75" s="22" t="s">
        <v>103</v>
      </c>
    </row>
    <row r="76" spans="1:15" ht="15" customHeight="1" x14ac:dyDescent="0.25">
      <c r="A76" s="22" t="s">
        <v>378</v>
      </c>
      <c r="B76" s="22" t="s">
        <v>517</v>
      </c>
      <c r="C76" s="22" t="s">
        <v>511</v>
      </c>
      <c r="D76" s="22" t="s">
        <v>512</v>
      </c>
      <c r="E76" s="22">
        <v>15</v>
      </c>
      <c r="F76" s="22" t="s">
        <v>469</v>
      </c>
      <c r="G76" s="22">
        <v>0</v>
      </c>
      <c r="H76" s="22">
        <v>5</v>
      </c>
      <c r="I76" s="22">
        <v>55</v>
      </c>
      <c r="J76" s="22">
        <f t="shared" si="10"/>
        <v>874</v>
      </c>
      <c r="K76" s="22">
        <f t="shared" si="11"/>
        <v>755</v>
      </c>
      <c r="L76" s="22">
        <f t="shared" si="12"/>
        <v>119</v>
      </c>
      <c r="M76" s="22">
        <f t="shared" si="13"/>
        <v>884</v>
      </c>
      <c r="N76" s="24">
        <f t="shared" si="14"/>
        <v>0.13461538461538461</v>
      </c>
      <c r="O76" s="22" t="s">
        <v>103</v>
      </c>
    </row>
    <row r="77" spans="1:15" ht="15" customHeight="1" x14ac:dyDescent="0.25">
      <c r="A77" s="22" t="s">
        <v>378</v>
      </c>
      <c r="B77" s="22" t="s">
        <v>517</v>
      </c>
      <c r="C77" s="22" t="s">
        <v>511</v>
      </c>
      <c r="D77" s="22" t="s">
        <v>512</v>
      </c>
      <c r="E77" s="22">
        <v>16</v>
      </c>
      <c r="F77" s="22" t="s">
        <v>351</v>
      </c>
      <c r="G77" s="22">
        <v>15</v>
      </c>
      <c r="H77" s="22">
        <v>4</v>
      </c>
      <c r="I77" s="22">
        <v>38</v>
      </c>
      <c r="J77" s="22">
        <f t="shared" si="10"/>
        <v>878</v>
      </c>
      <c r="K77" s="22">
        <f t="shared" si="11"/>
        <v>793</v>
      </c>
      <c r="L77" s="22">
        <f t="shared" si="12"/>
        <v>85</v>
      </c>
      <c r="M77" s="22">
        <f t="shared" si="13"/>
        <v>884</v>
      </c>
      <c r="N77" s="24">
        <f t="shared" si="14"/>
        <v>9.6153846153846159E-2</v>
      </c>
      <c r="O77" s="22" t="s">
        <v>103</v>
      </c>
    </row>
    <row r="78" spans="1:15" ht="15" customHeight="1" x14ac:dyDescent="0.25">
      <c r="A78" s="22" t="s">
        <v>378</v>
      </c>
      <c r="B78" s="22" t="s">
        <v>517</v>
      </c>
      <c r="C78" s="22" t="s">
        <v>511</v>
      </c>
      <c r="D78" s="22" t="s">
        <v>512</v>
      </c>
      <c r="E78" s="22">
        <v>17</v>
      </c>
      <c r="F78" s="22" t="s">
        <v>311</v>
      </c>
      <c r="G78" s="22">
        <v>30</v>
      </c>
      <c r="H78" s="22">
        <v>2</v>
      </c>
      <c r="I78" s="22">
        <v>26</v>
      </c>
      <c r="J78" s="22">
        <f t="shared" si="10"/>
        <v>880</v>
      </c>
      <c r="K78" s="22">
        <f t="shared" si="11"/>
        <v>819</v>
      </c>
      <c r="L78" s="22">
        <f t="shared" si="12"/>
        <v>61</v>
      </c>
      <c r="M78" s="22">
        <f t="shared" si="13"/>
        <v>884</v>
      </c>
      <c r="N78" s="24">
        <f t="shared" si="14"/>
        <v>6.9004524886877833E-2</v>
      </c>
      <c r="O78" s="22" t="s">
        <v>103</v>
      </c>
    </row>
    <row r="79" spans="1:15" ht="15" customHeight="1" x14ac:dyDescent="0.25">
      <c r="A79" s="22" t="s">
        <v>378</v>
      </c>
      <c r="B79" s="22" t="s">
        <v>517</v>
      </c>
      <c r="C79" s="22" t="s">
        <v>511</v>
      </c>
      <c r="D79" s="22" t="s">
        <v>512</v>
      </c>
      <c r="E79" s="22">
        <v>18</v>
      </c>
      <c r="F79" s="22" t="s">
        <v>211</v>
      </c>
      <c r="G79" s="22">
        <v>45</v>
      </c>
      <c r="H79" s="22">
        <v>4</v>
      </c>
      <c r="I79" s="22">
        <v>15</v>
      </c>
      <c r="J79" s="22">
        <f t="shared" si="10"/>
        <v>884</v>
      </c>
      <c r="K79" s="22">
        <f t="shared" si="11"/>
        <v>834</v>
      </c>
      <c r="L79" s="22">
        <f t="shared" si="12"/>
        <v>50</v>
      </c>
      <c r="M79" s="22">
        <f t="shared" si="13"/>
        <v>884</v>
      </c>
      <c r="N79" s="24">
        <f t="shared" si="14"/>
        <v>5.6561085972850679E-2</v>
      </c>
      <c r="O79" s="22" t="s">
        <v>103</v>
      </c>
    </row>
    <row r="80" spans="1:15" ht="15" customHeight="1" x14ac:dyDescent="0.25">
      <c r="A80" s="22" t="s">
        <v>180</v>
      </c>
      <c r="B80" s="22" t="s">
        <v>518</v>
      </c>
      <c r="C80" s="22" t="s">
        <v>511</v>
      </c>
      <c r="D80" s="22" t="s">
        <v>512</v>
      </c>
      <c r="E80" s="22">
        <v>0</v>
      </c>
      <c r="F80" s="22" t="s">
        <v>189</v>
      </c>
      <c r="G80" s="22"/>
      <c r="H80" s="22">
        <v>25</v>
      </c>
      <c r="I80" s="22">
        <v>0</v>
      </c>
      <c r="J80" s="22">
        <f t="shared" si="10"/>
        <v>25</v>
      </c>
      <c r="K80" s="22">
        <f t="shared" si="11"/>
        <v>0</v>
      </c>
      <c r="L80" s="22">
        <f t="shared" si="12"/>
        <v>25</v>
      </c>
      <c r="M80" s="22">
        <f t="shared" si="13"/>
        <v>717</v>
      </c>
      <c r="N80" s="24">
        <f t="shared" si="14"/>
        <v>3.4867503486750349E-2</v>
      </c>
      <c r="O80" s="22" t="s">
        <v>519</v>
      </c>
    </row>
    <row r="81" spans="1:15" ht="15" customHeight="1" x14ac:dyDescent="0.25">
      <c r="A81" s="22" t="s">
        <v>180</v>
      </c>
      <c r="B81" s="22" t="s">
        <v>518</v>
      </c>
      <c r="C81" s="22" t="s">
        <v>511</v>
      </c>
      <c r="D81" s="22" t="s">
        <v>512</v>
      </c>
      <c r="E81" s="22">
        <v>1</v>
      </c>
      <c r="F81" s="22" t="s">
        <v>471</v>
      </c>
      <c r="G81" s="22">
        <v>-210</v>
      </c>
      <c r="H81" s="22">
        <v>12</v>
      </c>
      <c r="I81" s="22">
        <v>2</v>
      </c>
      <c r="J81" s="22">
        <f t="shared" si="10"/>
        <v>37</v>
      </c>
      <c r="K81" s="22">
        <f t="shared" si="11"/>
        <v>2</v>
      </c>
      <c r="L81" s="22">
        <f t="shared" si="12"/>
        <v>35</v>
      </c>
      <c r="M81" s="22">
        <f t="shared" si="13"/>
        <v>717</v>
      </c>
      <c r="N81" s="24">
        <f t="shared" si="14"/>
        <v>4.8814504881450491E-2</v>
      </c>
      <c r="O81" s="22" t="s">
        <v>519</v>
      </c>
    </row>
    <row r="82" spans="1:15" ht="15" customHeight="1" x14ac:dyDescent="0.25">
      <c r="A82" s="22" t="s">
        <v>180</v>
      </c>
      <c r="B82" s="22" t="s">
        <v>518</v>
      </c>
      <c r="C82" s="22" t="s">
        <v>511</v>
      </c>
      <c r="D82" s="22" t="s">
        <v>512</v>
      </c>
      <c r="E82" s="22">
        <v>2</v>
      </c>
      <c r="F82" s="22" t="s">
        <v>325</v>
      </c>
      <c r="G82" s="22">
        <v>-195</v>
      </c>
      <c r="H82" s="22">
        <v>42</v>
      </c>
      <c r="I82" s="22">
        <v>2</v>
      </c>
      <c r="J82" s="22">
        <f t="shared" si="10"/>
        <v>79</v>
      </c>
      <c r="K82" s="22">
        <f t="shared" si="11"/>
        <v>4</v>
      </c>
      <c r="L82" s="22">
        <f t="shared" si="12"/>
        <v>75</v>
      </c>
      <c r="M82" s="22">
        <f t="shared" si="13"/>
        <v>717</v>
      </c>
      <c r="N82" s="24">
        <f t="shared" si="14"/>
        <v>0.10460251046025104</v>
      </c>
      <c r="O82" s="22" t="s">
        <v>519</v>
      </c>
    </row>
    <row r="83" spans="1:15" ht="15" customHeight="1" x14ac:dyDescent="0.25">
      <c r="A83" s="22" t="s">
        <v>180</v>
      </c>
      <c r="B83" s="22" t="s">
        <v>518</v>
      </c>
      <c r="C83" s="22" t="s">
        <v>511</v>
      </c>
      <c r="D83" s="22" t="s">
        <v>512</v>
      </c>
      <c r="E83" s="22">
        <v>3</v>
      </c>
      <c r="F83" s="22" t="s">
        <v>464</v>
      </c>
      <c r="G83" s="22">
        <v>-180</v>
      </c>
      <c r="H83" s="22">
        <v>43</v>
      </c>
      <c r="I83" s="22">
        <v>5</v>
      </c>
      <c r="J83" s="22">
        <f t="shared" si="10"/>
        <v>122</v>
      </c>
      <c r="K83" s="22">
        <f t="shared" si="11"/>
        <v>9</v>
      </c>
      <c r="L83" s="22">
        <f t="shared" si="12"/>
        <v>113</v>
      </c>
      <c r="M83" s="22">
        <f t="shared" si="13"/>
        <v>717</v>
      </c>
      <c r="N83" s="24">
        <f t="shared" si="14"/>
        <v>0.15760111576011157</v>
      </c>
      <c r="O83" s="22" t="s">
        <v>519</v>
      </c>
    </row>
    <row r="84" spans="1:15" ht="15" customHeight="1" x14ac:dyDescent="0.25">
      <c r="A84" s="22" t="s">
        <v>180</v>
      </c>
      <c r="B84" s="22" t="s">
        <v>518</v>
      </c>
      <c r="C84" s="22" t="s">
        <v>511</v>
      </c>
      <c r="D84" s="22" t="s">
        <v>512</v>
      </c>
      <c r="E84" s="22">
        <v>4</v>
      </c>
      <c r="F84" s="22" t="s">
        <v>465</v>
      </c>
      <c r="G84" s="22">
        <v>-165</v>
      </c>
      <c r="H84" s="22">
        <v>67</v>
      </c>
      <c r="I84" s="22">
        <v>6</v>
      </c>
      <c r="J84" s="22">
        <f t="shared" si="10"/>
        <v>189</v>
      </c>
      <c r="K84" s="22">
        <f t="shared" si="11"/>
        <v>15</v>
      </c>
      <c r="L84" s="22">
        <f t="shared" si="12"/>
        <v>174</v>
      </c>
      <c r="M84" s="22">
        <f t="shared" si="13"/>
        <v>717</v>
      </c>
      <c r="N84" s="24">
        <f t="shared" si="14"/>
        <v>0.24267782426778242</v>
      </c>
      <c r="O84" s="22" t="s">
        <v>519</v>
      </c>
    </row>
    <row r="85" spans="1:15" ht="15" customHeight="1" x14ac:dyDescent="0.25">
      <c r="A85" s="22" t="s">
        <v>180</v>
      </c>
      <c r="B85" s="22" t="s">
        <v>518</v>
      </c>
      <c r="C85" s="22" t="s">
        <v>511</v>
      </c>
      <c r="D85" s="22" t="s">
        <v>512</v>
      </c>
      <c r="E85" s="22">
        <v>5</v>
      </c>
      <c r="F85" s="22" t="s">
        <v>466</v>
      </c>
      <c r="G85" s="22">
        <v>-150</v>
      </c>
      <c r="H85" s="22">
        <v>75</v>
      </c>
      <c r="I85" s="22">
        <v>3</v>
      </c>
      <c r="J85" s="22">
        <f t="shared" si="10"/>
        <v>264</v>
      </c>
      <c r="K85" s="22">
        <f t="shared" si="11"/>
        <v>18</v>
      </c>
      <c r="L85" s="22">
        <f t="shared" si="12"/>
        <v>246</v>
      </c>
      <c r="M85" s="22">
        <f t="shared" si="13"/>
        <v>717</v>
      </c>
      <c r="N85" s="24">
        <f t="shared" si="14"/>
        <v>0.34309623430962344</v>
      </c>
      <c r="O85" s="22" t="s">
        <v>519</v>
      </c>
    </row>
    <row r="86" spans="1:15" ht="15" customHeight="1" x14ac:dyDescent="0.25">
      <c r="A86" s="22" t="s">
        <v>180</v>
      </c>
      <c r="B86" s="22" t="s">
        <v>518</v>
      </c>
      <c r="C86" s="22" t="s">
        <v>511</v>
      </c>
      <c r="D86" s="22" t="s">
        <v>512</v>
      </c>
      <c r="E86" s="22">
        <v>6</v>
      </c>
      <c r="F86" s="22" t="s">
        <v>467</v>
      </c>
      <c r="G86" s="22">
        <v>-135</v>
      </c>
      <c r="H86" s="22">
        <v>83</v>
      </c>
      <c r="I86" s="22">
        <v>14</v>
      </c>
      <c r="J86" s="22">
        <f t="shared" si="10"/>
        <v>347</v>
      </c>
      <c r="K86" s="22">
        <f t="shared" si="11"/>
        <v>32</v>
      </c>
      <c r="L86" s="22">
        <f t="shared" si="12"/>
        <v>315</v>
      </c>
      <c r="M86" s="22">
        <f t="shared" si="13"/>
        <v>717</v>
      </c>
      <c r="N86" s="24">
        <f t="shared" si="14"/>
        <v>0.43933054393305437</v>
      </c>
      <c r="O86" s="22" t="s">
        <v>519</v>
      </c>
    </row>
    <row r="87" spans="1:15" ht="15" customHeight="1" x14ac:dyDescent="0.25">
      <c r="A87" s="22" t="s">
        <v>180</v>
      </c>
      <c r="B87" s="22" t="s">
        <v>518</v>
      </c>
      <c r="C87" s="22" t="s">
        <v>511</v>
      </c>
      <c r="D87" s="22" t="s">
        <v>512</v>
      </c>
      <c r="E87" s="22">
        <v>7</v>
      </c>
      <c r="F87" s="22" t="s">
        <v>212</v>
      </c>
      <c r="G87" s="22">
        <v>-120</v>
      </c>
      <c r="H87" s="22">
        <v>54</v>
      </c>
      <c r="I87" s="22">
        <v>20</v>
      </c>
      <c r="J87" s="22">
        <f t="shared" si="10"/>
        <v>401</v>
      </c>
      <c r="K87" s="22">
        <f t="shared" si="11"/>
        <v>52</v>
      </c>
      <c r="L87" s="22">
        <f t="shared" si="12"/>
        <v>349</v>
      </c>
      <c r="M87" s="22">
        <f t="shared" si="13"/>
        <v>717</v>
      </c>
      <c r="N87" s="24">
        <f t="shared" si="14"/>
        <v>0.48675034867503486</v>
      </c>
      <c r="O87" s="22" t="s">
        <v>519</v>
      </c>
    </row>
    <row r="88" spans="1:15" ht="15" customHeight="1" x14ac:dyDescent="0.25">
      <c r="A88" s="22" t="s">
        <v>180</v>
      </c>
      <c r="B88" s="22" t="s">
        <v>518</v>
      </c>
      <c r="C88" s="22" t="s">
        <v>511</v>
      </c>
      <c r="D88" s="22" t="s">
        <v>512</v>
      </c>
      <c r="E88" s="22">
        <v>8</v>
      </c>
      <c r="F88" s="22" t="s">
        <v>226</v>
      </c>
      <c r="G88" s="22">
        <v>-105</v>
      </c>
      <c r="H88" s="22">
        <v>55</v>
      </c>
      <c r="I88" s="22">
        <v>47</v>
      </c>
      <c r="J88" s="22">
        <f t="shared" si="10"/>
        <v>456</v>
      </c>
      <c r="K88" s="22">
        <f t="shared" si="11"/>
        <v>99</v>
      </c>
      <c r="L88" s="22">
        <f t="shared" si="12"/>
        <v>357</v>
      </c>
      <c r="M88" s="22">
        <f t="shared" si="13"/>
        <v>717</v>
      </c>
      <c r="N88" s="24">
        <f t="shared" si="14"/>
        <v>0.497907949790795</v>
      </c>
      <c r="O88" s="22" t="s">
        <v>519</v>
      </c>
    </row>
    <row r="89" spans="1:15" ht="15" customHeight="1" x14ac:dyDescent="0.25">
      <c r="A89" s="22" t="s">
        <v>180</v>
      </c>
      <c r="B89" s="22" t="s">
        <v>518</v>
      </c>
      <c r="C89" s="22" t="s">
        <v>511</v>
      </c>
      <c r="D89" s="22" t="s">
        <v>512</v>
      </c>
      <c r="E89" s="22">
        <v>9</v>
      </c>
      <c r="F89" s="22" t="s">
        <v>264</v>
      </c>
      <c r="G89" s="22">
        <v>-90</v>
      </c>
      <c r="H89" s="22">
        <v>62</v>
      </c>
      <c r="I89" s="22">
        <v>64</v>
      </c>
      <c r="J89" s="22">
        <f t="shared" si="10"/>
        <v>518</v>
      </c>
      <c r="K89" s="22">
        <f t="shared" si="11"/>
        <v>163</v>
      </c>
      <c r="L89" s="22">
        <f t="shared" si="12"/>
        <v>355</v>
      </c>
      <c r="M89" s="22">
        <f t="shared" si="13"/>
        <v>717</v>
      </c>
      <c r="N89" s="24">
        <f t="shared" si="14"/>
        <v>0.49511854951185497</v>
      </c>
      <c r="O89" s="22" t="s">
        <v>519</v>
      </c>
    </row>
    <row r="90" spans="1:15" ht="15" customHeight="1" x14ac:dyDescent="0.25">
      <c r="A90" s="22" t="s">
        <v>180</v>
      </c>
      <c r="B90" s="22" t="s">
        <v>518</v>
      </c>
      <c r="C90" s="22" t="s">
        <v>511</v>
      </c>
      <c r="D90" s="22" t="s">
        <v>512</v>
      </c>
      <c r="E90" s="22">
        <v>10</v>
      </c>
      <c r="F90" s="22" t="s">
        <v>191</v>
      </c>
      <c r="G90" s="22">
        <v>-75</v>
      </c>
      <c r="H90" s="22">
        <v>61</v>
      </c>
      <c r="I90" s="22">
        <v>59</v>
      </c>
      <c r="J90" s="22">
        <f t="shared" si="10"/>
        <v>579</v>
      </c>
      <c r="K90" s="22">
        <f t="shared" si="11"/>
        <v>222</v>
      </c>
      <c r="L90" s="22">
        <f t="shared" si="12"/>
        <v>357</v>
      </c>
      <c r="M90" s="22">
        <f t="shared" si="13"/>
        <v>717</v>
      </c>
      <c r="N90" s="24">
        <f t="shared" si="14"/>
        <v>0.497907949790795</v>
      </c>
      <c r="O90" s="22" t="s">
        <v>519</v>
      </c>
    </row>
    <row r="91" spans="1:15" ht="15" customHeight="1" x14ac:dyDescent="0.25">
      <c r="A91" s="22" t="s">
        <v>180</v>
      </c>
      <c r="B91" s="22" t="s">
        <v>518</v>
      </c>
      <c r="C91" s="22" t="s">
        <v>511</v>
      </c>
      <c r="D91" s="22" t="s">
        <v>512</v>
      </c>
      <c r="E91" s="22">
        <v>11</v>
      </c>
      <c r="F91" s="22" t="s">
        <v>231</v>
      </c>
      <c r="G91" s="22">
        <v>-60</v>
      </c>
      <c r="H91" s="22">
        <v>30</v>
      </c>
      <c r="I91" s="22">
        <v>90</v>
      </c>
      <c r="J91" s="22">
        <f t="shared" si="10"/>
        <v>609</v>
      </c>
      <c r="K91" s="22">
        <f t="shared" si="11"/>
        <v>312</v>
      </c>
      <c r="L91" s="22">
        <f t="shared" si="12"/>
        <v>297</v>
      </c>
      <c r="M91" s="22">
        <f t="shared" si="13"/>
        <v>717</v>
      </c>
      <c r="N91" s="24">
        <f t="shared" si="14"/>
        <v>0.41422594142259417</v>
      </c>
      <c r="O91" s="22" t="s">
        <v>519</v>
      </c>
    </row>
    <row r="92" spans="1:15" ht="15" customHeight="1" x14ac:dyDescent="0.25">
      <c r="A92" s="22" t="s">
        <v>180</v>
      </c>
      <c r="B92" s="22" t="s">
        <v>518</v>
      </c>
      <c r="C92" s="22" t="s">
        <v>511</v>
      </c>
      <c r="D92" s="22" t="s">
        <v>512</v>
      </c>
      <c r="E92" s="22">
        <v>12</v>
      </c>
      <c r="F92" s="22" t="s">
        <v>239</v>
      </c>
      <c r="G92" s="22">
        <v>-45</v>
      </c>
      <c r="H92" s="22">
        <v>32</v>
      </c>
      <c r="I92" s="22">
        <v>94</v>
      </c>
      <c r="J92" s="22">
        <f t="shared" si="10"/>
        <v>641</v>
      </c>
      <c r="K92" s="22">
        <f t="shared" si="11"/>
        <v>406</v>
      </c>
      <c r="L92" s="22">
        <f t="shared" si="12"/>
        <v>235</v>
      </c>
      <c r="M92" s="22">
        <f t="shared" si="13"/>
        <v>717</v>
      </c>
      <c r="N92" s="24">
        <f t="shared" si="14"/>
        <v>0.3277545327754533</v>
      </c>
      <c r="O92" s="22" t="s">
        <v>519</v>
      </c>
    </row>
    <row r="93" spans="1:15" ht="15" customHeight="1" x14ac:dyDescent="0.25">
      <c r="A93" s="22" t="s">
        <v>180</v>
      </c>
      <c r="B93" s="22" t="s">
        <v>518</v>
      </c>
      <c r="C93" s="22" t="s">
        <v>511</v>
      </c>
      <c r="D93" s="22" t="s">
        <v>512</v>
      </c>
      <c r="E93" s="22">
        <v>13</v>
      </c>
      <c r="F93" s="22" t="s">
        <v>387</v>
      </c>
      <c r="G93" s="22">
        <v>-30</v>
      </c>
      <c r="H93" s="22">
        <v>18</v>
      </c>
      <c r="I93" s="22">
        <v>82</v>
      </c>
      <c r="J93" s="22">
        <f t="shared" si="10"/>
        <v>659</v>
      </c>
      <c r="K93" s="22">
        <f t="shared" si="11"/>
        <v>488</v>
      </c>
      <c r="L93" s="22">
        <f t="shared" si="12"/>
        <v>171</v>
      </c>
      <c r="M93" s="22">
        <f t="shared" si="13"/>
        <v>717</v>
      </c>
      <c r="N93" s="24">
        <f t="shared" si="14"/>
        <v>0.2384937238493724</v>
      </c>
      <c r="O93" s="22" t="s">
        <v>519</v>
      </c>
    </row>
    <row r="94" spans="1:15" ht="15" customHeight="1" x14ac:dyDescent="0.25">
      <c r="A94" s="22" t="s">
        <v>180</v>
      </c>
      <c r="B94" s="22" t="s">
        <v>518</v>
      </c>
      <c r="C94" s="22" t="s">
        <v>511</v>
      </c>
      <c r="D94" s="22" t="s">
        <v>512</v>
      </c>
      <c r="E94" s="22">
        <v>14</v>
      </c>
      <c r="F94" s="22" t="s">
        <v>468</v>
      </c>
      <c r="G94" s="22">
        <v>-15</v>
      </c>
      <c r="H94" s="22">
        <v>24</v>
      </c>
      <c r="I94" s="22">
        <v>69</v>
      </c>
      <c r="J94" s="22">
        <f t="shared" si="10"/>
        <v>683</v>
      </c>
      <c r="K94" s="22">
        <f t="shared" si="11"/>
        <v>557</v>
      </c>
      <c r="L94" s="22">
        <f t="shared" si="12"/>
        <v>126</v>
      </c>
      <c r="M94" s="22">
        <f t="shared" si="13"/>
        <v>717</v>
      </c>
      <c r="N94" s="24">
        <f t="shared" si="14"/>
        <v>0.17573221757322174</v>
      </c>
      <c r="O94" s="22" t="s">
        <v>519</v>
      </c>
    </row>
    <row r="95" spans="1:15" ht="15" customHeight="1" x14ac:dyDescent="0.25">
      <c r="A95" s="22" t="s">
        <v>180</v>
      </c>
      <c r="B95" s="22" t="s">
        <v>518</v>
      </c>
      <c r="C95" s="22" t="s">
        <v>511</v>
      </c>
      <c r="D95" s="22" t="s">
        <v>512</v>
      </c>
      <c r="E95" s="22">
        <v>15</v>
      </c>
      <c r="F95" s="22" t="s">
        <v>469</v>
      </c>
      <c r="G95" s="22">
        <v>0</v>
      </c>
      <c r="H95" s="22">
        <v>10</v>
      </c>
      <c r="I95" s="22">
        <v>35</v>
      </c>
      <c r="J95" s="22">
        <f t="shared" si="10"/>
        <v>693</v>
      </c>
      <c r="K95" s="22">
        <f t="shared" si="11"/>
        <v>592</v>
      </c>
      <c r="L95" s="22">
        <f t="shared" si="12"/>
        <v>101</v>
      </c>
      <c r="M95" s="22">
        <f t="shared" si="13"/>
        <v>717</v>
      </c>
      <c r="N95" s="24">
        <f t="shared" si="14"/>
        <v>0.14086471408647142</v>
      </c>
      <c r="O95" s="22" t="s">
        <v>519</v>
      </c>
    </row>
    <row r="96" spans="1:15" ht="15" customHeight="1" x14ac:dyDescent="0.25">
      <c r="A96" s="22" t="s">
        <v>180</v>
      </c>
      <c r="B96" s="22" t="s">
        <v>518</v>
      </c>
      <c r="C96" s="22" t="s">
        <v>511</v>
      </c>
      <c r="D96" s="22" t="s">
        <v>512</v>
      </c>
      <c r="E96" s="22">
        <v>16</v>
      </c>
      <c r="F96" s="22" t="s">
        <v>351</v>
      </c>
      <c r="G96" s="22">
        <v>15</v>
      </c>
      <c r="H96" s="22">
        <v>16</v>
      </c>
      <c r="I96" s="22">
        <v>32</v>
      </c>
      <c r="J96" s="22">
        <f t="shared" si="10"/>
        <v>709</v>
      </c>
      <c r="K96" s="22">
        <f t="shared" si="11"/>
        <v>624</v>
      </c>
      <c r="L96" s="22">
        <f t="shared" si="12"/>
        <v>85</v>
      </c>
      <c r="M96" s="22">
        <f t="shared" si="13"/>
        <v>717</v>
      </c>
      <c r="N96" s="24">
        <f t="shared" si="14"/>
        <v>0.11854951185495119</v>
      </c>
      <c r="O96" s="22" t="s">
        <v>519</v>
      </c>
    </row>
    <row r="97" spans="1:15" ht="15" customHeight="1" x14ac:dyDescent="0.25">
      <c r="A97" s="22" t="s">
        <v>180</v>
      </c>
      <c r="B97" s="22" t="s">
        <v>518</v>
      </c>
      <c r="C97" s="22" t="s">
        <v>511</v>
      </c>
      <c r="D97" s="22" t="s">
        <v>512</v>
      </c>
      <c r="E97" s="22">
        <v>17</v>
      </c>
      <c r="F97" s="22" t="s">
        <v>311</v>
      </c>
      <c r="G97" s="22">
        <v>30</v>
      </c>
      <c r="H97" s="22">
        <v>3</v>
      </c>
      <c r="I97" s="22">
        <v>20</v>
      </c>
      <c r="J97" s="22">
        <f t="shared" si="10"/>
        <v>712</v>
      </c>
      <c r="K97" s="22">
        <f t="shared" si="11"/>
        <v>644</v>
      </c>
      <c r="L97" s="22">
        <f t="shared" si="12"/>
        <v>68</v>
      </c>
      <c r="M97" s="22">
        <f t="shared" si="13"/>
        <v>717</v>
      </c>
      <c r="N97" s="24">
        <f t="shared" si="14"/>
        <v>9.4839609483960946E-2</v>
      </c>
      <c r="O97" s="22" t="s">
        <v>519</v>
      </c>
    </row>
    <row r="98" spans="1:15" ht="15" customHeight="1" x14ac:dyDescent="0.25">
      <c r="A98" s="22" t="s">
        <v>180</v>
      </c>
      <c r="B98" s="22" t="s">
        <v>518</v>
      </c>
      <c r="C98" s="22" t="s">
        <v>511</v>
      </c>
      <c r="D98" s="22" t="s">
        <v>512</v>
      </c>
      <c r="E98" s="22">
        <v>18</v>
      </c>
      <c r="F98" s="22" t="s">
        <v>211</v>
      </c>
      <c r="G98" s="22">
        <v>45</v>
      </c>
      <c r="H98" s="22">
        <v>5</v>
      </c>
      <c r="I98" s="22">
        <v>26</v>
      </c>
      <c r="J98" s="22">
        <f t="shared" ref="J98:J129" si="15">SUMIFS($H$2:$H$260,$A$2:$A$260,$A98,$B$2:$B$260,$B98,$E$2:$E$260,"&lt;="&amp;$E98)</f>
        <v>717</v>
      </c>
      <c r="K98" s="22">
        <f t="shared" ref="K98:K129" si="16">SUMIFS($I$2:$I$260,$A$2:$A$260,$A98,$B$2:$B$260,$B98,$E$2:$E$260,"&lt;="&amp;$E98)</f>
        <v>670</v>
      </c>
      <c r="L98" s="22">
        <f t="shared" ref="L98:L129" si="17">J98-K98</f>
        <v>47</v>
      </c>
      <c r="M98" s="22">
        <f t="shared" ref="M98:M129" si="18">SUMIFS($H$2:$H$260,$A$2:$A$260,$A98,$B$2:$B$260,$B98)</f>
        <v>717</v>
      </c>
      <c r="N98" s="24">
        <f t="shared" ref="N98:N129" si="19">IF(M98=0,"",L98/M98)</f>
        <v>6.555090655509066E-2</v>
      </c>
      <c r="O98" s="22" t="s">
        <v>519</v>
      </c>
    </row>
    <row r="99" spans="1:15" ht="15" customHeight="1" x14ac:dyDescent="0.25">
      <c r="A99" s="22" t="s">
        <v>180</v>
      </c>
      <c r="B99" s="22" t="s">
        <v>520</v>
      </c>
      <c r="C99" s="22" t="s">
        <v>511</v>
      </c>
      <c r="D99" s="22" t="s">
        <v>512</v>
      </c>
      <c r="E99" s="22">
        <v>0</v>
      </c>
      <c r="F99" s="22" t="s">
        <v>189</v>
      </c>
      <c r="G99" s="22"/>
      <c r="H99" s="22">
        <v>25</v>
      </c>
      <c r="I99" s="22">
        <v>0</v>
      </c>
      <c r="J99" s="22">
        <f t="shared" si="15"/>
        <v>25</v>
      </c>
      <c r="K99" s="22">
        <f t="shared" si="16"/>
        <v>0</v>
      </c>
      <c r="L99" s="22">
        <f t="shared" si="17"/>
        <v>25</v>
      </c>
      <c r="M99" s="22">
        <f t="shared" si="18"/>
        <v>859</v>
      </c>
      <c r="N99" s="24">
        <f t="shared" si="19"/>
        <v>2.9103608847497089E-2</v>
      </c>
      <c r="O99" s="22" t="s">
        <v>111</v>
      </c>
    </row>
    <row r="100" spans="1:15" ht="15" customHeight="1" x14ac:dyDescent="0.25">
      <c r="A100" s="22" t="s">
        <v>180</v>
      </c>
      <c r="B100" s="22" t="s">
        <v>520</v>
      </c>
      <c r="C100" s="22" t="s">
        <v>511</v>
      </c>
      <c r="D100" s="22" t="s">
        <v>512</v>
      </c>
      <c r="E100" s="22">
        <v>1</v>
      </c>
      <c r="F100" s="22" t="s">
        <v>471</v>
      </c>
      <c r="G100" s="22">
        <v>-210</v>
      </c>
      <c r="H100" s="22">
        <v>12</v>
      </c>
      <c r="I100" s="22">
        <v>2</v>
      </c>
      <c r="J100" s="22">
        <f t="shared" si="15"/>
        <v>37</v>
      </c>
      <c r="K100" s="22">
        <f t="shared" si="16"/>
        <v>2</v>
      </c>
      <c r="L100" s="22">
        <f t="shared" si="17"/>
        <v>35</v>
      </c>
      <c r="M100" s="22">
        <f t="shared" si="18"/>
        <v>859</v>
      </c>
      <c r="N100" s="24">
        <f t="shared" si="19"/>
        <v>4.0745052386495922E-2</v>
      </c>
      <c r="O100" s="22" t="s">
        <v>111</v>
      </c>
    </row>
    <row r="101" spans="1:15" ht="15" customHeight="1" x14ac:dyDescent="0.25">
      <c r="A101" s="22" t="s">
        <v>180</v>
      </c>
      <c r="B101" s="22" t="s">
        <v>520</v>
      </c>
      <c r="C101" s="22" t="s">
        <v>511</v>
      </c>
      <c r="D101" s="22" t="s">
        <v>512</v>
      </c>
      <c r="E101" s="22">
        <v>2</v>
      </c>
      <c r="F101" s="22" t="s">
        <v>325</v>
      </c>
      <c r="G101" s="22">
        <v>-195</v>
      </c>
      <c r="H101" s="22">
        <v>56</v>
      </c>
      <c r="I101" s="22">
        <v>5</v>
      </c>
      <c r="J101" s="22">
        <f t="shared" si="15"/>
        <v>93</v>
      </c>
      <c r="K101" s="22">
        <f t="shared" si="16"/>
        <v>7</v>
      </c>
      <c r="L101" s="22">
        <f t="shared" si="17"/>
        <v>86</v>
      </c>
      <c r="M101" s="22">
        <f t="shared" si="18"/>
        <v>859</v>
      </c>
      <c r="N101" s="24">
        <f t="shared" si="19"/>
        <v>0.10011641443538999</v>
      </c>
      <c r="O101" s="22" t="s">
        <v>111</v>
      </c>
    </row>
    <row r="102" spans="1:15" ht="15" customHeight="1" x14ac:dyDescent="0.25">
      <c r="A102" s="22" t="s">
        <v>180</v>
      </c>
      <c r="B102" s="22" t="s">
        <v>520</v>
      </c>
      <c r="C102" s="22" t="s">
        <v>511</v>
      </c>
      <c r="D102" s="22" t="s">
        <v>512</v>
      </c>
      <c r="E102" s="22">
        <v>3</v>
      </c>
      <c r="F102" s="22" t="s">
        <v>464</v>
      </c>
      <c r="G102" s="22">
        <v>-180</v>
      </c>
      <c r="H102" s="22">
        <v>47</v>
      </c>
      <c r="I102" s="22">
        <v>6</v>
      </c>
      <c r="J102" s="22">
        <f t="shared" si="15"/>
        <v>140</v>
      </c>
      <c r="K102" s="22">
        <f t="shared" si="16"/>
        <v>13</v>
      </c>
      <c r="L102" s="22">
        <f t="shared" si="17"/>
        <v>127</v>
      </c>
      <c r="M102" s="22">
        <f t="shared" si="18"/>
        <v>859</v>
      </c>
      <c r="N102" s="24">
        <f t="shared" si="19"/>
        <v>0.14784633294528521</v>
      </c>
      <c r="O102" s="22" t="s">
        <v>111</v>
      </c>
    </row>
    <row r="103" spans="1:15" ht="15" customHeight="1" x14ac:dyDescent="0.25">
      <c r="A103" s="22" t="s">
        <v>180</v>
      </c>
      <c r="B103" s="22" t="s">
        <v>520</v>
      </c>
      <c r="C103" s="22" t="s">
        <v>511</v>
      </c>
      <c r="D103" s="22" t="s">
        <v>512</v>
      </c>
      <c r="E103" s="22">
        <v>4</v>
      </c>
      <c r="F103" s="22" t="s">
        <v>465</v>
      </c>
      <c r="G103" s="22">
        <v>-165</v>
      </c>
      <c r="H103" s="22">
        <v>77</v>
      </c>
      <c r="I103" s="22">
        <v>6</v>
      </c>
      <c r="J103" s="22">
        <f t="shared" si="15"/>
        <v>217</v>
      </c>
      <c r="K103" s="22">
        <f t="shared" si="16"/>
        <v>19</v>
      </c>
      <c r="L103" s="22">
        <f t="shared" si="17"/>
        <v>198</v>
      </c>
      <c r="M103" s="22">
        <f t="shared" si="18"/>
        <v>859</v>
      </c>
      <c r="N103" s="24">
        <f t="shared" si="19"/>
        <v>0.23050058207217694</v>
      </c>
      <c r="O103" s="22" t="s">
        <v>111</v>
      </c>
    </row>
    <row r="104" spans="1:15" ht="15" customHeight="1" x14ac:dyDescent="0.25">
      <c r="A104" s="22" t="s">
        <v>180</v>
      </c>
      <c r="B104" s="22" t="s">
        <v>520</v>
      </c>
      <c r="C104" s="22" t="s">
        <v>511</v>
      </c>
      <c r="D104" s="22" t="s">
        <v>512</v>
      </c>
      <c r="E104" s="22">
        <v>5</v>
      </c>
      <c r="F104" s="22" t="s">
        <v>466</v>
      </c>
      <c r="G104" s="22">
        <v>-150</v>
      </c>
      <c r="H104" s="22">
        <v>84</v>
      </c>
      <c r="I104" s="22">
        <v>3</v>
      </c>
      <c r="J104" s="22">
        <f t="shared" si="15"/>
        <v>301</v>
      </c>
      <c r="K104" s="22">
        <f t="shared" si="16"/>
        <v>22</v>
      </c>
      <c r="L104" s="22">
        <f t="shared" si="17"/>
        <v>279</v>
      </c>
      <c r="M104" s="22">
        <f t="shared" si="18"/>
        <v>859</v>
      </c>
      <c r="N104" s="24">
        <f t="shared" si="19"/>
        <v>0.32479627473806755</v>
      </c>
      <c r="O104" s="22" t="s">
        <v>111</v>
      </c>
    </row>
    <row r="105" spans="1:15" ht="15" customHeight="1" x14ac:dyDescent="0.25">
      <c r="A105" s="22" t="s">
        <v>180</v>
      </c>
      <c r="B105" s="22" t="s">
        <v>520</v>
      </c>
      <c r="C105" s="22" t="s">
        <v>511</v>
      </c>
      <c r="D105" s="22" t="s">
        <v>512</v>
      </c>
      <c r="E105" s="22">
        <v>6</v>
      </c>
      <c r="F105" s="22" t="s">
        <v>467</v>
      </c>
      <c r="G105" s="22">
        <v>-135</v>
      </c>
      <c r="H105" s="22">
        <v>91</v>
      </c>
      <c r="I105" s="22">
        <v>16</v>
      </c>
      <c r="J105" s="22">
        <f t="shared" si="15"/>
        <v>392</v>
      </c>
      <c r="K105" s="22">
        <f t="shared" si="16"/>
        <v>38</v>
      </c>
      <c r="L105" s="22">
        <f t="shared" si="17"/>
        <v>354</v>
      </c>
      <c r="M105" s="22">
        <f t="shared" si="18"/>
        <v>859</v>
      </c>
      <c r="N105" s="24">
        <f t="shared" si="19"/>
        <v>0.41210710128055877</v>
      </c>
      <c r="O105" s="22" t="s">
        <v>111</v>
      </c>
    </row>
    <row r="106" spans="1:15" ht="15" customHeight="1" x14ac:dyDescent="0.25">
      <c r="A106" s="22" t="s">
        <v>180</v>
      </c>
      <c r="B106" s="22" t="s">
        <v>520</v>
      </c>
      <c r="C106" s="22" t="s">
        <v>511</v>
      </c>
      <c r="D106" s="22" t="s">
        <v>512</v>
      </c>
      <c r="E106" s="22">
        <v>7</v>
      </c>
      <c r="F106" s="22" t="s">
        <v>212</v>
      </c>
      <c r="G106" s="22">
        <v>-120</v>
      </c>
      <c r="H106" s="22">
        <v>72</v>
      </c>
      <c r="I106" s="22">
        <v>22</v>
      </c>
      <c r="J106" s="22">
        <f t="shared" si="15"/>
        <v>464</v>
      </c>
      <c r="K106" s="22">
        <f t="shared" si="16"/>
        <v>60</v>
      </c>
      <c r="L106" s="22">
        <f t="shared" si="17"/>
        <v>404</v>
      </c>
      <c r="M106" s="22">
        <f t="shared" si="18"/>
        <v>859</v>
      </c>
      <c r="N106" s="24">
        <f t="shared" si="19"/>
        <v>0.47031431897555298</v>
      </c>
      <c r="O106" s="22" t="s">
        <v>111</v>
      </c>
    </row>
    <row r="107" spans="1:15" ht="15" customHeight="1" x14ac:dyDescent="0.25">
      <c r="A107" s="22" t="s">
        <v>180</v>
      </c>
      <c r="B107" s="22" t="s">
        <v>520</v>
      </c>
      <c r="C107" s="22" t="s">
        <v>511</v>
      </c>
      <c r="D107" s="22" t="s">
        <v>512</v>
      </c>
      <c r="E107" s="22">
        <v>8</v>
      </c>
      <c r="F107" s="22" t="s">
        <v>226</v>
      </c>
      <c r="G107" s="22">
        <v>-105</v>
      </c>
      <c r="H107" s="22">
        <v>72</v>
      </c>
      <c r="I107" s="22">
        <v>51</v>
      </c>
      <c r="J107" s="22">
        <f t="shared" si="15"/>
        <v>536</v>
      </c>
      <c r="K107" s="22">
        <f t="shared" si="16"/>
        <v>111</v>
      </c>
      <c r="L107" s="22">
        <f t="shared" si="17"/>
        <v>425</v>
      </c>
      <c r="M107" s="22">
        <f t="shared" si="18"/>
        <v>859</v>
      </c>
      <c r="N107" s="24">
        <f t="shared" si="19"/>
        <v>0.49476135040745051</v>
      </c>
      <c r="O107" s="22" t="s">
        <v>111</v>
      </c>
    </row>
    <row r="108" spans="1:15" ht="15" customHeight="1" x14ac:dyDescent="0.25">
      <c r="A108" s="22" t="s">
        <v>180</v>
      </c>
      <c r="B108" s="22" t="s">
        <v>520</v>
      </c>
      <c r="C108" s="22" t="s">
        <v>511</v>
      </c>
      <c r="D108" s="22" t="s">
        <v>512</v>
      </c>
      <c r="E108" s="22">
        <v>9</v>
      </c>
      <c r="F108" s="22" t="s">
        <v>264</v>
      </c>
      <c r="G108" s="22">
        <v>-90</v>
      </c>
      <c r="H108" s="22">
        <v>78</v>
      </c>
      <c r="I108" s="22">
        <v>65</v>
      </c>
      <c r="J108" s="22">
        <f t="shared" si="15"/>
        <v>614</v>
      </c>
      <c r="K108" s="22">
        <f t="shared" si="16"/>
        <v>176</v>
      </c>
      <c r="L108" s="22">
        <f t="shared" si="17"/>
        <v>438</v>
      </c>
      <c r="M108" s="22">
        <f t="shared" si="18"/>
        <v>859</v>
      </c>
      <c r="N108" s="24">
        <f t="shared" si="19"/>
        <v>0.50989522700814904</v>
      </c>
      <c r="O108" s="22" t="s">
        <v>111</v>
      </c>
    </row>
    <row r="109" spans="1:15" ht="15" customHeight="1" x14ac:dyDescent="0.25">
      <c r="A109" s="22" t="s">
        <v>180</v>
      </c>
      <c r="B109" s="22" t="s">
        <v>520</v>
      </c>
      <c r="C109" s="22" t="s">
        <v>511</v>
      </c>
      <c r="D109" s="22" t="s">
        <v>512</v>
      </c>
      <c r="E109" s="22">
        <v>10</v>
      </c>
      <c r="F109" s="22" t="s">
        <v>191</v>
      </c>
      <c r="G109" s="22">
        <v>-75</v>
      </c>
      <c r="H109" s="22">
        <v>80</v>
      </c>
      <c r="I109" s="22">
        <v>71</v>
      </c>
      <c r="J109" s="22">
        <f t="shared" si="15"/>
        <v>694</v>
      </c>
      <c r="K109" s="22">
        <f t="shared" si="16"/>
        <v>247</v>
      </c>
      <c r="L109" s="22">
        <f t="shared" si="17"/>
        <v>447</v>
      </c>
      <c r="M109" s="22">
        <f t="shared" si="18"/>
        <v>859</v>
      </c>
      <c r="N109" s="24">
        <f t="shared" si="19"/>
        <v>0.52037252619324792</v>
      </c>
      <c r="O109" s="22" t="s">
        <v>111</v>
      </c>
    </row>
    <row r="110" spans="1:15" ht="15" customHeight="1" x14ac:dyDescent="0.25">
      <c r="A110" s="22" t="s">
        <v>180</v>
      </c>
      <c r="B110" s="22" t="s">
        <v>520</v>
      </c>
      <c r="C110" s="22" t="s">
        <v>511</v>
      </c>
      <c r="D110" s="22" t="s">
        <v>512</v>
      </c>
      <c r="E110" s="22">
        <v>11</v>
      </c>
      <c r="F110" s="22" t="s">
        <v>231</v>
      </c>
      <c r="G110" s="22">
        <v>-60</v>
      </c>
      <c r="H110" s="22">
        <v>41</v>
      </c>
      <c r="I110" s="22">
        <v>101</v>
      </c>
      <c r="J110" s="22">
        <f t="shared" si="15"/>
        <v>735</v>
      </c>
      <c r="K110" s="22">
        <f t="shared" si="16"/>
        <v>348</v>
      </c>
      <c r="L110" s="22">
        <f t="shared" si="17"/>
        <v>387</v>
      </c>
      <c r="M110" s="22">
        <f t="shared" si="18"/>
        <v>859</v>
      </c>
      <c r="N110" s="24">
        <f t="shared" si="19"/>
        <v>0.45052386495925495</v>
      </c>
      <c r="O110" s="22" t="s">
        <v>111</v>
      </c>
    </row>
    <row r="111" spans="1:15" ht="15" customHeight="1" x14ac:dyDescent="0.25">
      <c r="A111" s="22" t="s">
        <v>180</v>
      </c>
      <c r="B111" s="22" t="s">
        <v>520</v>
      </c>
      <c r="C111" s="22" t="s">
        <v>511</v>
      </c>
      <c r="D111" s="22" t="s">
        <v>512</v>
      </c>
      <c r="E111" s="22">
        <v>12</v>
      </c>
      <c r="F111" s="22" t="s">
        <v>239</v>
      </c>
      <c r="G111" s="22">
        <v>-45</v>
      </c>
      <c r="H111" s="22">
        <v>36</v>
      </c>
      <c r="I111" s="22">
        <v>110</v>
      </c>
      <c r="J111" s="22">
        <f t="shared" si="15"/>
        <v>771</v>
      </c>
      <c r="K111" s="22">
        <f t="shared" si="16"/>
        <v>458</v>
      </c>
      <c r="L111" s="22">
        <f t="shared" si="17"/>
        <v>313</v>
      </c>
      <c r="M111" s="22">
        <f t="shared" si="18"/>
        <v>859</v>
      </c>
      <c r="N111" s="24">
        <f t="shared" si="19"/>
        <v>0.36437718277066355</v>
      </c>
      <c r="O111" s="22" t="s">
        <v>111</v>
      </c>
    </row>
    <row r="112" spans="1:15" ht="15" customHeight="1" x14ac:dyDescent="0.25">
      <c r="A112" s="22" t="s">
        <v>180</v>
      </c>
      <c r="B112" s="22" t="s">
        <v>520</v>
      </c>
      <c r="C112" s="22" t="s">
        <v>511</v>
      </c>
      <c r="D112" s="22" t="s">
        <v>512</v>
      </c>
      <c r="E112" s="22">
        <v>13</v>
      </c>
      <c r="F112" s="22" t="s">
        <v>387</v>
      </c>
      <c r="G112" s="22">
        <v>-30</v>
      </c>
      <c r="H112" s="22">
        <v>22</v>
      </c>
      <c r="I112" s="22">
        <v>97</v>
      </c>
      <c r="J112" s="22">
        <f t="shared" si="15"/>
        <v>793</v>
      </c>
      <c r="K112" s="22">
        <f t="shared" si="16"/>
        <v>555</v>
      </c>
      <c r="L112" s="22">
        <f t="shared" si="17"/>
        <v>238</v>
      </c>
      <c r="M112" s="22">
        <f t="shared" si="18"/>
        <v>859</v>
      </c>
      <c r="N112" s="24">
        <f t="shared" si="19"/>
        <v>0.27706635622817227</v>
      </c>
      <c r="O112" s="22" t="s">
        <v>111</v>
      </c>
    </row>
    <row r="113" spans="1:15" ht="15" customHeight="1" x14ac:dyDescent="0.25">
      <c r="A113" s="22" t="s">
        <v>180</v>
      </c>
      <c r="B113" s="22" t="s">
        <v>520</v>
      </c>
      <c r="C113" s="22" t="s">
        <v>511</v>
      </c>
      <c r="D113" s="22" t="s">
        <v>512</v>
      </c>
      <c r="E113" s="22">
        <v>14</v>
      </c>
      <c r="F113" s="22" t="s">
        <v>468</v>
      </c>
      <c r="G113" s="22">
        <v>-15</v>
      </c>
      <c r="H113" s="22">
        <v>26</v>
      </c>
      <c r="I113" s="22">
        <v>87</v>
      </c>
      <c r="J113" s="22">
        <f t="shared" si="15"/>
        <v>819</v>
      </c>
      <c r="K113" s="22">
        <f t="shared" si="16"/>
        <v>642</v>
      </c>
      <c r="L113" s="22">
        <f t="shared" si="17"/>
        <v>177</v>
      </c>
      <c r="M113" s="22">
        <f t="shared" si="18"/>
        <v>859</v>
      </c>
      <c r="N113" s="24">
        <f t="shared" si="19"/>
        <v>0.20605355064027939</v>
      </c>
      <c r="O113" s="22" t="s">
        <v>111</v>
      </c>
    </row>
    <row r="114" spans="1:15" ht="15" customHeight="1" x14ac:dyDescent="0.25">
      <c r="A114" s="22" t="s">
        <v>180</v>
      </c>
      <c r="B114" s="22" t="s">
        <v>520</v>
      </c>
      <c r="C114" s="22" t="s">
        <v>511</v>
      </c>
      <c r="D114" s="22" t="s">
        <v>512</v>
      </c>
      <c r="E114" s="22">
        <v>15</v>
      </c>
      <c r="F114" s="22" t="s">
        <v>469</v>
      </c>
      <c r="G114" s="22">
        <v>0</v>
      </c>
      <c r="H114" s="22">
        <v>14</v>
      </c>
      <c r="I114" s="22">
        <v>52</v>
      </c>
      <c r="J114" s="22">
        <f t="shared" si="15"/>
        <v>833</v>
      </c>
      <c r="K114" s="22">
        <f t="shared" si="16"/>
        <v>694</v>
      </c>
      <c r="L114" s="22">
        <f t="shared" si="17"/>
        <v>139</v>
      </c>
      <c r="M114" s="22">
        <f t="shared" si="18"/>
        <v>859</v>
      </c>
      <c r="N114" s="24">
        <f t="shared" si="19"/>
        <v>0.16181606519208383</v>
      </c>
      <c r="O114" s="22" t="s">
        <v>111</v>
      </c>
    </row>
    <row r="115" spans="1:15" ht="15" customHeight="1" x14ac:dyDescent="0.25">
      <c r="A115" s="22" t="s">
        <v>180</v>
      </c>
      <c r="B115" s="22" t="s">
        <v>520</v>
      </c>
      <c r="C115" s="22" t="s">
        <v>511</v>
      </c>
      <c r="D115" s="22" t="s">
        <v>512</v>
      </c>
      <c r="E115" s="22">
        <v>16</v>
      </c>
      <c r="F115" s="22" t="s">
        <v>351</v>
      </c>
      <c r="G115" s="22">
        <v>15</v>
      </c>
      <c r="H115" s="22">
        <v>17</v>
      </c>
      <c r="I115" s="22">
        <v>49</v>
      </c>
      <c r="J115" s="22">
        <f t="shared" si="15"/>
        <v>850</v>
      </c>
      <c r="K115" s="22">
        <f t="shared" si="16"/>
        <v>743</v>
      </c>
      <c r="L115" s="22">
        <f t="shared" si="17"/>
        <v>107</v>
      </c>
      <c r="M115" s="22">
        <f t="shared" si="18"/>
        <v>859</v>
      </c>
      <c r="N115" s="24">
        <f t="shared" si="19"/>
        <v>0.12456344586728754</v>
      </c>
      <c r="O115" s="22" t="s">
        <v>111</v>
      </c>
    </row>
    <row r="116" spans="1:15" ht="15" customHeight="1" x14ac:dyDescent="0.25">
      <c r="A116" s="22" t="s">
        <v>180</v>
      </c>
      <c r="B116" s="22" t="s">
        <v>520</v>
      </c>
      <c r="C116" s="22" t="s">
        <v>511</v>
      </c>
      <c r="D116" s="22" t="s">
        <v>512</v>
      </c>
      <c r="E116" s="22">
        <v>17</v>
      </c>
      <c r="F116" s="22" t="s">
        <v>311</v>
      </c>
      <c r="G116" s="22">
        <v>30</v>
      </c>
      <c r="H116" s="22">
        <v>3</v>
      </c>
      <c r="I116" s="22">
        <v>28</v>
      </c>
      <c r="J116" s="22">
        <f t="shared" si="15"/>
        <v>853</v>
      </c>
      <c r="K116" s="22">
        <f t="shared" si="16"/>
        <v>771</v>
      </c>
      <c r="L116" s="22">
        <f t="shared" si="17"/>
        <v>82</v>
      </c>
      <c r="M116" s="22">
        <f t="shared" si="18"/>
        <v>859</v>
      </c>
      <c r="N116" s="24">
        <f t="shared" si="19"/>
        <v>9.5459837019790453E-2</v>
      </c>
      <c r="O116" s="22" t="s">
        <v>111</v>
      </c>
    </row>
    <row r="117" spans="1:15" ht="15" customHeight="1" x14ac:dyDescent="0.25">
      <c r="A117" s="22" t="s">
        <v>180</v>
      </c>
      <c r="B117" s="22" t="s">
        <v>520</v>
      </c>
      <c r="C117" s="22" t="s">
        <v>511</v>
      </c>
      <c r="D117" s="22" t="s">
        <v>512</v>
      </c>
      <c r="E117" s="22">
        <v>18</v>
      </c>
      <c r="F117" s="22" t="s">
        <v>211</v>
      </c>
      <c r="G117" s="22">
        <v>45</v>
      </c>
      <c r="H117" s="22">
        <v>6</v>
      </c>
      <c r="I117" s="22">
        <v>36</v>
      </c>
      <c r="J117" s="22">
        <f t="shared" si="15"/>
        <v>859</v>
      </c>
      <c r="K117" s="22">
        <f t="shared" si="16"/>
        <v>807</v>
      </c>
      <c r="L117" s="22">
        <f t="shared" si="17"/>
        <v>52</v>
      </c>
      <c r="M117" s="22">
        <f t="shared" si="18"/>
        <v>859</v>
      </c>
      <c r="N117" s="24">
        <f t="shared" si="19"/>
        <v>6.0535506402793947E-2</v>
      </c>
      <c r="O117" s="22" t="s">
        <v>111</v>
      </c>
    </row>
    <row r="118" spans="1:15" ht="15" customHeight="1" x14ac:dyDescent="0.25">
      <c r="A118" s="22" t="s">
        <v>298</v>
      </c>
      <c r="B118" s="22" t="s">
        <v>518</v>
      </c>
      <c r="C118" s="22" t="s">
        <v>511</v>
      </c>
      <c r="D118" s="22" t="s">
        <v>512</v>
      </c>
      <c r="E118" s="22">
        <v>0</v>
      </c>
      <c r="F118" s="22" t="s">
        <v>189</v>
      </c>
      <c r="G118" s="22"/>
      <c r="H118" s="22">
        <v>25</v>
      </c>
      <c r="I118" s="22">
        <v>1</v>
      </c>
      <c r="J118" s="22">
        <f t="shared" si="15"/>
        <v>25</v>
      </c>
      <c r="K118" s="22">
        <f t="shared" si="16"/>
        <v>1</v>
      </c>
      <c r="L118" s="22">
        <f t="shared" si="17"/>
        <v>24</v>
      </c>
      <c r="M118" s="22">
        <f t="shared" si="18"/>
        <v>643</v>
      </c>
      <c r="N118" s="24">
        <f t="shared" si="19"/>
        <v>3.7325038880248837E-2</v>
      </c>
      <c r="O118" s="22" t="s">
        <v>519</v>
      </c>
    </row>
    <row r="119" spans="1:15" ht="15" customHeight="1" x14ac:dyDescent="0.25">
      <c r="A119" s="22" t="s">
        <v>298</v>
      </c>
      <c r="B119" s="22" t="s">
        <v>518</v>
      </c>
      <c r="C119" s="22" t="s">
        <v>511</v>
      </c>
      <c r="D119" s="22" t="s">
        <v>512</v>
      </c>
      <c r="E119" s="22">
        <v>1</v>
      </c>
      <c r="F119" s="22" t="s">
        <v>471</v>
      </c>
      <c r="G119" s="22">
        <v>-210</v>
      </c>
      <c r="H119" s="22">
        <v>15</v>
      </c>
      <c r="I119" s="22">
        <v>3</v>
      </c>
      <c r="J119" s="22">
        <f t="shared" si="15"/>
        <v>40</v>
      </c>
      <c r="K119" s="22">
        <f t="shared" si="16"/>
        <v>4</v>
      </c>
      <c r="L119" s="22">
        <f t="shared" si="17"/>
        <v>36</v>
      </c>
      <c r="M119" s="22">
        <f t="shared" si="18"/>
        <v>643</v>
      </c>
      <c r="N119" s="24">
        <f t="shared" si="19"/>
        <v>5.5987558320373249E-2</v>
      </c>
      <c r="O119" s="22" t="s">
        <v>519</v>
      </c>
    </row>
    <row r="120" spans="1:15" ht="15" customHeight="1" x14ac:dyDescent="0.25">
      <c r="A120" s="22" t="s">
        <v>298</v>
      </c>
      <c r="B120" s="22" t="s">
        <v>518</v>
      </c>
      <c r="C120" s="22" t="s">
        <v>511</v>
      </c>
      <c r="D120" s="22" t="s">
        <v>512</v>
      </c>
      <c r="E120" s="22">
        <v>2</v>
      </c>
      <c r="F120" s="22" t="s">
        <v>325</v>
      </c>
      <c r="G120" s="22">
        <v>-195</v>
      </c>
      <c r="H120" s="22">
        <v>53</v>
      </c>
      <c r="I120" s="22">
        <v>4</v>
      </c>
      <c r="J120" s="22">
        <f t="shared" si="15"/>
        <v>93</v>
      </c>
      <c r="K120" s="22">
        <f t="shared" si="16"/>
        <v>8</v>
      </c>
      <c r="L120" s="22">
        <f t="shared" si="17"/>
        <v>85</v>
      </c>
      <c r="M120" s="22">
        <f t="shared" si="18"/>
        <v>643</v>
      </c>
      <c r="N120" s="24">
        <f t="shared" si="19"/>
        <v>0.13219284603421461</v>
      </c>
      <c r="O120" s="22" t="s">
        <v>519</v>
      </c>
    </row>
    <row r="121" spans="1:15" ht="15" customHeight="1" x14ac:dyDescent="0.25">
      <c r="A121" s="22" t="s">
        <v>298</v>
      </c>
      <c r="B121" s="22" t="s">
        <v>518</v>
      </c>
      <c r="C121" s="22" t="s">
        <v>511</v>
      </c>
      <c r="D121" s="22" t="s">
        <v>512</v>
      </c>
      <c r="E121" s="22">
        <v>3</v>
      </c>
      <c r="F121" s="22" t="s">
        <v>464</v>
      </c>
      <c r="G121" s="22">
        <v>-180</v>
      </c>
      <c r="H121" s="22">
        <v>55</v>
      </c>
      <c r="I121" s="22">
        <v>10</v>
      </c>
      <c r="J121" s="22">
        <f t="shared" si="15"/>
        <v>148</v>
      </c>
      <c r="K121" s="22">
        <f t="shared" si="16"/>
        <v>18</v>
      </c>
      <c r="L121" s="22">
        <f t="shared" si="17"/>
        <v>130</v>
      </c>
      <c r="M121" s="22">
        <f t="shared" si="18"/>
        <v>643</v>
      </c>
      <c r="N121" s="24">
        <f t="shared" si="19"/>
        <v>0.20217729393468117</v>
      </c>
      <c r="O121" s="22" t="s">
        <v>519</v>
      </c>
    </row>
    <row r="122" spans="1:15" ht="15" customHeight="1" x14ac:dyDescent="0.25">
      <c r="A122" s="22" t="s">
        <v>298</v>
      </c>
      <c r="B122" s="22" t="s">
        <v>518</v>
      </c>
      <c r="C122" s="22" t="s">
        <v>511</v>
      </c>
      <c r="D122" s="22" t="s">
        <v>512</v>
      </c>
      <c r="E122" s="22">
        <v>4</v>
      </c>
      <c r="F122" s="22" t="s">
        <v>465</v>
      </c>
      <c r="G122" s="22">
        <v>-165</v>
      </c>
      <c r="H122" s="22">
        <v>69</v>
      </c>
      <c r="I122" s="22">
        <v>2</v>
      </c>
      <c r="J122" s="22">
        <f t="shared" si="15"/>
        <v>217</v>
      </c>
      <c r="K122" s="22">
        <f t="shared" si="16"/>
        <v>20</v>
      </c>
      <c r="L122" s="22">
        <f t="shared" si="17"/>
        <v>197</v>
      </c>
      <c r="M122" s="22">
        <f t="shared" si="18"/>
        <v>643</v>
      </c>
      <c r="N122" s="24">
        <f t="shared" si="19"/>
        <v>0.30637636080870917</v>
      </c>
      <c r="O122" s="22" t="s">
        <v>519</v>
      </c>
    </row>
    <row r="123" spans="1:15" ht="15" customHeight="1" x14ac:dyDescent="0.25">
      <c r="A123" s="22" t="s">
        <v>298</v>
      </c>
      <c r="B123" s="22" t="s">
        <v>518</v>
      </c>
      <c r="C123" s="22" t="s">
        <v>511</v>
      </c>
      <c r="D123" s="22" t="s">
        <v>512</v>
      </c>
      <c r="E123" s="22">
        <v>5</v>
      </c>
      <c r="F123" s="22" t="s">
        <v>466</v>
      </c>
      <c r="G123" s="22">
        <v>-150</v>
      </c>
      <c r="H123" s="22">
        <v>64</v>
      </c>
      <c r="I123" s="22">
        <v>2</v>
      </c>
      <c r="J123" s="22">
        <f t="shared" si="15"/>
        <v>281</v>
      </c>
      <c r="K123" s="22">
        <f t="shared" si="16"/>
        <v>22</v>
      </c>
      <c r="L123" s="22">
        <f t="shared" si="17"/>
        <v>259</v>
      </c>
      <c r="M123" s="22">
        <f t="shared" si="18"/>
        <v>643</v>
      </c>
      <c r="N123" s="24">
        <f t="shared" si="19"/>
        <v>0.40279937791601866</v>
      </c>
      <c r="O123" s="22" t="s">
        <v>519</v>
      </c>
    </row>
    <row r="124" spans="1:15" ht="15" customHeight="1" x14ac:dyDescent="0.25">
      <c r="A124" s="22" t="s">
        <v>298</v>
      </c>
      <c r="B124" s="22" t="s">
        <v>518</v>
      </c>
      <c r="C124" s="22" t="s">
        <v>511</v>
      </c>
      <c r="D124" s="22" t="s">
        <v>512</v>
      </c>
      <c r="E124" s="22">
        <v>6</v>
      </c>
      <c r="F124" s="22" t="s">
        <v>467</v>
      </c>
      <c r="G124" s="22">
        <v>-135</v>
      </c>
      <c r="H124" s="22">
        <v>64</v>
      </c>
      <c r="I124" s="22">
        <v>8</v>
      </c>
      <c r="J124" s="22">
        <f t="shared" si="15"/>
        <v>345</v>
      </c>
      <c r="K124" s="22">
        <f t="shared" si="16"/>
        <v>30</v>
      </c>
      <c r="L124" s="22">
        <f t="shared" si="17"/>
        <v>315</v>
      </c>
      <c r="M124" s="22">
        <f t="shared" si="18"/>
        <v>643</v>
      </c>
      <c r="N124" s="24">
        <f t="shared" si="19"/>
        <v>0.48989113530326595</v>
      </c>
      <c r="O124" s="22" t="s">
        <v>519</v>
      </c>
    </row>
    <row r="125" spans="1:15" ht="15" customHeight="1" x14ac:dyDescent="0.25">
      <c r="A125" s="22" t="s">
        <v>298</v>
      </c>
      <c r="B125" s="22" t="s">
        <v>518</v>
      </c>
      <c r="C125" s="22" t="s">
        <v>511</v>
      </c>
      <c r="D125" s="22" t="s">
        <v>512</v>
      </c>
      <c r="E125" s="22">
        <v>7</v>
      </c>
      <c r="F125" s="22" t="s">
        <v>212</v>
      </c>
      <c r="G125" s="22">
        <v>-120</v>
      </c>
      <c r="H125" s="22">
        <v>66</v>
      </c>
      <c r="I125" s="22">
        <v>14</v>
      </c>
      <c r="J125" s="22">
        <f t="shared" si="15"/>
        <v>411</v>
      </c>
      <c r="K125" s="22">
        <f t="shared" si="16"/>
        <v>44</v>
      </c>
      <c r="L125" s="22">
        <f t="shared" si="17"/>
        <v>367</v>
      </c>
      <c r="M125" s="22">
        <f t="shared" si="18"/>
        <v>643</v>
      </c>
      <c r="N125" s="24">
        <f t="shared" si="19"/>
        <v>0.57076205287713844</v>
      </c>
      <c r="O125" s="22" t="s">
        <v>519</v>
      </c>
    </row>
    <row r="126" spans="1:15" ht="15" customHeight="1" x14ac:dyDescent="0.25">
      <c r="A126" s="22" t="s">
        <v>298</v>
      </c>
      <c r="B126" s="22" t="s">
        <v>518</v>
      </c>
      <c r="C126" s="22" t="s">
        <v>511</v>
      </c>
      <c r="D126" s="22" t="s">
        <v>512</v>
      </c>
      <c r="E126" s="22">
        <v>8</v>
      </c>
      <c r="F126" s="22" t="s">
        <v>226</v>
      </c>
      <c r="G126" s="22">
        <v>-105</v>
      </c>
      <c r="H126" s="22">
        <v>59</v>
      </c>
      <c r="I126" s="22">
        <v>30</v>
      </c>
      <c r="J126" s="22">
        <f t="shared" si="15"/>
        <v>470</v>
      </c>
      <c r="K126" s="22">
        <f t="shared" si="16"/>
        <v>74</v>
      </c>
      <c r="L126" s="22">
        <f t="shared" si="17"/>
        <v>396</v>
      </c>
      <c r="M126" s="22">
        <f t="shared" si="18"/>
        <v>643</v>
      </c>
      <c r="N126" s="24">
        <f t="shared" si="19"/>
        <v>0.61586314152410571</v>
      </c>
      <c r="O126" s="22" t="s">
        <v>519</v>
      </c>
    </row>
    <row r="127" spans="1:15" ht="15" customHeight="1" x14ac:dyDescent="0.25">
      <c r="A127" s="22" t="s">
        <v>298</v>
      </c>
      <c r="B127" s="22" t="s">
        <v>518</v>
      </c>
      <c r="C127" s="22" t="s">
        <v>511</v>
      </c>
      <c r="D127" s="22" t="s">
        <v>512</v>
      </c>
      <c r="E127" s="22">
        <v>9</v>
      </c>
      <c r="F127" s="22" t="s">
        <v>264</v>
      </c>
      <c r="G127" s="22">
        <v>-90</v>
      </c>
      <c r="H127" s="22">
        <v>53</v>
      </c>
      <c r="I127" s="22">
        <v>48</v>
      </c>
      <c r="J127" s="22">
        <f t="shared" si="15"/>
        <v>523</v>
      </c>
      <c r="K127" s="22">
        <f t="shared" si="16"/>
        <v>122</v>
      </c>
      <c r="L127" s="22">
        <f t="shared" si="17"/>
        <v>401</v>
      </c>
      <c r="M127" s="22">
        <f t="shared" si="18"/>
        <v>643</v>
      </c>
      <c r="N127" s="24">
        <f t="shared" si="19"/>
        <v>0.62363919129082424</v>
      </c>
      <c r="O127" s="22" t="s">
        <v>519</v>
      </c>
    </row>
    <row r="128" spans="1:15" ht="15" customHeight="1" x14ac:dyDescent="0.25">
      <c r="A128" s="22" t="s">
        <v>298</v>
      </c>
      <c r="B128" s="22" t="s">
        <v>518</v>
      </c>
      <c r="C128" s="22" t="s">
        <v>511</v>
      </c>
      <c r="D128" s="22" t="s">
        <v>512</v>
      </c>
      <c r="E128" s="22">
        <v>10</v>
      </c>
      <c r="F128" s="22" t="s">
        <v>191</v>
      </c>
      <c r="G128" s="22">
        <v>-75</v>
      </c>
      <c r="H128" s="22">
        <v>29</v>
      </c>
      <c r="I128" s="22">
        <v>59</v>
      </c>
      <c r="J128" s="22">
        <f t="shared" si="15"/>
        <v>552</v>
      </c>
      <c r="K128" s="22">
        <f t="shared" si="16"/>
        <v>181</v>
      </c>
      <c r="L128" s="22">
        <f t="shared" si="17"/>
        <v>371</v>
      </c>
      <c r="M128" s="22">
        <f t="shared" si="18"/>
        <v>643</v>
      </c>
      <c r="N128" s="24">
        <f t="shared" si="19"/>
        <v>0.57698289269051317</v>
      </c>
      <c r="O128" s="22" t="s">
        <v>519</v>
      </c>
    </row>
    <row r="129" spans="1:15" ht="15" customHeight="1" x14ac:dyDescent="0.25">
      <c r="A129" s="22" t="s">
        <v>298</v>
      </c>
      <c r="B129" s="22" t="s">
        <v>518</v>
      </c>
      <c r="C129" s="22" t="s">
        <v>511</v>
      </c>
      <c r="D129" s="22" t="s">
        <v>512</v>
      </c>
      <c r="E129" s="22">
        <v>11</v>
      </c>
      <c r="F129" s="22" t="s">
        <v>231</v>
      </c>
      <c r="G129" s="22">
        <v>-60</v>
      </c>
      <c r="H129" s="22">
        <v>33</v>
      </c>
      <c r="I129" s="22">
        <v>76</v>
      </c>
      <c r="J129" s="22">
        <f t="shared" si="15"/>
        <v>585</v>
      </c>
      <c r="K129" s="22">
        <f t="shared" si="16"/>
        <v>257</v>
      </c>
      <c r="L129" s="22">
        <f t="shared" si="17"/>
        <v>328</v>
      </c>
      <c r="M129" s="22">
        <f t="shared" si="18"/>
        <v>643</v>
      </c>
      <c r="N129" s="24">
        <f t="shared" si="19"/>
        <v>0.51010886469673411</v>
      </c>
      <c r="O129" s="22" t="s">
        <v>519</v>
      </c>
    </row>
    <row r="130" spans="1:15" ht="15" customHeight="1" x14ac:dyDescent="0.25">
      <c r="A130" s="22" t="s">
        <v>298</v>
      </c>
      <c r="B130" s="22" t="s">
        <v>518</v>
      </c>
      <c r="C130" s="22" t="s">
        <v>511</v>
      </c>
      <c r="D130" s="22" t="s">
        <v>512</v>
      </c>
      <c r="E130" s="22">
        <v>12</v>
      </c>
      <c r="F130" s="22" t="s">
        <v>239</v>
      </c>
      <c r="G130" s="22">
        <v>-45</v>
      </c>
      <c r="H130" s="22">
        <v>16</v>
      </c>
      <c r="I130" s="22">
        <v>75</v>
      </c>
      <c r="J130" s="22">
        <f t="shared" ref="J130:J155" si="20">SUMIFS($H$2:$H$260,$A$2:$A$260,$A130,$B$2:$B$260,$B130,$E$2:$E$260,"&lt;="&amp;$E130)</f>
        <v>601</v>
      </c>
      <c r="K130" s="22">
        <f t="shared" ref="K130:K155" si="21">SUMIFS($I$2:$I$260,$A$2:$A$260,$A130,$B$2:$B$260,$B130,$E$2:$E$260,"&lt;="&amp;$E130)</f>
        <v>332</v>
      </c>
      <c r="L130" s="22">
        <f t="shared" ref="L130:L161" si="22">J130-K130</f>
        <v>269</v>
      </c>
      <c r="M130" s="22">
        <f t="shared" ref="M130:M155" si="23">SUMIFS($H$2:$H$260,$A$2:$A$260,$A130,$B$2:$B$260,$B130)</f>
        <v>643</v>
      </c>
      <c r="N130" s="24">
        <f t="shared" ref="N130:N161" si="24">IF(M130=0,"",L130/M130)</f>
        <v>0.41835147744945567</v>
      </c>
      <c r="O130" s="22" t="s">
        <v>519</v>
      </c>
    </row>
    <row r="131" spans="1:15" ht="15" customHeight="1" x14ac:dyDescent="0.25">
      <c r="A131" s="22" t="s">
        <v>298</v>
      </c>
      <c r="B131" s="22" t="s">
        <v>518</v>
      </c>
      <c r="C131" s="22" t="s">
        <v>511</v>
      </c>
      <c r="D131" s="22" t="s">
        <v>512</v>
      </c>
      <c r="E131" s="22">
        <v>13</v>
      </c>
      <c r="F131" s="22" t="s">
        <v>387</v>
      </c>
      <c r="G131" s="22">
        <v>-30</v>
      </c>
      <c r="H131" s="22">
        <v>14</v>
      </c>
      <c r="I131" s="22">
        <v>76</v>
      </c>
      <c r="J131" s="22">
        <f t="shared" si="20"/>
        <v>615</v>
      </c>
      <c r="K131" s="22">
        <f t="shared" si="21"/>
        <v>408</v>
      </c>
      <c r="L131" s="22">
        <f t="shared" si="22"/>
        <v>207</v>
      </c>
      <c r="M131" s="22">
        <f t="shared" si="23"/>
        <v>643</v>
      </c>
      <c r="N131" s="24">
        <f t="shared" si="24"/>
        <v>0.32192846034214617</v>
      </c>
      <c r="O131" s="22" t="s">
        <v>519</v>
      </c>
    </row>
    <row r="132" spans="1:15" ht="15" customHeight="1" x14ac:dyDescent="0.25">
      <c r="A132" s="22" t="s">
        <v>298</v>
      </c>
      <c r="B132" s="22" t="s">
        <v>518</v>
      </c>
      <c r="C132" s="22" t="s">
        <v>511</v>
      </c>
      <c r="D132" s="22" t="s">
        <v>512</v>
      </c>
      <c r="E132" s="22">
        <v>14</v>
      </c>
      <c r="F132" s="22" t="s">
        <v>468</v>
      </c>
      <c r="G132" s="22">
        <v>-15</v>
      </c>
      <c r="H132" s="22">
        <v>16</v>
      </c>
      <c r="I132" s="22">
        <v>64</v>
      </c>
      <c r="J132" s="22">
        <f t="shared" si="20"/>
        <v>631</v>
      </c>
      <c r="K132" s="22">
        <f t="shared" si="21"/>
        <v>472</v>
      </c>
      <c r="L132" s="22">
        <f t="shared" si="22"/>
        <v>159</v>
      </c>
      <c r="M132" s="22">
        <f t="shared" si="23"/>
        <v>643</v>
      </c>
      <c r="N132" s="24">
        <f t="shared" si="24"/>
        <v>0.24727838258164853</v>
      </c>
      <c r="O132" s="22" t="s">
        <v>519</v>
      </c>
    </row>
    <row r="133" spans="1:15" ht="15" customHeight="1" x14ac:dyDescent="0.25">
      <c r="A133" s="22" t="s">
        <v>298</v>
      </c>
      <c r="B133" s="22" t="s">
        <v>518</v>
      </c>
      <c r="C133" s="22" t="s">
        <v>511</v>
      </c>
      <c r="D133" s="22" t="s">
        <v>512</v>
      </c>
      <c r="E133" s="22">
        <v>15</v>
      </c>
      <c r="F133" s="22" t="s">
        <v>469</v>
      </c>
      <c r="G133" s="22">
        <v>0</v>
      </c>
      <c r="H133" s="22">
        <v>7</v>
      </c>
      <c r="I133" s="22">
        <v>54</v>
      </c>
      <c r="J133" s="22">
        <f t="shared" si="20"/>
        <v>638</v>
      </c>
      <c r="K133" s="22">
        <f t="shared" si="21"/>
        <v>526</v>
      </c>
      <c r="L133" s="22">
        <f t="shared" si="22"/>
        <v>112</v>
      </c>
      <c r="M133" s="22">
        <f t="shared" si="23"/>
        <v>643</v>
      </c>
      <c r="N133" s="24">
        <f t="shared" si="24"/>
        <v>0.17418351477449456</v>
      </c>
      <c r="O133" s="22" t="s">
        <v>519</v>
      </c>
    </row>
    <row r="134" spans="1:15" ht="15" customHeight="1" x14ac:dyDescent="0.25">
      <c r="A134" s="22" t="s">
        <v>298</v>
      </c>
      <c r="B134" s="22" t="s">
        <v>518</v>
      </c>
      <c r="C134" s="22" t="s">
        <v>511</v>
      </c>
      <c r="D134" s="22" t="s">
        <v>512</v>
      </c>
      <c r="E134" s="22">
        <v>16</v>
      </c>
      <c r="F134" s="22" t="s">
        <v>351</v>
      </c>
      <c r="G134" s="22">
        <v>15</v>
      </c>
      <c r="H134" s="22">
        <v>3</v>
      </c>
      <c r="I134" s="22">
        <v>30</v>
      </c>
      <c r="J134" s="22">
        <f t="shared" si="20"/>
        <v>641</v>
      </c>
      <c r="K134" s="22">
        <f t="shared" si="21"/>
        <v>556</v>
      </c>
      <c r="L134" s="22">
        <f t="shared" si="22"/>
        <v>85</v>
      </c>
      <c r="M134" s="22">
        <f t="shared" si="23"/>
        <v>643</v>
      </c>
      <c r="N134" s="24">
        <f t="shared" si="24"/>
        <v>0.13219284603421461</v>
      </c>
      <c r="O134" s="22" t="s">
        <v>519</v>
      </c>
    </row>
    <row r="135" spans="1:15" ht="15" customHeight="1" x14ac:dyDescent="0.25">
      <c r="A135" s="22" t="s">
        <v>298</v>
      </c>
      <c r="B135" s="22" t="s">
        <v>518</v>
      </c>
      <c r="C135" s="22" t="s">
        <v>511</v>
      </c>
      <c r="D135" s="22" t="s">
        <v>512</v>
      </c>
      <c r="E135" s="22">
        <v>17</v>
      </c>
      <c r="F135" s="22" t="s">
        <v>311</v>
      </c>
      <c r="G135" s="22">
        <v>30</v>
      </c>
      <c r="H135" s="22">
        <v>2</v>
      </c>
      <c r="I135" s="22">
        <v>18</v>
      </c>
      <c r="J135" s="22">
        <f t="shared" si="20"/>
        <v>643</v>
      </c>
      <c r="K135" s="22">
        <f t="shared" si="21"/>
        <v>574</v>
      </c>
      <c r="L135" s="22">
        <f t="shared" si="22"/>
        <v>69</v>
      </c>
      <c r="M135" s="22">
        <f t="shared" si="23"/>
        <v>643</v>
      </c>
      <c r="N135" s="24">
        <f t="shared" si="24"/>
        <v>0.10730948678071539</v>
      </c>
      <c r="O135" s="22" t="s">
        <v>519</v>
      </c>
    </row>
    <row r="136" spans="1:15" ht="15" customHeight="1" x14ac:dyDescent="0.25">
      <c r="A136" s="22" t="s">
        <v>298</v>
      </c>
      <c r="B136" s="22" t="s">
        <v>518</v>
      </c>
      <c r="C136" s="22" t="s">
        <v>511</v>
      </c>
      <c r="D136" s="22" t="s">
        <v>512</v>
      </c>
      <c r="E136" s="22">
        <v>18</v>
      </c>
      <c r="F136" s="22" t="s">
        <v>211</v>
      </c>
      <c r="G136" s="22">
        <v>45</v>
      </c>
      <c r="H136" s="22">
        <v>0</v>
      </c>
      <c r="I136" s="22">
        <v>16</v>
      </c>
      <c r="J136" s="22">
        <f t="shared" si="20"/>
        <v>643</v>
      </c>
      <c r="K136" s="22">
        <f t="shared" si="21"/>
        <v>590</v>
      </c>
      <c r="L136" s="22">
        <f t="shared" si="22"/>
        <v>53</v>
      </c>
      <c r="M136" s="22">
        <f t="shared" si="23"/>
        <v>643</v>
      </c>
      <c r="N136" s="24">
        <f t="shared" si="24"/>
        <v>8.2426127527216175E-2</v>
      </c>
      <c r="O136" s="22" t="s">
        <v>519</v>
      </c>
    </row>
    <row r="137" spans="1:15" ht="15" customHeight="1" x14ac:dyDescent="0.25">
      <c r="A137" s="22" t="s">
        <v>298</v>
      </c>
      <c r="B137" s="22" t="s">
        <v>521</v>
      </c>
      <c r="C137" s="22" t="s">
        <v>511</v>
      </c>
      <c r="D137" s="22" t="s">
        <v>512</v>
      </c>
      <c r="E137" s="22">
        <v>0</v>
      </c>
      <c r="F137" s="22" t="s">
        <v>189</v>
      </c>
      <c r="G137" s="22"/>
      <c r="H137" s="22">
        <v>25</v>
      </c>
      <c r="I137" s="22">
        <v>1</v>
      </c>
      <c r="J137" s="22">
        <f t="shared" si="20"/>
        <v>25</v>
      </c>
      <c r="K137" s="22">
        <f t="shared" si="21"/>
        <v>1</v>
      </c>
      <c r="L137" s="22">
        <f t="shared" si="22"/>
        <v>24</v>
      </c>
      <c r="M137" s="22">
        <f t="shared" si="23"/>
        <v>762</v>
      </c>
      <c r="N137" s="24">
        <f t="shared" si="24"/>
        <v>3.1496062992125984E-2</v>
      </c>
      <c r="O137" s="22" t="s">
        <v>119</v>
      </c>
    </row>
    <row r="138" spans="1:15" ht="15" customHeight="1" x14ac:dyDescent="0.25">
      <c r="A138" s="22" t="s">
        <v>298</v>
      </c>
      <c r="B138" s="22" t="s">
        <v>521</v>
      </c>
      <c r="C138" s="22" t="s">
        <v>511</v>
      </c>
      <c r="D138" s="22" t="s">
        <v>512</v>
      </c>
      <c r="E138" s="22">
        <v>1</v>
      </c>
      <c r="F138" s="22" t="s">
        <v>471</v>
      </c>
      <c r="G138" s="22">
        <v>-210</v>
      </c>
      <c r="H138" s="22">
        <v>15</v>
      </c>
      <c r="I138" s="22">
        <v>3</v>
      </c>
      <c r="J138" s="22">
        <f t="shared" si="20"/>
        <v>40</v>
      </c>
      <c r="K138" s="22">
        <f t="shared" si="21"/>
        <v>4</v>
      </c>
      <c r="L138" s="22">
        <f t="shared" si="22"/>
        <v>36</v>
      </c>
      <c r="M138" s="22">
        <f t="shared" si="23"/>
        <v>762</v>
      </c>
      <c r="N138" s="24">
        <f t="shared" si="24"/>
        <v>4.7244094488188976E-2</v>
      </c>
      <c r="O138" s="22" t="s">
        <v>119</v>
      </c>
    </row>
    <row r="139" spans="1:15" ht="15" customHeight="1" x14ac:dyDescent="0.25">
      <c r="A139" s="22" t="s">
        <v>298</v>
      </c>
      <c r="B139" s="22" t="s">
        <v>521</v>
      </c>
      <c r="C139" s="22" t="s">
        <v>511</v>
      </c>
      <c r="D139" s="22" t="s">
        <v>512</v>
      </c>
      <c r="E139" s="22">
        <v>2</v>
      </c>
      <c r="F139" s="22" t="s">
        <v>325</v>
      </c>
      <c r="G139" s="22">
        <v>-195</v>
      </c>
      <c r="H139" s="22">
        <v>60</v>
      </c>
      <c r="I139" s="22">
        <v>4</v>
      </c>
      <c r="J139" s="22">
        <f t="shared" si="20"/>
        <v>100</v>
      </c>
      <c r="K139" s="22">
        <f t="shared" si="21"/>
        <v>8</v>
      </c>
      <c r="L139" s="22">
        <f t="shared" si="22"/>
        <v>92</v>
      </c>
      <c r="M139" s="22">
        <f t="shared" si="23"/>
        <v>762</v>
      </c>
      <c r="N139" s="24">
        <f t="shared" si="24"/>
        <v>0.12073490813648294</v>
      </c>
      <c r="O139" s="22" t="s">
        <v>119</v>
      </c>
    </row>
    <row r="140" spans="1:15" ht="15" customHeight="1" x14ac:dyDescent="0.25">
      <c r="A140" s="22" t="s">
        <v>298</v>
      </c>
      <c r="B140" s="22" t="s">
        <v>521</v>
      </c>
      <c r="C140" s="22" t="s">
        <v>511</v>
      </c>
      <c r="D140" s="22" t="s">
        <v>512</v>
      </c>
      <c r="E140" s="22">
        <v>3</v>
      </c>
      <c r="F140" s="22" t="s">
        <v>464</v>
      </c>
      <c r="G140" s="22">
        <v>-180</v>
      </c>
      <c r="H140" s="22">
        <v>65</v>
      </c>
      <c r="I140" s="22">
        <v>11</v>
      </c>
      <c r="J140" s="22">
        <f t="shared" si="20"/>
        <v>165</v>
      </c>
      <c r="K140" s="22">
        <f t="shared" si="21"/>
        <v>19</v>
      </c>
      <c r="L140" s="22">
        <f t="shared" si="22"/>
        <v>146</v>
      </c>
      <c r="M140" s="22">
        <f t="shared" si="23"/>
        <v>762</v>
      </c>
      <c r="N140" s="24">
        <f t="shared" si="24"/>
        <v>0.19160104986876642</v>
      </c>
      <c r="O140" s="22" t="s">
        <v>119</v>
      </c>
    </row>
    <row r="141" spans="1:15" ht="15" customHeight="1" x14ac:dyDescent="0.25">
      <c r="A141" s="22" t="s">
        <v>298</v>
      </c>
      <c r="B141" s="22" t="s">
        <v>521</v>
      </c>
      <c r="C141" s="22" t="s">
        <v>511</v>
      </c>
      <c r="D141" s="22" t="s">
        <v>512</v>
      </c>
      <c r="E141" s="22">
        <v>4</v>
      </c>
      <c r="F141" s="22" t="s">
        <v>465</v>
      </c>
      <c r="G141" s="22">
        <v>-165</v>
      </c>
      <c r="H141" s="22">
        <v>79</v>
      </c>
      <c r="I141" s="22">
        <v>5</v>
      </c>
      <c r="J141" s="22">
        <f t="shared" si="20"/>
        <v>244</v>
      </c>
      <c r="K141" s="22">
        <f t="shared" si="21"/>
        <v>24</v>
      </c>
      <c r="L141" s="22">
        <f t="shared" si="22"/>
        <v>220</v>
      </c>
      <c r="M141" s="22">
        <f t="shared" si="23"/>
        <v>762</v>
      </c>
      <c r="N141" s="24">
        <f t="shared" si="24"/>
        <v>0.28871391076115488</v>
      </c>
      <c r="O141" s="22" t="s">
        <v>119</v>
      </c>
    </row>
    <row r="142" spans="1:15" ht="15" customHeight="1" x14ac:dyDescent="0.25">
      <c r="A142" s="22" t="s">
        <v>298</v>
      </c>
      <c r="B142" s="22" t="s">
        <v>521</v>
      </c>
      <c r="C142" s="22" t="s">
        <v>511</v>
      </c>
      <c r="D142" s="22" t="s">
        <v>512</v>
      </c>
      <c r="E142" s="22">
        <v>5</v>
      </c>
      <c r="F142" s="22" t="s">
        <v>466</v>
      </c>
      <c r="G142" s="22">
        <v>-150</v>
      </c>
      <c r="H142" s="22">
        <v>89</v>
      </c>
      <c r="I142" s="22">
        <v>3</v>
      </c>
      <c r="J142" s="22">
        <f t="shared" si="20"/>
        <v>333</v>
      </c>
      <c r="K142" s="22">
        <f t="shared" si="21"/>
        <v>27</v>
      </c>
      <c r="L142" s="22">
        <f t="shared" si="22"/>
        <v>306</v>
      </c>
      <c r="M142" s="22">
        <f t="shared" si="23"/>
        <v>762</v>
      </c>
      <c r="N142" s="24">
        <f t="shared" si="24"/>
        <v>0.40157480314960631</v>
      </c>
      <c r="O142" s="22" t="s">
        <v>119</v>
      </c>
    </row>
    <row r="143" spans="1:15" ht="15" customHeight="1" x14ac:dyDescent="0.25">
      <c r="A143" s="22" t="s">
        <v>298</v>
      </c>
      <c r="B143" s="22" t="s">
        <v>521</v>
      </c>
      <c r="C143" s="22" t="s">
        <v>511</v>
      </c>
      <c r="D143" s="22" t="s">
        <v>512</v>
      </c>
      <c r="E143" s="22">
        <v>6</v>
      </c>
      <c r="F143" s="22" t="s">
        <v>467</v>
      </c>
      <c r="G143" s="22">
        <v>-135</v>
      </c>
      <c r="H143" s="22">
        <v>77</v>
      </c>
      <c r="I143" s="22">
        <v>10</v>
      </c>
      <c r="J143" s="22">
        <f t="shared" si="20"/>
        <v>410</v>
      </c>
      <c r="K143" s="22">
        <f t="shared" si="21"/>
        <v>37</v>
      </c>
      <c r="L143" s="22">
        <f t="shared" si="22"/>
        <v>373</v>
      </c>
      <c r="M143" s="22">
        <f t="shared" si="23"/>
        <v>762</v>
      </c>
      <c r="N143" s="24">
        <f t="shared" si="24"/>
        <v>0.48950131233595801</v>
      </c>
      <c r="O143" s="22" t="s">
        <v>119</v>
      </c>
    </row>
    <row r="144" spans="1:15" ht="15" customHeight="1" x14ac:dyDescent="0.25">
      <c r="A144" s="22" t="s">
        <v>298</v>
      </c>
      <c r="B144" s="22" t="s">
        <v>521</v>
      </c>
      <c r="C144" s="22" t="s">
        <v>511</v>
      </c>
      <c r="D144" s="22" t="s">
        <v>512</v>
      </c>
      <c r="E144" s="22">
        <v>7</v>
      </c>
      <c r="F144" s="22" t="s">
        <v>212</v>
      </c>
      <c r="G144" s="22">
        <v>-120</v>
      </c>
      <c r="H144" s="22">
        <v>76</v>
      </c>
      <c r="I144" s="22">
        <v>23</v>
      </c>
      <c r="J144" s="22">
        <f t="shared" si="20"/>
        <v>486</v>
      </c>
      <c r="K144" s="22">
        <f t="shared" si="21"/>
        <v>60</v>
      </c>
      <c r="L144" s="22">
        <f t="shared" si="22"/>
        <v>426</v>
      </c>
      <c r="M144" s="22">
        <f t="shared" si="23"/>
        <v>762</v>
      </c>
      <c r="N144" s="24">
        <f t="shared" si="24"/>
        <v>0.55905511811023623</v>
      </c>
      <c r="O144" s="22" t="s">
        <v>119</v>
      </c>
    </row>
    <row r="145" spans="1:15" ht="15" customHeight="1" x14ac:dyDescent="0.25">
      <c r="A145" s="22" t="s">
        <v>298</v>
      </c>
      <c r="B145" s="22" t="s">
        <v>521</v>
      </c>
      <c r="C145" s="22" t="s">
        <v>511</v>
      </c>
      <c r="D145" s="22" t="s">
        <v>512</v>
      </c>
      <c r="E145" s="22">
        <v>8</v>
      </c>
      <c r="F145" s="22" t="s">
        <v>226</v>
      </c>
      <c r="G145" s="22">
        <v>-105</v>
      </c>
      <c r="H145" s="22">
        <v>75</v>
      </c>
      <c r="I145" s="22">
        <v>39</v>
      </c>
      <c r="J145" s="22">
        <f t="shared" si="20"/>
        <v>561</v>
      </c>
      <c r="K145" s="22">
        <f t="shared" si="21"/>
        <v>99</v>
      </c>
      <c r="L145" s="22">
        <f t="shared" si="22"/>
        <v>462</v>
      </c>
      <c r="M145" s="22">
        <f t="shared" si="23"/>
        <v>762</v>
      </c>
      <c r="N145" s="24">
        <f t="shared" si="24"/>
        <v>0.60629921259842523</v>
      </c>
      <c r="O145" s="22" t="s">
        <v>119</v>
      </c>
    </row>
    <row r="146" spans="1:15" ht="15" customHeight="1" x14ac:dyDescent="0.25">
      <c r="A146" s="22" t="s">
        <v>298</v>
      </c>
      <c r="B146" s="22" t="s">
        <v>521</v>
      </c>
      <c r="C146" s="22" t="s">
        <v>511</v>
      </c>
      <c r="D146" s="22" t="s">
        <v>512</v>
      </c>
      <c r="E146" s="22">
        <v>9</v>
      </c>
      <c r="F146" s="22" t="s">
        <v>264</v>
      </c>
      <c r="G146" s="22">
        <v>-90</v>
      </c>
      <c r="H146" s="22">
        <v>62</v>
      </c>
      <c r="I146" s="22">
        <v>68</v>
      </c>
      <c r="J146" s="22">
        <f t="shared" si="20"/>
        <v>623</v>
      </c>
      <c r="K146" s="22">
        <f t="shared" si="21"/>
        <v>167</v>
      </c>
      <c r="L146" s="22">
        <f t="shared" si="22"/>
        <v>456</v>
      </c>
      <c r="M146" s="22">
        <f t="shared" si="23"/>
        <v>762</v>
      </c>
      <c r="N146" s="24">
        <f t="shared" si="24"/>
        <v>0.59842519685039375</v>
      </c>
      <c r="O146" s="22" t="s">
        <v>119</v>
      </c>
    </row>
    <row r="147" spans="1:15" ht="15" customHeight="1" x14ac:dyDescent="0.25">
      <c r="A147" s="22" t="s">
        <v>298</v>
      </c>
      <c r="B147" s="22" t="s">
        <v>521</v>
      </c>
      <c r="C147" s="22" t="s">
        <v>511</v>
      </c>
      <c r="D147" s="22" t="s">
        <v>512</v>
      </c>
      <c r="E147" s="22">
        <v>10</v>
      </c>
      <c r="F147" s="22" t="s">
        <v>191</v>
      </c>
      <c r="G147" s="22">
        <v>-75</v>
      </c>
      <c r="H147" s="22">
        <v>35</v>
      </c>
      <c r="I147" s="22">
        <v>71</v>
      </c>
      <c r="J147" s="22">
        <f t="shared" si="20"/>
        <v>658</v>
      </c>
      <c r="K147" s="22">
        <f t="shared" si="21"/>
        <v>238</v>
      </c>
      <c r="L147" s="22">
        <f t="shared" si="22"/>
        <v>420</v>
      </c>
      <c r="M147" s="22">
        <f t="shared" si="23"/>
        <v>762</v>
      </c>
      <c r="N147" s="24">
        <f t="shared" si="24"/>
        <v>0.55118110236220474</v>
      </c>
      <c r="O147" s="22" t="s">
        <v>119</v>
      </c>
    </row>
    <row r="148" spans="1:15" ht="15" customHeight="1" x14ac:dyDescent="0.25">
      <c r="A148" s="22" t="s">
        <v>298</v>
      </c>
      <c r="B148" s="22" t="s">
        <v>521</v>
      </c>
      <c r="C148" s="22" t="s">
        <v>511</v>
      </c>
      <c r="D148" s="22" t="s">
        <v>512</v>
      </c>
      <c r="E148" s="22">
        <v>11</v>
      </c>
      <c r="F148" s="22" t="s">
        <v>231</v>
      </c>
      <c r="G148" s="22">
        <v>-60</v>
      </c>
      <c r="H148" s="22">
        <v>38</v>
      </c>
      <c r="I148" s="22">
        <v>97</v>
      </c>
      <c r="J148" s="22">
        <f t="shared" si="20"/>
        <v>696</v>
      </c>
      <c r="K148" s="22">
        <f t="shared" si="21"/>
        <v>335</v>
      </c>
      <c r="L148" s="22">
        <f t="shared" si="22"/>
        <v>361</v>
      </c>
      <c r="M148" s="22">
        <f t="shared" si="23"/>
        <v>762</v>
      </c>
      <c r="N148" s="24">
        <f t="shared" si="24"/>
        <v>0.47375328083989499</v>
      </c>
      <c r="O148" s="22" t="s">
        <v>119</v>
      </c>
    </row>
    <row r="149" spans="1:15" ht="15" customHeight="1" x14ac:dyDescent="0.25">
      <c r="A149" s="22" t="s">
        <v>298</v>
      </c>
      <c r="B149" s="22" t="s">
        <v>521</v>
      </c>
      <c r="C149" s="22" t="s">
        <v>511</v>
      </c>
      <c r="D149" s="22" t="s">
        <v>512</v>
      </c>
      <c r="E149" s="22">
        <v>12</v>
      </c>
      <c r="F149" s="22" t="s">
        <v>239</v>
      </c>
      <c r="G149" s="22">
        <v>-45</v>
      </c>
      <c r="H149" s="22">
        <v>22</v>
      </c>
      <c r="I149" s="22">
        <v>85</v>
      </c>
      <c r="J149" s="22">
        <f t="shared" si="20"/>
        <v>718</v>
      </c>
      <c r="K149" s="22">
        <f t="shared" si="21"/>
        <v>420</v>
      </c>
      <c r="L149" s="22">
        <f t="shared" si="22"/>
        <v>298</v>
      </c>
      <c r="M149" s="22">
        <f t="shared" si="23"/>
        <v>762</v>
      </c>
      <c r="N149" s="24">
        <f t="shared" si="24"/>
        <v>0.39107611548556431</v>
      </c>
      <c r="O149" s="22" t="s">
        <v>119</v>
      </c>
    </row>
    <row r="150" spans="1:15" ht="15" customHeight="1" x14ac:dyDescent="0.25">
      <c r="A150" s="22" t="s">
        <v>298</v>
      </c>
      <c r="B150" s="22" t="s">
        <v>521</v>
      </c>
      <c r="C150" s="22" t="s">
        <v>511</v>
      </c>
      <c r="D150" s="22" t="s">
        <v>512</v>
      </c>
      <c r="E150" s="22">
        <v>13</v>
      </c>
      <c r="F150" s="22" t="s">
        <v>387</v>
      </c>
      <c r="G150" s="22">
        <v>-30</v>
      </c>
      <c r="H150" s="22">
        <v>15</v>
      </c>
      <c r="I150" s="22">
        <v>83</v>
      </c>
      <c r="J150" s="22">
        <f t="shared" si="20"/>
        <v>733</v>
      </c>
      <c r="K150" s="22">
        <f t="shared" si="21"/>
        <v>503</v>
      </c>
      <c r="L150" s="22">
        <f t="shared" si="22"/>
        <v>230</v>
      </c>
      <c r="M150" s="22">
        <f t="shared" si="23"/>
        <v>762</v>
      </c>
      <c r="N150" s="24">
        <f t="shared" si="24"/>
        <v>0.30183727034120733</v>
      </c>
      <c r="O150" s="22" t="s">
        <v>119</v>
      </c>
    </row>
    <row r="151" spans="1:15" ht="15" customHeight="1" x14ac:dyDescent="0.25">
      <c r="A151" s="22" t="s">
        <v>298</v>
      </c>
      <c r="B151" s="22" t="s">
        <v>521</v>
      </c>
      <c r="C151" s="22" t="s">
        <v>511</v>
      </c>
      <c r="D151" s="22" t="s">
        <v>512</v>
      </c>
      <c r="E151" s="22">
        <v>14</v>
      </c>
      <c r="F151" s="22" t="s">
        <v>468</v>
      </c>
      <c r="G151" s="22">
        <v>-15</v>
      </c>
      <c r="H151" s="22">
        <v>17</v>
      </c>
      <c r="I151" s="22">
        <v>67</v>
      </c>
      <c r="J151" s="22">
        <f t="shared" si="20"/>
        <v>750</v>
      </c>
      <c r="K151" s="22">
        <f t="shared" si="21"/>
        <v>570</v>
      </c>
      <c r="L151" s="22">
        <f t="shared" si="22"/>
        <v>180</v>
      </c>
      <c r="M151" s="22">
        <f t="shared" si="23"/>
        <v>762</v>
      </c>
      <c r="N151" s="24">
        <f t="shared" si="24"/>
        <v>0.23622047244094488</v>
      </c>
      <c r="O151" s="22" t="s">
        <v>119</v>
      </c>
    </row>
    <row r="152" spans="1:15" ht="15" customHeight="1" x14ac:dyDescent="0.25">
      <c r="A152" s="22" t="s">
        <v>298</v>
      </c>
      <c r="B152" s="22" t="s">
        <v>521</v>
      </c>
      <c r="C152" s="22" t="s">
        <v>511</v>
      </c>
      <c r="D152" s="22" t="s">
        <v>512</v>
      </c>
      <c r="E152" s="22">
        <v>15</v>
      </c>
      <c r="F152" s="22" t="s">
        <v>469</v>
      </c>
      <c r="G152" s="22">
        <v>0</v>
      </c>
      <c r="H152" s="22">
        <v>7</v>
      </c>
      <c r="I152" s="22">
        <v>62</v>
      </c>
      <c r="J152" s="22">
        <f t="shared" si="20"/>
        <v>757</v>
      </c>
      <c r="K152" s="22">
        <f t="shared" si="21"/>
        <v>632</v>
      </c>
      <c r="L152" s="22">
        <f t="shared" si="22"/>
        <v>125</v>
      </c>
      <c r="M152" s="22">
        <f t="shared" si="23"/>
        <v>762</v>
      </c>
      <c r="N152" s="24">
        <f t="shared" si="24"/>
        <v>0.16404199475065617</v>
      </c>
      <c r="O152" s="22" t="s">
        <v>119</v>
      </c>
    </row>
    <row r="153" spans="1:15" ht="15" customHeight="1" x14ac:dyDescent="0.25">
      <c r="A153" s="22" t="s">
        <v>298</v>
      </c>
      <c r="B153" s="22" t="s">
        <v>521</v>
      </c>
      <c r="C153" s="22" t="s">
        <v>511</v>
      </c>
      <c r="D153" s="22" t="s">
        <v>512</v>
      </c>
      <c r="E153" s="22">
        <v>16</v>
      </c>
      <c r="F153" s="22" t="s">
        <v>351</v>
      </c>
      <c r="G153" s="22">
        <v>15</v>
      </c>
      <c r="H153" s="22">
        <v>3</v>
      </c>
      <c r="I153" s="22">
        <v>30</v>
      </c>
      <c r="J153" s="22">
        <f t="shared" si="20"/>
        <v>760</v>
      </c>
      <c r="K153" s="22">
        <f t="shared" si="21"/>
        <v>662</v>
      </c>
      <c r="L153" s="22">
        <f t="shared" si="22"/>
        <v>98</v>
      </c>
      <c r="M153" s="22">
        <f t="shared" si="23"/>
        <v>762</v>
      </c>
      <c r="N153" s="24">
        <f t="shared" si="24"/>
        <v>0.12860892388451445</v>
      </c>
      <c r="O153" s="22" t="s">
        <v>119</v>
      </c>
    </row>
    <row r="154" spans="1:15" ht="15" customHeight="1" x14ac:dyDescent="0.25">
      <c r="A154" s="22" t="s">
        <v>298</v>
      </c>
      <c r="B154" s="22" t="s">
        <v>521</v>
      </c>
      <c r="C154" s="22" t="s">
        <v>511</v>
      </c>
      <c r="D154" s="22" t="s">
        <v>512</v>
      </c>
      <c r="E154" s="22">
        <v>17</v>
      </c>
      <c r="F154" s="22" t="s">
        <v>311</v>
      </c>
      <c r="G154" s="22">
        <v>30</v>
      </c>
      <c r="H154" s="22">
        <v>2</v>
      </c>
      <c r="I154" s="22">
        <v>18</v>
      </c>
      <c r="J154" s="22">
        <f t="shared" si="20"/>
        <v>762</v>
      </c>
      <c r="K154" s="22">
        <f t="shared" si="21"/>
        <v>680</v>
      </c>
      <c r="L154" s="22">
        <f t="shared" si="22"/>
        <v>82</v>
      </c>
      <c r="M154" s="22">
        <f t="shared" si="23"/>
        <v>762</v>
      </c>
      <c r="N154" s="24">
        <f t="shared" si="24"/>
        <v>0.10761154855643044</v>
      </c>
      <c r="O154" s="22" t="s">
        <v>119</v>
      </c>
    </row>
    <row r="155" spans="1:15" ht="15" customHeight="1" x14ac:dyDescent="0.25">
      <c r="A155" s="22" t="s">
        <v>298</v>
      </c>
      <c r="B155" s="22" t="s">
        <v>521</v>
      </c>
      <c r="C155" s="22" t="s">
        <v>511</v>
      </c>
      <c r="D155" s="22" t="s">
        <v>512</v>
      </c>
      <c r="E155" s="22">
        <v>18</v>
      </c>
      <c r="F155" s="22" t="s">
        <v>211</v>
      </c>
      <c r="G155" s="22">
        <v>45</v>
      </c>
      <c r="H155" s="22">
        <v>0</v>
      </c>
      <c r="I155" s="22">
        <v>16</v>
      </c>
      <c r="J155" s="22">
        <f t="shared" si="20"/>
        <v>762</v>
      </c>
      <c r="K155" s="22">
        <f t="shared" si="21"/>
        <v>696</v>
      </c>
      <c r="L155" s="22">
        <f t="shared" si="22"/>
        <v>66</v>
      </c>
      <c r="M155" s="22">
        <f t="shared" si="23"/>
        <v>762</v>
      </c>
      <c r="N155" s="24">
        <f t="shared" si="24"/>
        <v>8.6614173228346455E-2</v>
      </c>
      <c r="O155" s="22" t="s">
        <v>119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8"/>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20" customWidth="1"/>
    <col min="3" max="3" width="28" customWidth="1"/>
    <col min="4" max="4" width="26" customWidth="1"/>
    <col min="5" max="5" width="9" customWidth="1"/>
    <col min="6" max="6" width="14" customWidth="1"/>
    <col min="7" max="7" width="12" customWidth="1"/>
    <col min="8" max="8" width="20" customWidth="1"/>
    <col min="9" max="9" width="30" customWidth="1"/>
    <col min="10" max="10" width="14" customWidth="1"/>
  </cols>
  <sheetData>
    <row r="1" spans="1:10" ht="30" customHeight="1" x14ac:dyDescent="0.25">
      <c r="A1" s="5" t="s">
        <v>522</v>
      </c>
      <c r="B1" s="5" t="s">
        <v>175</v>
      </c>
      <c r="C1" s="5" t="s">
        <v>176</v>
      </c>
      <c r="D1" s="5" t="s">
        <v>509</v>
      </c>
      <c r="E1" s="5" t="s">
        <v>452</v>
      </c>
      <c r="F1" s="5" t="s">
        <v>453</v>
      </c>
      <c r="G1" s="5" t="s">
        <v>454</v>
      </c>
      <c r="H1" s="5" t="s">
        <v>523</v>
      </c>
      <c r="I1" s="5" t="s">
        <v>524</v>
      </c>
      <c r="J1" s="5" t="s">
        <v>525</v>
      </c>
    </row>
    <row r="2" spans="1:10" ht="15" customHeight="1" x14ac:dyDescent="0.25">
      <c r="A2" s="22" t="s">
        <v>180</v>
      </c>
      <c r="B2" s="22" t="s">
        <v>124</v>
      </c>
      <c r="C2" s="22" t="s">
        <v>526</v>
      </c>
      <c r="D2" s="22" t="s">
        <v>527</v>
      </c>
      <c r="E2" s="22">
        <v>0</v>
      </c>
      <c r="F2" s="22" t="s">
        <v>189</v>
      </c>
      <c r="G2" s="22"/>
      <c r="H2" s="24">
        <v>2.6737967914438499E-2</v>
      </c>
      <c r="I2" s="22" t="s">
        <v>196</v>
      </c>
      <c r="J2" s="22"/>
    </row>
    <row r="3" spans="1:10" ht="15" customHeight="1" x14ac:dyDescent="0.25">
      <c r="A3" s="22" t="s">
        <v>180</v>
      </c>
      <c r="B3" s="22" t="s">
        <v>124</v>
      </c>
      <c r="C3" s="22" t="s">
        <v>526</v>
      </c>
      <c r="D3" s="22" t="s">
        <v>527</v>
      </c>
      <c r="E3" s="22">
        <v>3</v>
      </c>
      <c r="F3" s="22" t="s">
        <v>464</v>
      </c>
      <c r="G3" s="22">
        <v>-180</v>
      </c>
      <c r="H3" s="24">
        <v>8.8235294117647106E-2</v>
      </c>
      <c r="I3" s="22" t="s">
        <v>196</v>
      </c>
      <c r="J3" s="22"/>
    </row>
    <row r="4" spans="1:10" ht="15" customHeight="1" x14ac:dyDescent="0.25">
      <c r="A4" s="22" t="s">
        <v>180</v>
      </c>
      <c r="B4" s="22" t="s">
        <v>124</v>
      </c>
      <c r="C4" s="22" t="s">
        <v>526</v>
      </c>
      <c r="D4" s="22" t="s">
        <v>527</v>
      </c>
      <c r="E4" s="22">
        <v>4</v>
      </c>
      <c r="F4" s="22" t="s">
        <v>465</v>
      </c>
      <c r="G4" s="22">
        <v>-165</v>
      </c>
      <c r="H4" s="24">
        <v>0.15508021390374299</v>
      </c>
      <c r="I4" s="22" t="s">
        <v>196</v>
      </c>
      <c r="J4" s="22"/>
    </row>
    <row r="5" spans="1:10" ht="15" customHeight="1" x14ac:dyDescent="0.25">
      <c r="A5" s="22" t="s">
        <v>180</v>
      </c>
      <c r="B5" s="22" t="s">
        <v>124</v>
      </c>
      <c r="C5" s="22" t="s">
        <v>526</v>
      </c>
      <c r="D5" s="22" t="s">
        <v>527</v>
      </c>
      <c r="E5" s="22">
        <v>5</v>
      </c>
      <c r="F5" s="22" t="s">
        <v>466</v>
      </c>
      <c r="G5" s="22">
        <v>-150</v>
      </c>
      <c r="H5" s="24">
        <v>0.24598930481283399</v>
      </c>
      <c r="I5" s="22" t="s">
        <v>196</v>
      </c>
      <c r="J5" s="22"/>
    </row>
    <row r="6" spans="1:10" ht="15" customHeight="1" x14ac:dyDescent="0.25">
      <c r="A6" s="22" t="s">
        <v>180</v>
      </c>
      <c r="B6" s="22" t="s">
        <v>124</v>
      </c>
      <c r="C6" s="22" t="s">
        <v>526</v>
      </c>
      <c r="D6" s="22" t="s">
        <v>527</v>
      </c>
      <c r="E6" s="22">
        <v>6</v>
      </c>
      <c r="F6" s="22" t="s">
        <v>467</v>
      </c>
      <c r="G6" s="22">
        <v>-135</v>
      </c>
      <c r="H6" s="24">
        <v>0.33689839572192498</v>
      </c>
      <c r="I6" s="22" t="s">
        <v>196</v>
      </c>
      <c r="J6" s="22"/>
    </row>
    <row r="7" spans="1:10" ht="15" customHeight="1" x14ac:dyDescent="0.25">
      <c r="A7" s="22" t="s">
        <v>180</v>
      </c>
      <c r="B7" s="22" t="s">
        <v>124</v>
      </c>
      <c r="C7" s="22" t="s">
        <v>526</v>
      </c>
      <c r="D7" s="22" t="s">
        <v>527</v>
      </c>
      <c r="E7" s="22">
        <v>7</v>
      </c>
      <c r="F7" s="22" t="s">
        <v>212</v>
      </c>
      <c r="G7" s="22">
        <v>-120</v>
      </c>
      <c r="H7" s="24">
        <v>0.35828877005347598</v>
      </c>
      <c r="I7" s="22" t="s">
        <v>196</v>
      </c>
      <c r="J7" s="22"/>
    </row>
    <row r="8" spans="1:10" ht="15" customHeight="1" x14ac:dyDescent="0.25">
      <c r="A8" s="22" t="s">
        <v>180</v>
      </c>
      <c r="B8" s="22" t="s">
        <v>124</v>
      </c>
      <c r="C8" s="22" t="s">
        <v>526</v>
      </c>
      <c r="D8" s="22" t="s">
        <v>527</v>
      </c>
      <c r="E8" s="22">
        <v>8</v>
      </c>
      <c r="F8" s="22" t="s">
        <v>226</v>
      </c>
      <c r="G8" s="22">
        <v>-105</v>
      </c>
      <c r="H8" s="24">
        <v>0.446524064171123</v>
      </c>
      <c r="I8" s="22" t="s">
        <v>196</v>
      </c>
      <c r="J8" s="22"/>
    </row>
    <row r="9" spans="1:10" ht="15" customHeight="1" x14ac:dyDescent="0.25">
      <c r="A9" s="22" t="s">
        <v>180</v>
      </c>
      <c r="B9" s="22" t="s">
        <v>124</v>
      </c>
      <c r="C9" s="22" t="s">
        <v>526</v>
      </c>
      <c r="D9" s="22" t="s">
        <v>527</v>
      </c>
      <c r="E9" s="22">
        <v>9</v>
      </c>
      <c r="F9" s="22" t="s">
        <v>264</v>
      </c>
      <c r="G9" s="22">
        <v>-90</v>
      </c>
      <c r="H9" s="24">
        <v>0.52406417112299497</v>
      </c>
      <c r="I9" s="22" t="s">
        <v>196</v>
      </c>
      <c r="J9" s="22"/>
    </row>
    <row r="10" spans="1:10" ht="15" customHeight="1" x14ac:dyDescent="0.25">
      <c r="A10" s="22" t="s">
        <v>180</v>
      </c>
      <c r="B10" s="22" t="s">
        <v>124</v>
      </c>
      <c r="C10" s="22" t="s">
        <v>526</v>
      </c>
      <c r="D10" s="22" t="s">
        <v>527</v>
      </c>
      <c r="E10" s="22">
        <v>10</v>
      </c>
      <c r="F10" s="22" t="s">
        <v>191</v>
      </c>
      <c r="G10" s="22">
        <v>-75</v>
      </c>
      <c r="H10" s="24">
        <v>0.54545454545454497</v>
      </c>
      <c r="I10" s="22" t="s">
        <v>196</v>
      </c>
      <c r="J10" s="22"/>
    </row>
    <row r="11" spans="1:10" ht="15" customHeight="1" x14ac:dyDescent="0.25">
      <c r="A11" s="22" t="s">
        <v>180</v>
      </c>
      <c r="B11" s="22" t="s">
        <v>124</v>
      </c>
      <c r="C11" s="22" t="s">
        <v>526</v>
      </c>
      <c r="D11" s="22" t="s">
        <v>527</v>
      </c>
      <c r="E11" s="22">
        <v>11</v>
      </c>
      <c r="F11" s="22" t="s">
        <v>231</v>
      </c>
      <c r="G11" s="22">
        <v>-60</v>
      </c>
      <c r="H11" s="24">
        <v>0.521390374331551</v>
      </c>
      <c r="I11" s="22" t="s">
        <v>196</v>
      </c>
      <c r="J11" s="22"/>
    </row>
    <row r="12" spans="1:10" ht="15" customHeight="1" x14ac:dyDescent="0.25">
      <c r="A12" s="22" t="s">
        <v>180</v>
      </c>
      <c r="B12" s="22" t="s">
        <v>124</v>
      </c>
      <c r="C12" s="22" t="s">
        <v>526</v>
      </c>
      <c r="D12" s="22" t="s">
        <v>527</v>
      </c>
      <c r="E12" s="22">
        <v>12</v>
      </c>
      <c r="F12" s="22" t="s">
        <v>239</v>
      </c>
      <c r="G12" s="22">
        <v>-45</v>
      </c>
      <c r="H12" s="24">
        <v>0.467914438502674</v>
      </c>
      <c r="I12" s="22" t="s">
        <v>196</v>
      </c>
      <c r="J12" s="22"/>
    </row>
    <row r="13" spans="1:10" ht="15" customHeight="1" x14ac:dyDescent="0.25">
      <c r="A13" s="22" t="s">
        <v>180</v>
      </c>
      <c r="B13" s="22" t="s">
        <v>124</v>
      </c>
      <c r="C13" s="22" t="s">
        <v>526</v>
      </c>
      <c r="D13" s="22" t="s">
        <v>527</v>
      </c>
      <c r="E13" s="22">
        <v>13</v>
      </c>
      <c r="F13" s="22" t="s">
        <v>387</v>
      </c>
      <c r="G13" s="22">
        <v>-30</v>
      </c>
      <c r="H13" s="24">
        <v>0.33422459893048101</v>
      </c>
      <c r="I13" s="22" t="s">
        <v>196</v>
      </c>
      <c r="J13" s="22"/>
    </row>
    <row r="14" spans="1:10" ht="15" customHeight="1" x14ac:dyDescent="0.25">
      <c r="A14" s="22" t="s">
        <v>180</v>
      </c>
      <c r="B14" s="22" t="s">
        <v>124</v>
      </c>
      <c r="C14" s="22" t="s">
        <v>526</v>
      </c>
      <c r="D14" s="22" t="s">
        <v>527</v>
      </c>
      <c r="E14" s="22">
        <v>14</v>
      </c>
      <c r="F14" s="22" t="s">
        <v>468</v>
      </c>
      <c r="G14" s="22">
        <v>-15</v>
      </c>
      <c r="H14" s="24">
        <v>0.26470588235294101</v>
      </c>
      <c r="I14" s="22" t="s">
        <v>196</v>
      </c>
      <c r="J14" s="22"/>
    </row>
    <row r="15" spans="1:10" ht="15" customHeight="1" x14ac:dyDescent="0.25">
      <c r="A15" s="22" t="s">
        <v>180</v>
      </c>
      <c r="B15" s="22" t="s">
        <v>124</v>
      </c>
      <c r="C15" s="22" t="s">
        <v>526</v>
      </c>
      <c r="D15" s="22" t="s">
        <v>527</v>
      </c>
      <c r="E15" s="22">
        <v>15</v>
      </c>
      <c r="F15" s="22" t="s">
        <v>469</v>
      </c>
      <c r="G15" s="22">
        <v>0</v>
      </c>
      <c r="H15" s="24">
        <v>0.20855614973261999</v>
      </c>
      <c r="I15" s="22" t="s">
        <v>196</v>
      </c>
      <c r="J15" s="22"/>
    </row>
    <row r="16" spans="1:10" ht="15" customHeight="1" x14ac:dyDescent="0.25">
      <c r="A16" s="22" t="s">
        <v>180</v>
      </c>
      <c r="B16" s="22" t="s">
        <v>124</v>
      </c>
      <c r="C16" s="22" t="s">
        <v>526</v>
      </c>
      <c r="D16" s="22" t="s">
        <v>527</v>
      </c>
      <c r="E16" s="22">
        <v>16</v>
      </c>
      <c r="F16" s="22" t="s">
        <v>351</v>
      </c>
      <c r="G16" s="22">
        <v>15</v>
      </c>
      <c r="H16" s="24">
        <v>0.16577540106951899</v>
      </c>
      <c r="I16" s="22" t="s">
        <v>196</v>
      </c>
      <c r="J16" s="22"/>
    </row>
    <row r="17" spans="1:10" ht="15" customHeight="1" x14ac:dyDescent="0.25">
      <c r="A17" s="22" t="s">
        <v>180</v>
      </c>
      <c r="B17" s="22" t="s">
        <v>124</v>
      </c>
      <c r="C17" s="22" t="s">
        <v>526</v>
      </c>
      <c r="D17" s="22" t="s">
        <v>527</v>
      </c>
      <c r="E17" s="22">
        <v>17</v>
      </c>
      <c r="F17" s="22" t="s">
        <v>311</v>
      </c>
      <c r="G17" s="22">
        <v>30</v>
      </c>
      <c r="H17" s="24">
        <v>0.10962566844919799</v>
      </c>
      <c r="I17" s="22" t="s">
        <v>196</v>
      </c>
      <c r="J17" s="22"/>
    </row>
    <row r="18" spans="1:10" ht="15" customHeight="1" x14ac:dyDescent="0.25">
      <c r="A18" s="22" t="s">
        <v>180</v>
      </c>
      <c r="B18" s="22" t="s">
        <v>124</v>
      </c>
      <c r="C18" s="22" t="s">
        <v>526</v>
      </c>
      <c r="D18" s="22" t="s">
        <v>527</v>
      </c>
      <c r="E18" s="22">
        <v>18</v>
      </c>
      <c r="F18" s="22" t="s">
        <v>211</v>
      </c>
      <c r="G18" s="22">
        <v>45</v>
      </c>
      <c r="H18" s="24">
        <v>5.3475935828876997E-2</v>
      </c>
      <c r="I18" s="22" t="s">
        <v>196</v>
      </c>
      <c r="J18" s="22"/>
    </row>
    <row r="19" spans="1:10" ht="15" customHeight="1" x14ac:dyDescent="0.25">
      <c r="A19" s="22" t="s">
        <v>180</v>
      </c>
      <c r="B19" s="22" t="s">
        <v>124</v>
      </c>
      <c r="C19" s="22" t="s">
        <v>526</v>
      </c>
      <c r="D19" s="22" t="s">
        <v>527</v>
      </c>
      <c r="E19" s="22">
        <v>19</v>
      </c>
      <c r="F19" s="22" t="s">
        <v>190</v>
      </c>
      <c r="G19" s="22">
        <v>60</v>
      </c>
      <c r="H19" s="24">
        <v>1.60427807486631E-2</v>
      </c>
      <c r="I19" s="22" t="s">
        <v>196</v>
      </c>
      <c r="J19" s="22"/>
    </row>
    <row r="20" spans="1:10" ht="15" customHeight="1" x14ac:dyDescent="0.25">
      <c r="A20" s="22" t="s">
        <v>180</v>
      </c>
      <c r="B20" s="22" t="s">
        <v>124</v>
      </c>
      <c r="C20" s="22" t="s">
        <v>526</v>
      </c>
      <c r="D20" s="22" t="s">
        <v>527</v>
      </c>
      <c r="E20" s="22">
        <v>20</v>
      </c>
      <c r="F20" s="22" t="s">
        <v>472</v>
      </c>
      <c r="G20" s="22">
        <v>75</v>
      </c>
      <c r="H20" s="24">
        <v>1.4999999999999999E-2</v>
      </c>
      <c r="I20" s="22" t="s">
        <v>196</v>
      </c>
      <c r="J20" s="31" t="s">
        <v>201</v>
      </c>
    </row>
    <row r="21" spans="1:10" ht="15" customHeight="1" x14ac:dyDescent="0.25">
      <c r="A21" s="22" t="s">
        <v>180</v>
      </c>
      <c r="B21" s="22" t="s">
        <v>124</v>
      </c>
      <c r="C21" s="22" t="s">
        <v>528</v>
      </c>
      <c r="D21" s="22" t="s">
        <v>529</v>
      </c>
      <c r="E21" s="22">
        <v>0</v>
      </c>
      <c r="F21" s="22" t="s">
        <v>189</v>
      </c>
      <c r="G21" s="22"/>
      <c r="H21" s="24">
        <v>6.9264069264069306E-2</v>
      </c>
      <c r="I21" s="22" t="s">
        <v>215</v>
      </c>
      <c r="J21" s="22"/>
    </row>
    <row r="22" spans="1:10" ht="15" customHeight="1" x14ac:dyDescent="0.25">
      <c r="A22" s="22" t="s">
        <v>180</v>
      </c>
      <c r="B22" s="22" t="s">
        <v>124</v>
      </c>
      <c r="C22" s="22" t="s">
        <v>528</v>
      </c>
      <c r="D22" s="22" t="s">
        <v>529</v>
      </c>
      <c r="E22" s="22">
        <v>3</v>
      </c>
      <c r="F22" s="22" t="s">
        <v>464</v>
      </c>
      <c r="G22" s="22">
        <v>-180</v>
      </c>
      <c r="H22" s="24">
        <v>8.6580086580086604E-2</v>
      </c>
      <c r="I22" s="22" t="s">
        <v>215</v>
      </c>
      <c r="J22" s="22"/>
    </row>
    <row r="23" spans="1:10" ht="15" customHeight="1" x14ac:dyDescent="0.25">
      <c r="A23" s="22" t="s">
        <v>180</v>
      </c>
      <c r="B23" s="22" t="s">
        <v>124</v>
      </c>
      <c r="C23" s="22" t="s">
        <v>528</v>
      </c>
      <c r="D23" s="22" t="s">
        <v>529</v>
      </c>
      <c r="E23" s="22">
        <v>4</v>
      </c>
      <c r="F23" s="22" t="s">
        <v>465</v>
      </c>
      <c r="G23" s="22">
        <v>-165</v>
      </c>
      <c r="H23" s="24">
        <v>0.147186147186147</v>
      </c>
      <c r="I23" s="22" t="s">
        <v>215</v>
      </c>
      <c r="J23" s="22"/>
    </row>
    <row r="24" spans="1:10" ht="15" customHeight="1" x14ac:dyDescent="0.25">
      <c r="A24" s="22" t="s">
        <v>180</v>
      </c>
      <c r="B24" s="22" t="s">
        <v>124</v>
      </c>
      <c r="C24" s="22" t="s">
        <v>528</v>
      </c>
      <c r="D24" s="22" t="s">
        <v>529</v>
      </c>
      <c r="E24" s="22">
        <v>5</v>
      </c>
      <c r="F24" s="22" t="s">
        <v>466</v>
      </c>
      <c r="G24" s="22">
        <v>-150</v>
      </c>
      <c r="H24" s="24">
        <v>0.25541125541125498</v>
      </c>
      <c r="I24" s="22" t="s">
        <v>215</v>
      </c>
      <c r="J24" s="22"/>
    </row>
    <row r="25" spans="1:10" ht="15" customHeight="1" x14ac:dyDescent="0.25">
      <c r="A25" s="22" t="s">
        <v>180</v>
      </c>
      <c r="B25" s="22" t="s">
        <v>124</v>
      </c>
      <c r="C25" s="22" t="s">
        <v>528</v>
      </c>
      <c r="D25" s="22" t="s">
        <v>529</v>
      </c>
      <c r="E25" s="22">
        <v>6</v>
      </c>
      <c r="F25" s="22" t="s">
        <v>467</v>
      </c>
      <c r="G25" s="22">
        <v>-135</v>
      </c>
      <c r="H25" s="24">
        <v>0.32467532467532501</v>
      </c>
      <c r="I25" s="22" t="s">
        <v>215</v>
      </c>
      <c r="J25" s="22"/>
    </row>
    <row r="26" spans="1:10" ht="15" customHeight="1" x14ac:dyDescent="0.25">
      <c r="A26" s="22" t="s">
        <v>180</v>
      </c>
      <c r="B26" s="22" t="s">
        <v>124</v>
      </c>
      <c r="C26" s="22" t="s">
        <v>528</v>
      </c>
      <c r="D26" s="22" t="s">
        <v>529</v>
      </c>
      <c r="E26" s="22">
        <v>7</v>
      </c>
      <c r="F26" s="22" t="s">
        <v>212</v>
      </c>
      <c r="G26" s="22">
        <v>-120</v>
      </c>
      <c r="H26" s="24">
        <v>0.35064935064935099</v>
      </c>
      <c r="I26" s="22" t="s">
        <v>215</v>
      </c>
      <c r="J26" s="22"/>
    </row>
    <row r="27" spans="1:10" ht="15" customHeight="1" x14ac:dyDescent="0.25">
      <c r="A27" s="22" t="s">
        <v>180</v>
      </c>
      <c r="B27" s="22" t="s">
        <v>124</v>
      </c>
      <c r="C27" s="22" t="s">
        <v>528</v>
      </c>
      <c r="D27" s="22" t="s">
        <v>529</v>
      </c>
      <c r="E27" s="22">
        <v>8</v>
      </c>
      <c r="F27" s="22" t="s">
        <v>226</v>
      </c>
      <c r="G27" s="22">
        <v>-105</v>
      </c>
      <c r="H27" s="24">
        <v>0.337662337662338</v>
      </c>
      <c r="I27" s="22" t="s">
        <v>215</v>
      </c>
      <c r="J27" s="22"/>
    </row>
    <row r="28" spans="1:10" ht="15" customHeight="1" x14ac:dyDescent="0.25">
      <c r="A28" s="22" t="s">
        <v>180</v>
      </c>
      <c r="B28" s="22" t="s">
        <v>124</v>
      </c>
      <c r="C28" s="22" t="s">
        <v>528</v>
      </c>
      <c r="D28" s="22" t="s">
        <v>529</v>
      </c>
      <c r="E28" s="22">
        <v>9</v>
      </c>
      <c r="F28" s="22" t="s">
        <v>264</v>
      </c>
      <c r="G28" s="22">
        <v>-90</v>
      </c>
      <c r="H28" s="24">
        <v>0.35064935064935099</v>
      </c>
      <c r="I28" s="22" t="s">
        <v>215</v>
      </c>
      <c r="J28" s="22"/>
    </row>
    <row r="29" spans="1:10" ht="15" customHeight="1" x14ac:dyDescent="0.25">
      <c r="A29" s="22" t="s">
        <v>180</v>
      </c>
      <c r="B29" s="22" t="s">
        <v>124</v>
      </c>
      <c r="C29" s="22" t="s">
        <v>528</v>
      </c>
      <c r="D29" s="22" t="s">
        <v>529</v>
      </c>
      <c r="E29" s="22">
        <v>10</v>
      </c>
      <c r="F29" s="22" t="s">
        <v>191</v>
      </c>
      <c r="G29" s="22">
        <v>-75</v>
      </c>
      <c r="H29" s="24">
        <v>0.35064935064935099</v>
      </c>
      <c r="I29" s="22" t="s">
        <v>215</v>
      </c>
      <c r="J29" s="22"/>
    </row>
    <row r="30" spans="1:10" ht="15" customHeight="1" x14ac:dyDescent="0.25">
      <c r="A30" s="22" t="s">
        <v>180</v>
      </c>
      <c r="B30" s="22" t="s">
        <v>124</v>
      </c>
      <c r="C30" s="22" t="s">
        <v>528</v>
      </c>
      <c r="D30" s="22" t="s">
        <v>529</v>
      </c>
      <c r="E30" s="22">
        <v>11</v>
      </c>
      <c r="F30" s="22" t="s">
        <v>231</v>
      </c>
      <c r="G30" s="22">
        <v>-60</v>
      </c>
      <c r="H30" s="24">
        <v>0.29437229437229401</v>
      </c>
      <c r="I30" s="22" t="s">
        <v>215</v>
      </c>
      <c r="J30" s="22"/>
    </row>
    <row r="31" spans="1:10" ht="15" customHeight="1" x14ac:dyDescent="0.25">
      <c r="A31" s="22" t="s">
        <v>180</v>
      </c>
      <c r="B31" s="22" t="s">
        <v>124</v>
      </c>
      <c r="C31" s="22" t="s">
        <v>528</v>
      </c>
      <c r="D31" s="22" t="s">
        <v>529</v>
      </c>
      <c r="E31" s="22">
        <v>12</v>
      </c>
      <c r="F31" s="22" t="s">
        <v>239</v>
      </c>
      <c r="G31" s="22">
        <v>-45</v>
      </c>
      <c r="H31" s="24">
        <v>0.26839826839826803</v>
      </c>
      <c r="I31" s="22" t="s">
        <v>215</v>
      </c>
      <c r="J31" s="22"/>
    </row>
    <row r="32" spans="1:10" ht="15" customHeight="1" x14ac:dyDescent="0.25">
      <c r="A32" s="22" t="s">
        <v>180</v>
      </c>
      <c r="B32" s="22" t="s">
        <v>124</v>
      </c>
      <c r="C32" s="22" t="s">
        <v>528</v>
      </c>
      <c r="D32" s="22" t="s">
        <v>529</v>
      </c>
      <c r="E32" s="22">
        <v>13</v>
      </c>
      <c r="F32" s="22" t="s">
        <v>387</v>
      </c>
      <c r="G32" s="22">
        <v>-30</v>
      </c>
      <c r="H32" s="24">
        <v>0.229437229437229</v>
      </c>
      <c r="I32" s="22" t="s">
        <v>215</v>
      </c>
      <c r="J32" s="22"/>
    </row>
    <row r="33" spans="1:10" ht="15" customHeight="1" x14ac:dyDescent="0.25">
      <c r="A33" s="22" t="s">
        <v>180</v>
      </c>
      <c r="B33" s="22" t="s">
        <v>124</v>
      </c>
      <c r="C33" s="22" t="s">
        <v>528</v>
      </c>
      <c r="D33" s="22" t="s">
        <v>529</v>
      </c>
      <c r="E33" s="22">
        <v>14</v>
      </c>
      <c r="F33" s="22" t="s">
        <v>468</v>
      </c>
      <c r="G33" s="22">
        <v>-15</v>
      </c>
      <c r="H33" s="24">
        <v>0.18614718614718601</v>
      </c>
      <c r="I33" s="22" t="s">
        <v>215</v>
      </c>
      <c r="J33" s="22"/>
    </row>
    <row r="34" spans="1:10" ht="15" customHeight="1" x14ac:dyDescent="0.25">
      <c r="A34" s="22" t="s">
        <v>180</v>
      </c>
      <c r="B34" s="22" t="s">
        <v>124</v>
      </c>
      <c r="C34" s="22" t="s">
        <v>528</v>
      </c>
      <c r="D34" s="22" t="s">
        <v>529</v>
      </c>
      <c r="E34" s="22">
        <v>15</v>
      </c>
      <c r="F34" s="22" t="s">
        <v>469</v>
      </c>
      <c r="G34" s="22">
        <v>0</v>
      </c>
      <c r="H34" s="24">
        <v>0.12987012987013</v>
      </c>
      <c r="I34" s="22" t="s">
        <v>215</v>
      </c>
      <c r="J34" s="22"/>
    </row>
    <row r="35" spans="1:10" ht="15" customHeight="1" x14ac:dyDescent="0.25">
      <c r="A35" s="22" t="s">
        <v>180</v>
      </c>
      <c r="B35" s="22" t="s">
        <v>124</v>
      </c>
      <c r="C35" s="22" t="s">
        <v>528</v>
      </c>
      <c r="D35" s="22" t="s">
        <v>529</v>
      </c>
      <c r="E35" s="22">
        <v>16</v>
      </c>
      <c r="F35" s="22" t="s">
        <v>351</v>
      </c>
      <c r="G35" s="22">
        <v>15</v>
      </c>
      <c r="H35" s="24">
        <v>7.3593073593073599E-2</v>
      </c>
      <c r="I35" s="22" t="s">
        <v>215</v>
      </c>
      <c r="J35" s="22"/>
    </row>
    <row r="36" spans="1:10" ht="15" customHeight="1" x14ac:dyDescent="0.25">
      <c r="A36" s="22" t="s">
        <v>180</v>
      </c>
      <c r="B36" s="22" t="s">
        <v>124</v>
      </c>
      <c r="C36" s="22" t="s">
        <v>528</v>
      </c>
      <c r="D36" s="22" t="s">
        <v>529</v>
      </c>
      <c r="E36" s="22">
        <v>17</v>
      </c>
      <c r="F36" s="22" t="s">
        <v>311</v>
      </c>
      <c r="G36" s="22">
        <v>30</v>
      </c>
      <c r="H36" s="24">
        <v>6.4935064935064901E-2</v>
      </c>
      <c r="I36" s="22" t="s">
        <v>215</v>
      </c>
      <c r="J36" s="22"/>
    </row>
    <row r="37" spans="1:10" ht="15" customHeight="1" x14ac:dyDescent="0.25">
      <c r="A37" s="22" t="s">
        <v>180</v>
      </c>
      <c r="B37" s="22" t="s">
        <v>124</v>
      </c>
      <c r="C37" s="22" t="s">
        <v>528</v>
      </c>
      <c r="D37" s="22" t="s">
        <v>529</v>
      </c>
      <c r="E37" s="22">
        <v>18</v>
      </c>
      <c r="F37" s="22" t="s">
        <v>211</v>
      </c>
      <c r="G37" s="22">
        <v>45</v>
      </c>
      <c r="H37" s="24">
        <v>3.4632034632034597E-2</v>
      </c>
      <c r="I37" s="22" t="s">
        <v>215</v>
      </c>
      <c r="J37" s="22"/>
    </row>
    <row r="38" spans="1:10" ht="15" customHeight="1" x14ac:dyDescent="0.25">
      <c r="A38" s="22" t="s">
        <v>298</v>
      </c>
      <c r="B38" s="22" t="s">
        <v>124</v>
      </c>
      <c r="C38" s="22" t="s">
        <v>530</v>
      </c>
      <c r="D38" s="22" t="s">
        <v>527</v>
      </c>
      <c r="E38" s="22">
        <v>0</v>
      </c>
      <c r="F38" s="22" t="s">
        <v>189</v>
      </c>
      <c r="G38" s="22"/>
      <c r="H38" s="24">
        <v>5.5162659123055201E-2</v>
      </c>
      <c r="I38" s="22" t="s">
        <v>330</v>
      </c>
      <c r="J38" s="22"/>
    </row>
    <row r="39" spans="1:10" ht="15" customHeight="1" x14ac:dyDescent="0.25">
      <c r="A39" s="22" t="s">
        <v>298</v>
      </c>
      <c r="B39" s="22" t="s">
        <v>124</v>
      </c>
      <c r="C39" s="22" t="s">
        <v>530</v>
      </c>
      <c r="D39" s="22" t="s">
        <v>527</v>
      </c>
      <c r="E39" s="22">
        <v>3</v>
      </c>
      <c r="F39" s="22" t="s">
        <v>464</v>
      </c>
      <c r="G39" s="22">
        <v>-180</v>
      </c>
      <c r="H39" s="24">
        <v>9.3352192362093397E-2</v>
      </c>
      <c r="I39" s="22" t="s">
        <v>330</v>
      </c>
      <c r="J39" s="22"/>
    </row>
    <row r="40" spans="1:10" ht="15" customHeight="1" x14ac:dyDescent="0.25">
      <c r="A40" s="22" t="s">
        <v>298</v>
      </c>
      <c r="B40" s="22" t="s">
        <v>124</v>
      </c>
      <c r="C40" s="22" t="s">
        <v>530</v>
      </c>
      <c r="D40" s="22" t="s">
        <v>527</v>
      </c>
      <c r="E40" s="22">
        <v>4</v>
      </c>
      <c r="F40" s="22" t="s">
        <v>465</v>
      </c>
      <c r="G40" s="22">
        <v>-165</v>
      </c>
      <c r="H40" s="24">
        <v>0.158415841584158</v>
      </c>
      <c r="I40" s="22" t="s">
        <v>330</v>
      </c>
      <c r="J40" s="22"/>
    </row>
    <row r="41" spans="1:10" ht="15" customHeight="1" x14ac:dyDescent="0.25">
      <c r="A41" s="22" t="s">
        <v>298</v>
      </c>
      <c r="B41" s="22" t="s">
        <v>124</v>
      </c>
      <c r="C41" s="22" t="s">
        <v>530</v>
      </c>
      <c r="D41" s="22" t="s">
        <v>527</v>
      </c>
      <c r="E41" s="22">
        <v>5</v>
      </c>
      <c r="F41" s="22" t="s">
        <v>466</v>
      </c>
      <c r="G41" s="22">
        <v>-150</v>
      </c>
      <c r="H41" s="24">
        <v>0.26449787835926503</v>
      </c>
      <c r="I41" s="22" t="s">
        <v>330</v>
      </c>
      <c r="J41" s="22"/>
    </row>
    <row r="42" spans="1:10" ht="15" customHeight="1" x14ac:dyDescent="0.25">
      <c r="A42" s="22" t="s">
        <v>298</v>
      </c>
      <c r="B42" s="22" t="s">
        <v>124</v>
      </c>
      <c r="C42" s="22" t="s">
        <v>530</v>
      </c>
      <c r="D42" s="22" t="s">
        <v>527</v>
      </c>
      <c r="E42" s="22">
        <v>6</v>
      </c>
      <c r="F42" s="22" t="s">
        <v>467</v>
      </c>
      <c r="G42" s="22">
        <v>-135</v>
      </c>
      <c r="H42" s="24">
        <v>0.39321074964639302</v>
      </c>
      <c r="I42" s="22" t="s">
        <v>330</v>
      </c>
      <c r="J42" s="22"/>
    </row>
    <row r="43" spans="1:10" ht="15" customHeight="1" x14ac:dyDescent="0.25">
      <c r="A43" s="22" t="s">
        <v>298</v>
      </c>
      <c r="B43" s="22" t="s">
        <v>124</v>
      </c>
      <c r="C43" s="22" t="s">
        <v>530</v>
      </c>
      <c r="D43" s="22" t="s">
        <v>527</v>
      </c>
      <c r="E43" s="22">
        <v>7</v>
      </c>
      <c r="F43" s="22" t="s">
        <v>212</v>
      </c>
      <c r="G43" s="22">
        <v>-120</v>
      </c>
      <c r="H43" s="24">
        <v>0.50636492220650597</v>
      </c>
      <c r="I43" s="22" t="s">
        <v>330</v>
      </c>
      <c r="J43" s="22"/>
    </row>
    <row r="44" spans="1:10" ht="15" customHeight="1" x14ac:dyDescent="0.25">
      <c r="A44" s="22" t="s">
        <v>298</v>
      </c>
      <c r="B44" s="22" t="s">
        <v>124</v>
      </c>
      <c r="C44" s="22" t="s">
        <v>530</v>
      </c>
      <c r="D44" s="22" t="s">
        <v>527</v>
      </c>
      <c r="E44" s="22">
        <v>8</v>
      </c>
      <c r="F44" s="22" t="s">
        <v>226</v>
      </c>
      <c r="G44" s="22">
        <v>-105</v>
      </c>
      <c r="H44" s="24">
        <v>0.58557284299858603</v>
      </c>
      <c r="I44" s="22" t="s">
        <v>330</v>
      </c>
      <c r="J44" s="22"/>
    </row>
    <row r="45" spans="1:10" ht="15" customHeight="1" x14ac:dyDescent="0.25">
      <c r="A45" s="22" t="s">
        <v>298</v>
      </c>
      <c r="B45" s="22" t="s">
        <v>124</v>
      </c>
      <c r="C45" s="22" t="s">
        <v>530</v>
      </c>
      <c r="D45" s="22" t="s">
        <v>527</v>
      </c>
      <c r="E45" s="22">
        <v>9</v>
      </c>
      <c r="F45" s="22" t="s">
        <v>264</v>
      </c>
      <c r="G45" s="22">
        <v>-90</v>
      </c>
      <c r="H45" s="24">
        <v>0.62942008486562895</v>
      </c>
      <c r="I45" s="22" t="s">
        <v>330</v>
      </c>
      <c r="J45" s="22"/>
    </row>
    <row r="46" spans="1:10" ht="15" customHeight="1" x14ac:dyDescent="0.25">
      <c r="A46" s="22" t="s">
        <v>298</v>
      </c>
      <c r="B46" s="22" t="s">
        <v>124</v>
      </c>
      <c r="C46" s="22" t="s">
        <v>530</v>
      </c>
      <c r="D46" s="22" t="s">
        <v>527</v>
      </c>
      <c r="E46" s="22">
        <v>10</v>
      </c>
      <c r="F46" s="22" t="s">
        <v>191</v>
      </c>
      <c r="G46" s="22">
        <v>-75</v>
      </c>
      <c r="H46" s="24">
        <v>0.60961810466761002</v>
      </c>
      <c r="I46" s="22" t="s">
        <v>330</v>
      </c>
      <c r="J46" s="22"/>
    </row>
    <row r="47" spans="1:10" ht="15" customHeight="1" x14ac:dyDescent="0.25">
      <c r="A47" s="22" t="s">
        <v>298</v>
      </c>
      <c r="B47" s="22" t="s">
        <v>124</v>
      </c>
      <c r="C47" s="22" t="s">
        <v>530</v>
      </c>
      <c r="D47" s="22" t="s">
        <v>527</v>
      </c>
      <c r="E47" s="22">
        <v>11</v>
      </c>
      <c r="F47" s="22" t="s">
        <v>231</v>
      </c>
      <c r="G47" s="22">
        <v>-60</v>
      </c>
      <c r="H47" s="24">
        <v>0.58274398868458299</v>
      </c>
      <c r="I47" s="22" t="s">
        <v>330</v>
      </c>
      <c r="J47" s="22"/>
    </row>
    <row r="48" spans="1:10" ht="15" customHeight="1" x14ac:dyDescent="0.25">
      <c r="A48" s="22" t="s">
        <v>298</v>
      </c>
      <c r="B48" s="22" t="s">
        <v>124</v>
      </c>
      <c r="C48" s="22" t="s">
        <v>530</v>
      </c>
      <c r="D48" s="22" t="s">
        <v>527</v>
      </c>
      <c r="E48" s="22">
        <v>12</v>
      </c>
      <c r="F48" s="22" t="s">
        <v>239</v>
      </c>
      <c r="G48" s="22">
        <v>-45</v>
      </c>
      <c r="H48" s="24">
        <v>0.55304101838755304</v>
      </c>
      <c r="I48" s="22" t="s">
        <v>330</v>
      </c>
      <c r="J48" s="22"/>
    </row>
    <row r="49" spans="1:10" ht="15" customHeight="1" x14ac:dyDescent="0.25">
      <c r="A49" s="22" t="s">
        <v>298</v>
      </c>
      <c r="B49" s="22" t="s">
        <v>124</v>
      </c>
      <c r="C49" s="22" t="s">
        <v>530</v>
      </c>
      <c r="D49" s="22" t="s">
        <v>527</v>
      </c>
      <c r="E49" s="22">
        <v>13</v>
      </c>
      <c r="F49" s="22" t="s">
        <v>387</v>
      </c>
      <c r="G49" s="22">
        <v>-30</v>
      </c>
      <c r="H49" s="24">
        <v>0.47949080622348</v>
      </c>
      <c r="I49" s="22" t="s">
        <v>330</v>
      </c>
      <c r="J49" s="22"/>
    </row>
    <row r="50" spans="1:10" ht="15" customHeight="1" x14ac:dyDescent="0.25">
      <c r="A50" s="22" t="s">
        <v>298</v>
      </c>
      <c r="B50" s="22" t="s">
        <v>124</v>
      </c>
      <c r="C50" s="22" t="s">
        <v>530</v>
      </c>
      <c r="D50" s="22" t="s">
        <v>527</v>
      </c>
      <c r="E50" s="22">
        <v>14</v>
      </c>
      <c r="F50" s="22" t="s">
        <v>468</v>
      </c>
      <c r="G50" s="22">
        <v>-15</v>
      </c>
      <c r="H50" s="24">
        <v>0.404526166902405</v>
      </c>
      <c r="I50" s="22" t="s">
        <v>330</v>
      </c>
      <c r="J50" s="22"/>
    </row>
    <row r="51" spans="1:10" ht="15" customHeight="1" x14ac:dyDescent="0.25">
      <c r="A51" s="22" t="s">
        <v>298</v>
      </c>
      <c r="B51" s="22" t="s">
        <v>124</v>
      </c>
      <c r="C51" s="22" t="s">
        <v>530</v>
      </c>
      <c r="D51" s="22" t="s">
        <v>527</v>
      </c>
      <c r="E51" s="22">
        <v>15</v>
      </c>
      <c r="F51" s="22" t="s">
        <v>469</v>
      </c>
      <c r="G51" s="22">
        <v>0</v>
      </c>
      <c r="H51" s="24">
        <v>0.33663366336633699</v>
      </c>
      <c r="I51" s="22" t="s">
        <v>330</v>
      </c>
      <c r="J51" s="22"/>
    </row>
    <row r="52" spans="1:10" ht="15" customHeight="1" x14ac:dyDescent="0.25">
      <c r="A52" s="22" t="s">
        <v>298</v>
      </c>
      <c r="B52" s="22" t="s">
        <v>124</v>
      </c>
      <c r="C52" s="22" t="s">
        <v>530</v>
      </c>
      <c r="D52" s="22" t="s">
        <v>527</v>
      </c>
      <c r="E52" s="22">
        <v>16</v>
      </c>
      <c r="F52" s="22" t="s">
        <v>351</v>
      </c>
      <c r="G52" s="22">
        <v>15</v>
      </c>
      <c r="H52" s="24">
        <v>0.28005657708628001</v>
      </c>
      <c r="I52" s="22" t="s">
        <v>330</v>
      </c>
      <c r="J52" s="22"/>
    </row>
    <row r="53" spans="1:10" ht="15" customHeight="1" x14ac:dyDescent="0.25">
      <c r="A53" s="22" t="s">
        <v>298</v>
      </c>
      <c r="B53" s="22" t="s">
        <v>124</v>
      </c>
      <c r="C53" s="22" t="s">
        <v>530</v>
      </c>
      <c r="D53" s="22" t="s">
        <v>527</v>
      </c>
      <c r="E53" s="22">
        <v>17</v>
      </c>
      <c r="F53" s="22" t="s">
        <v>311</v>
      </c>
      <c r="G53" s="22">
        <v>30</v>
      </c>
      <c r="H53" s="24">
        <v>0.22772277227722801</v>
      </c>
      <c r="I53" s="22" t="s">
        <v>330</v>
      </c>
      <c r="J53" s="22"/>
    </row>
    <row r="54" spans="1:10" ht="15" customHeight="1" x14ac:dyDescent="0.25">
      <c r="A54" s="22" t="s">
        <v>298</v>
      </c>
      <c r="B54" s="22" t="s">
        <v>124</v>
      </c>
      <c r="C54" s="22" t="s">
        <v>530</v>
      </c>
      <c r="D54" s="22" t="s">
        <v>527</v>
      </c>
      <c r="E54" s="22">
        <v>18</v>
      </c>
      <c r="F54" s="22" t="s">
        <v>211</v>
      </c>
      <c r="G54" s="22">
        <v>45</v>
      </c>
      <c r="H54" s="24">
        <v>0.20509193776520501</v>
      </c>
      <c r="I54" s="22" t="s">
        <v>330</v>
      </c>
      <c r="J54" s="22"/>
    </row>
    <row r="55" spans="1:10" ht="15" customHeight="1" x14ac:dyDescent="0.25">
      <c r="A55" s="22" t="s">
        <v>298</v>
      </c>
      <c r="B55" s="22" t="s">
        <v>124</v>
      </c>
      <c r="C55" s="22" t="s">
        <v>530</v>
      </c>
      <c r="D55" s="22" t="s">
        <v>527</v>
      </c>
      <c r="E55" s="22">
        <v>19</v>
      </c>
      <c r="F55" s="22" t="s">
        <v>190</v>
      </c>
      <c r="G55" s="22">
        <v>60</v>
      </c>
      <c r="H55" s="24">
        <v>0.15479999999999999</v>
      </c>
      <c r="I55" s="22" t="s">
        <v>330</v>
      </c>
      <c r="J55" s="31" t="s">
        <v>201</v>
      </c>
    </row>
    <row r="56" spans="1:10" ht="15" customHeight="1" x14ac:dyDescent="0.25">
      <c r="A56" s="22" t="s">
        <v>298</v>
      </c>
      <c r="B56" s="22" t="s">
        <v>124</v>
      </c>
      <c r="C56" s="22" t="s">
        <v>530</v>
      </c>
      <c r="D56" s="22" t="s">
        <v>527</v>
      </c>
      <c r="E56" s="22">
        <v>20</v>
      </c>
      <c r="F56" s="22" t="s">
        <v>472</v>
      </c>
      <c r="G56" s="22">
        <v>75</v>
      </c>
      <c r="H56" s="24">
        <v>9.5299999999999996E-2</v>
      </c>
      <c r="I56" s="22" t="s">
        <v>330</v>
      </c>
      <c r="J56" s="31" t="s">
        <v>201</v>
      </c>
    </row>
    <row r="57" spans="1:10" ht="15" customHeight="1" x14ac:dyDescent="0.25">
      <c r="A57" s="22" t="s">
        <v>298</v>
      </c>
      <c r="B57" s="22" t="s">
        <v>124</v>
      </c>
      <c r="C57" s="22" t="s">
        <v>530</v>
      </c>
      <c r="D57" s="22" t="s">
        <v>527</v>
      </c>
      <c r="E57" s="22">
        <v>21</v>
      </c>
      <c r="F57" s="22" t="s">
        <v>250</v>
      </c>
      <c r="G57" s="22">
        <v>90</v>
      </c>
      <c r="H57" s="24">
        <v>5.1999999999999998E-2</v>
      </c>
      <c r="I57" s="22" t="s">
        <v>330</v>
      </c>
      <c r="J57" s="31" t="s">
        <v>201</v>
      </c>
    </row>
    <row r="58" spans="1:10" ht="15" customHeight="1" x14ac:dyDescent="0.25">
      <c r="A58" s="22" t="s">
        <v>298</v>
      </c>
      <c r="B58" s="22" t="s">
        <v>124</v>
      </c>
      <c r="C58" s="22" t="s">
        <v>530</v>
      </c>
      <c r="D58" s="22" t="s">
        <v>527</v>
      </c>
      <c r="E58" s="22">
        <v>22</v>
      </c>
      <c r="F58" s="22" t="s">
        <v>403</v>
      </c>
      <c r="G58" s="22">
        <v>105</v>
      </c>
      <c r="H58" s="24">
        <v>1.2E-2</v>
      </c>
      <c r="I58" s="22" t="s">
        <v>330</v>
      </c>
      <c r="J58" s="31" t="s">
        <v>201</v>
      </c>
    </row>
    <row r="59" spans="1:10" ht="15" customHeight="1" x14ac:dyDescent="0.25">
      <c r="A59" s="22" t="s">
        <v>298</v>
      </c>
      <c r="B59" s="22" t="s">
        <v>124</v>
      </c>
      <c r="C59" s="22" t="s">
        <v>531</v>
      </c>
      <c r="D59" s="22" t="s">
        <v>532</v>
      </c>
      <c r="E59" s="22">
        <v>0</v>
      </c>
      <c r="F59" s="22" t="s">
        <v>189</v>
      </c>
      <c r="G59" s="22"/>
      <c r="H59" s="24">
        <v>4.2471042471042497E-2</v>
      </c>
      <c r="I59" s="22" t="s">
        <v>344</v>
      </c>
      <c r="J59" s="22"/>
    </row>
    <row r="60" spans="1:10" ht="15" customHeight="1" x14ac:dyDescent="0.25">
      <c r="A60" s="22" t="s">
        <v>298</v>
      </c>
      <c r="B60" s="22" t="s">
        <v>124</v>
      </c>
      <c r="C60" s="22" t="s">
        <v>531</v>
      </c>
      <c r="D60" s="22" t="s">
        <v>532</v>
      </c>
      <c r="E60" s="22">
        <v>3</v>
      </c>
      <c r="F60" s="22" t="s">
        <v>464</v>
      </c>
      <c r="G60" s="22">
        <v>-180</v>
      </c>
      <c r="H60" s="24">
        <v>8.8803088803088806E-2</v>
      </c>
      <c r="I60" s="22" t="s">
        <v>344</v>
      </c>
      <c r="J60" s="22"/>
    </row>
    <row r="61" spans="1:10" ht="15" customHeight="1" x14ac:dyDescent="0.25">
      <c r="A61" s="22" t="s">
        <v>298</v>
      </c>
      <c r="B61" s="22" t="s">
        <v>124</v>
      </c>
      <c r="C61" s="22" t="s">
        <v>531</v>
      </c>
      <c r="D61" s="22" t="s">
        <v>532</v>
      </c>
      <c r="E61" s="22">
        <v>4</v>
      </c>
      <c r="F61" s="22" t="s">
        <v>465</v>
      </c>
      <c r="G61" s="22">
        <v>-165</v>
      </c>
      <c r="H61" s="24">
        <v>0.162162162162162</v>
      </c>
      <c r="I61" s="22" t="s">
        <v>344</v>
      </c>
      <c r="J61" s="22"/>
    </row>
    <row r="62" spans="1:10" ht="15" customHeight="1" x14ac:dyDescent="0.25">
      <c r="A62" s="22" t="s">
        <v>298</v>
      </c>
      <c r="B62" s="22" t="s">
        <v>124</v>
      </c>
      <c r="C62" s="22" t="s">
        <v>531</v>
      </c>
      <c r="D62" s="22" t="s">
        <v>532</v>
      </c>
      <c r="E62" s="22">
        <v>5</v>
      </c>
      <c r="F62" s="22" t="s">
        <v>466</v>
      </c>
      <c r="G62" s="22">
        <v>-150</v>
      </c>
      <c r="H62" s="24">
        <v>0.26254826254826302</v>
      </c>
      <c r="I62" s="22" t="s">
        <v>344</v>
      </c>
      <c r="J62" s="22"/>
    </row>
    <row r="63" spans="1:10" ht="15" customHeight="1" x14ac:dyDescent="0.25">
      <c r="A63" s="22" t="s">
        <v>298</v>
      </c>
      <c r="B63" s="22" t="s">
        <v>124</v>
      </c>
      <c r="C63" s="22" t="s">
        <v>531</v>
      </c>
      <c r="D63" s="22" t="s">
        <v>532</v>
      </c>
      <c r="E63" s="22">
        <v>6</v>
      </c>
      <c r="F63" s="22" t="s">
        <v>467</v>
      </c>
      <c r="G63" s="22">
        <v>-135</v>
      </c>
      <c r="H63" s="24">
        <v>0.35907335907335902</v>
      </c>
      <c r="I63" s="22" t="s">
        <v>344</v>
      </c>
      <c r="J63" s="22"/>
    </row>
    <row r="64" spans="1:10" ht="15" customHeight="1" x14ac:dyDescent="0.25">
      <c r="A64" s="22" t="s">
        <v>298</v>
      </c>
      <c r="B64" s="22" t="s">
        <v>124</v>
      </c>
      <c r="C64" s="22" t="s">
        <v>531</v>
      </c>
      <c r="D64" s="22" t="s">
        <v>532</v>
      </c>
      <c r="E64" s="22">
        <v>7</v>
      </c>
      <c r="F64" s="22" t="s">
        <v>212</v>
      </c>
      <c r="G64" s="22">
        <v>-120</v>
      </c>
      <c r="H64" s="24">
        <v>0.505791505791506</v>
      </c>
      <c r="I64" s="22" t="s">
        <v>344</v>
      </c>
      <c r="J64" s="22"/>
    </row>
    <row r="65" spans="1:10" ht="15" customHeight="1" x14ac:dyDescent="0.25">
      <c r="A65" s="22" t="s">
        <v>298</v>
      </c>
      <c r="B65" s="22" t="s">
        <v>124</v>
      </c>
      <c r="C65" s="22" t="s">
        <v>531</v>
      </c>
      <c r="D65" s="22" t="s">
        <v>532</v>
      </c>
      <c r="E65" s="22">
        <v>8</v>
      </c>
      <c r="F65" s="22" t="s">
        <v>226</v>
      </c>
      <c r="G65" s="22">
        <v>-105</v>
      </c>
      <c r="H65" s="24">
        <v>0.62548262548262601</v>
      </c>
      <c r="I65" s="22" t="s">
        <v>344</v>
      </c>
      <c r="J65" s="22"/>
    </row>
    <row r="66" spans="1:10" ht="15" customHeight="1" x14ac:dyDescent="0.25">
      <c r="A66" s="22" t="s">
        <v>298</v>
      </c>
      <c r="B66" s="22" t="s">
        <v>124</v>
      </c>
      <c r="C66" s="22" t="s">
        <v>531</v>
      </c>
      <c r="D66" s="22" t="s">
        <v>532</v>
      </c>
      <c r="E66" s="22">
        <v>9</v>
      </c>
      <c r="F66" s="22" t="s">
        <v>264</v>
      </c>
      <c r="G66" s="22">
        <v>-90</v>
      </c>
      <c r="H66" s="24">
        <v>0.698841698841699</v>
      </c>
      <c r="I66" s="22" t="s">
        <v>344</v>
      </c>
      <c r="J66" s="22"/>
    </row>
    <row r="67" spans="1:10" ht="15" customHeight="1" x14ac:dyDescent="0.25">
      <c r="A67" s="22" t="s">
        <v>298</v>
      </c>
      <c r="B67" s="22" t="s">
        <v>124</v>
      </c>
      <c r="C67" s="22" t="s">
        <v>531</v>
      </c>
      <c r="D67" s="22" t="s">
        <v>532</v>
      </c>
      <c r="E67" s="22">
        <v>10</v>
      </c>
      <c r="F67" s="22" t="s">
        <v>191</v>
      </c>
      <c r="G67" s="22">
        <v>-75</v>
      </c>
      <c r="H67" s="24">
        <v>0.71428571428571397</v>
      </c>
      <c r="I67" s="22" t="s">
        <v>344</v>
      </c>
      <c r="J67" s="22"/>
    </row>
    <row r="68" spans="1:10" ht="15" customHeight="1" x14ac:dyDescent="0.25">
      <c r="A68" s="22" t="s">
        <v>298</v>
      </c>
      <c r="B68" s="22" t="s">
        <v>124</v>
      </c>
      <c r="C68" s="22" t="s">
        <v>531</v>
      </c>
      <c r="D68" s="22" t="s">
        <v>532</v>
      </c>
      <c r="E68" s="22">
        <v>11</v>
      </c>
      <c r="F68" s="22" t="s">
        <v>231</v>
      </c>
      <c r="G68" s="22">
        <v>-60</v>
      </c>
      <c r="H68" s="24">
        <v>0.64864864864864902</v>
      </c>
      <c r="I68" s="22" t="s">
        <v>344</v>
      </c>
      <c r="J68" s="22"/>
    </row>
    <row r="69" spans="1:10" ht="15" customHeight="1" x14ac:dyDescent="0.25">
      <c r="A69" s="22" t="s">
        <v>298</v>
      </c>
      <c r="B69" s="22" t="s">
        <v>124</v>
      </c>
      <c r="C69" s="22" t="s">
        <v>531</v>
      </c>
      <c r="D69" s="22" t="s">
        <v>532</v>
      </c>
      <c r="E69" s="22">
        <v>12</v>
      </c>
      <c r="F69" s="22" t="s">
        <v>239</v>
      </c>
      <c r="G69" s="22">
        <v>-45</v>
      </c>
      <c r="H69" s="24">
        <v>0.52895752895752901</v>
      </c>
      <c r="I69" s="22" t="s">
        <v>344</v>
      </c>
      <c r="J69" s="22"/>
    </row>
    <row r="70" spans="1:10" ht="15" customHeight="1" x14ac:dyDescent="0.25">
      <c r="A70" s="22" t="s">
        <v>298</v>
      </c>
      <c r="B70" s="22" t="s">
        <v>124</v>
      </c>
      <c r="C70" s="22" t="s">
        <v>531</v>
      </c>
      <c r="D70" s="22" t="s">
        <v>532</v>
      </c>
      <c r="E70" s="22">
        <v>13</v>
      </c>
      <c r="F70" s="22" t="s">
        <v>387</v>
      </c>
      <c r="G70" s="22">
        <v>-30</v>
      </c>
      <c r="H70" s="24">
        <v>0.37065637065637103</v>
      </c>
      <c r="I70" s="22" t="s">
        <v>344</v>
      </c>
      <c r="J70" s="22"/>
    </row>
    <row r="71" spans="1:10" ht="15" customHeight="1" x14ac:dyDescent="0.25">
      <c r="A71" s="22" t="s">
        <v>298</v>
      </c>
      <c r="B71" s="22" t="s">
        <v>124</v>
      </c>
      <c r="C71" s="22" t="s">
        <v>531</v>
      </c>
      <c r="D71" s="22" t="s">
        <v>532</v>
      </c>
      <c r="E71" s="22">
        <v>14</v>
      </c>
      <c r="F71" s="22" t="s">
        <v>468</v>
      </c>
      <c r="G71" s="22">
        <v>-15</v>
      </c>
      <c r="H71" s="24">
        <v>0.28185328185328201</v>
      </c>
      <c r="I71" s="22" t="s">
        <v>344</v>
      </c>
      <c r="J71" s="22"/>
    </row>
    <row r="72" spans="1:10" ht="15" customHeight="1" x14ac:dyDescent="0.25">
      <c r="A72" s="22" t="s">
        <v>298</v>
      </c>
      <c r="B72" s="22" t="s">
        <v>124</v>
      </c>
      <c r="C72" s="22" t="s">
        <v>531</v>
      </c>
      <c r="D72" s="22" t="s">
        <v>532</v>
      </c>
      <c r="E72" s="22">
        <v>15</v>
      </c>
      <c r="F72" s="22" t="s">
        <v>469</v>
      </c>
      <c r="G72" s="22">
        <v>0</v>
      </c>
      <c r="H72" s="24">
        <v>0.193050193050193</v>
      </c>
      <c r="I72" s="22" t="s">
        <v>344</v>
      </c>
      <c r="J72" s="22"/>
    </row>
    <row r="73" spans="1:10" ht="15" customHeight="1" x14ac:dyDescent="0.25">
      <c r="A73" s="22" t="s">
        <v>298</v>
      </c>
      <c r="B73" s="22" t="s">
        <v>124</v>
      </c>
      <c r="C73" s="22" t="s">
        <v>531</v>
      </c>
      <c r="D73" s="22" t="s">
        <v>532</v>
      </c>
      <c r="E73" s="22">
        <v>16</v>
      </c>
      <c r="F73" s="22" t="s">
        <v>351</v>
      </c>
      <c r="G73" s="22">
        <v>15</v>
      </c>
      <c r="H73" s="24">
        <v>0.138996138996139</v>
      </c>
      <c r="I73" s="22" t="s">
        <v>344</v>
      </c>
      <c r="J73" s="22"/>
    </row>
    <row r="74" spans="1:10" ht="15" customHeight="1" x14ac:dyDescent="0.25">
      <c r="A74" s="22" t="s">
        <v>298</v>
      </c>
      <c r="B74" s="22" t="s">
        <v>124</v>
      </c>
      <c r="C74" s="22" t="s">
        <v>531</v>
      </c>
      <c r="D74" s="22" t="s">
        <v>532</v>
      </c>
      <c r="E74" s="22">
        <v>17</v>
      </c>
      <c r="F74" s="22" t="s">
        <v>311</v>
      </c>
      <c r="G74" s="22">
        <v>30</v>
      </c>
      <c r="H74" s="24">
        <v>9.2664092664092701E-2</v>
      </c>
      <c r="I74" s="22" t="s">
        <v>344</v>
      </c>
      <c r="J74" s="22"/>
    </row>
    <row r="75" spans="1:10" ht="15" customHeight="1" x14ac:dyDescent="0.25">
      <c r="A75" s="22" t="s">
        <v>298</v>
      </c>
      <c r="B75" s="22" t="s">
        <v>124</v>
      </c>
      <c r="C75" s="22" t="s">
        <v>531</v>
      </c>
      <c r="D75" s="22" t="s">
        <v>532</v>
      </c>
      <c r="E75" s="22">
        <v>18</v>
      </c>
      <c r="F75" s="22" t="s">
        <v>211</v>
      </c>
      <c r="G75" s="22">
        <v>45</v>
      </c>
      <c r="H75" s="24">
        <v>3.0888030888030899E-2</v>
      </c>
      <c r="I75" s="22" t="s">
        <v>344</v>
      </c>
      <c r="J75" s="22"/>
    </row>
    <row r="76" spans="1:10" ht="15" customHeight="1" x14ac:dyDescent="0.25">
      <c r="A76" s="22" t="s">
        <v>445</v>
      </c>
      <c r="B76" s="22" t="s">
        <v>124</v>
      </c>
      <c r="C76" s="22" t="s">
        <v>533</v>
      </c>
      <c r="D76" s="22" t="s">
        <v>183</v>
      </c>
      <c r="E76" s="22">
        <v>7</v>
      </c>
      <c r="F76" s="22" t="s">
        <v>212</v>
      </c>
      <c r="G76" s="22">
        <v>-120</v>
      </c>
      <c r="H76" s="24">
        <v>0.48299999999999998</v>
      </c>
      <c r="I76" s="32" t="s">
        <v>534</v>
      </c>
      <c r="J76" s="22"/>
    </row>
    <row r="77" spans="1:10" ht="15" customHeight="1" x14ac:dyDescent="0.25">
      <c r="A77" s="22" t="s">
        <v>445</v>
      </c>
      <c r="B77" s="22" t="s">
        <v>124</v>
      </c>
      <c r="C77" s="22" t="s">
        <v>533</v>
      </c>
      <c r="D77" s="22" t="s">
        <v>183</v>
      </c>
      <c r="E77" s="22">
        <v>8</v>
      </c>
      <c r="F77" s="22" t="s">
        <v>226</v>
      </c>
      <c r="G77" s="22">
        <v>-105</v>
      </c>
      <c r="H77" s="24">
        <v>0.58699999999999997</v>
      </c>
      <c r="I77" s="32" t="s">
        <v>534</v>
      </c>
      <c r="J77" s="22"/>
    </row>
    <row r="78" spans="1:10" ht="15" customHeight="1" x14ac:dyDescent="0.25">
      <c r="A78" s="22" t="s">
        <v>445</v>
      </c>
      <c r="B78" s="22" t="s">
        <v>124</v>
      </c>
      <c r="C78" s="22" t="s">
        <v>533</v>
      </c>
      <c r="D78" s="22" t="s">
        <v>183</v>
      </c>
      <c r="E78" s="22">
        <v>9</v>
      </c>
      <c r="F78" s="22" t="s">
        <v>264</v>
      </c>
      <c r="G78" s="22">
        <v>-90</v>
      </c>
      <c r="H78" s="24">
        <v>0.67</v>
      </c>
      <c r="I78" s="32" t="s">
        <v>534</v>
      </c>
      <c r="J78" s="22"/>
    </row>
    <row r="79" spans="1:10" ht="15" customHeight="1" x14ac:dyDescent="0.25">
      <c r="A79" s="22" t="s">
        <v>445</v>
      </c>
      <c r="B79" s="22" t="s">
        <v>124</v>
      </c>
      <c r="C79" s="22" t="s">
        <v>533</v>
      </c>
      <c r="D79" s="22" t="s">
        <v>183</v>
      </c>
      <c r="E79" s="22">
        <v>10</v>
      </c>
      <c r="F79" s="22" t="s">
        <v>191</v>
      </c>
      <c r="G79" s="22">
        <v>-75</v>
      </c>
      <c r="H79" s="24">
        <v>0.70699999999999996</v>
      </c>
      <c r="I79" s="32" t="s">
        <v>534</v>
      </c>
      <c r="J79" s="22"/>
    </row>
    <row r="80" spans="1:10" ht="15" customHeight="1" x14ac:dyDescent="0.25">
      <c r="A80" s="22" t="s">
        <v>445</v>
      </c>
      <c r="B80" s="22" t="s">
        <v>124</v>
      </c>
      <c r="C80" s="22" t="s">
        <v>533</v>
      </c>
      <c r="D80" s="22" t="s">
        <v>183</v>
      </c>
      <c r="E80" s="22">
        <v>11</v>
      </c>
      <c r="F80" s="22" t="s">
        <v>231</v>
      </c>
      <c r="G80" s="22">
        <v>-60</v>
      </c>
      <c r="H80" s="24">
        <v>0.70799999999999996</v>
      </c>
      <c r="I80" s="32" t="s">
        <v>534</v>
      </c>
      <c r="J80" s="22"/>
    </row>
    <row r="81" spans="1:10" ht="15" customHeight="1" x14ac:dyDescent="0.25">
      <c r="A81" s="22" t="s">
        <v>445</v>
      </c>
      <c r="B81" s="22" t="s">
        <v>124</v>
      </c>
      <c r="C81" s="22" t="s">
        <v>533</v>
      </c>
      <c r="D81" s="22" t="s">
        <v>183</v>
      </c>
      <c r="E81" s="22">
        <v>12</v>
      </c>
      <c r="F81" s="22" t="s">
        <v>239</v>
      </c>
      <c r="G81" s="22">
        <v>-45</v>
      </c>
      <c r="H81" s="24">
        <v>0.65</v>
      </c>
      <c r="I81" s="32" t="s">
        <v>534</v>
      </c>
      <c r="J81" s="22"/>
    </row>
    <row r="82" spans="1:10" ht="15" customHeight="1" x14ac:dyDescent="0.25">
      <c r="A82" s="22" t="s">
        <v>445</v>
      </c>
      <c r="B82" s="22" t="s">
        <v>124</v>
      </c>
      <c r="C82" s="22" t="s">
        <v>533</v>
      </c>
      <c r="D82" s="22" t="s">
        <v>183</v>
      </c>
      <c r="E82" s="22">
        <v>13</v>
      </c>
      <c r="F82" s="22" t="s">
        <v>387</v>
      </c>
      <c r="G82" s="22">
        <v>-30</v>
      </c>
      <c r="H82" s="24">
        <v>0.57299999999999995</v>
      </c>
      <c r="I82" s="32" t="s">
        <v>534</v>
      </c>
      <c r="J82" s="22"/>
    </row>
    <row r="83" spans="1:10" ht="15" customHeight="1" x14ac:dyDescent="0.25">
      <c r="A83" s="22" t="s">
        <v>445</v>
      </c>
      <c r="B83" s="22" t="s">
        <v>124</v>
      </c>
      <c r="C83" s="22" t="s">
        <v>533</v>
      </c>
      <c r="D83" s="22" t="s">
        <v>183</v>
      </c>
      <c r="E83" s="22">
        <v>14</v>
      </c>
      <c r="F83" s="22" t="s">
        <v>468</v>
      </c>
      <c r="G83" s="22">
        <v>-15</v>
      </c>
      <c r="H83" s="24">
        <v>0.45800000000000002</v>
      </c>
      <c r="I83" s="32" t="s">
        <v>534</v>
      </c>
      <c r="J83" s="22"/>
    </row>
    <row r="84" spans="1:10" ht="15" customHeight="1" x14ac:dyDescent="0.25">
      <c r="A84" s="22" t="s">
        <v>445</v>
      </c>
      <c r="B84" s="22" t="s">
        <v>124</v>
      </c>
      <c r="C84" s="22" t="s">
        <v>533</v>
      </c>
      <c r="D84" s="22" t="s">
        <v>183</v>
      </c>
      <c r="E84" s="22">
        <v>15</v>
      </c>
      <c r="F84" s="22" t="s">
        <v>469</v>
      </c>
      <c r="G84" s="22">
        <v>0</v>
      </c>
      <c r="H84" s="24">
        <v>0.36699999999999999</v>
      </c>
      <c r="I84" s="32" t="s">
        <v>534</v>
      </c>
      <c r="J84" s="22"/>
    </row>
    <row r="85" spans="1:10" ht="15" customHeight="1" x14ac:dyDescent="0.25">
      <c r="A85" s="22" t="s">
        <v>445</v>
      </c>
      <c r="B85" s="22" t="s">
        <v>124</v>
      </c>
      <c r="C85" s="22" t="s">
        <v>533</v>
      </c>
      <c r="D85" s="22" t="s">
        <v>183</v>
      </c>
      <c r="E85" s="22">
        <v>16</v>
      </c>
      <c r="F85" s="22" t="s">
        <v>351</v>
      </c>
      <c r="G85" s="22">
        <v>15</v>
      </c>
      <c r="H85" s="24">
        <v>0.28199999999999997</v>
      </c>
      <c r="I85" s="32" t="s">
        <v>534</v>
      </c>
      <c r="J85" s="22"/>
    </row>
    <row r="86" spans="1:10" ht="15" customHeight="1" x14ac:dyDescent="0.25">
      <c r="A86" s="22" t="s">
        <v>445</v>
      </c>
      <c r="B86" s="22" t="s">
        <v>124</v>
      </c>
      <c r="C86" s="22" t="s">
        <v>533</v>
      </c>
      <c r="D86" s="22" t="s">
        <v>183</v>
      </c>
      <c r="E86" s="22">
        <v>17</v>
      </c>
      <c r="F86" s="22" t="s">
        <v>311</v>
      </c>
      <c r="G86" s="22">
        <v>30</v>
      </c>
      <c r="H86" s="24">
        <v>0.19700000000000001</v>
      </c>
      <c r="I86" s="32" t="s">
        <v>534</v>
      </c>
      <c r="J86" s="22"/>
    </row>
    <row r="87" spans="1:10" ht="15" customHeight="1" x14ac:dyDescent="0.25">
      <c r="A87" s="22" t="s">
        <v>445</v>
      </c>
      <c r="B87" s="22" t="s">
        <v>124</v>
      </c>
      <c r="C87" s="22" t="s">
        <v>533</v>
      </c>
      <c r="D87" s="22" t="s">
        <v>183</v>
      </c>
      <c r="E87" s="22">
        <v>18</v>
      </c>
      <c r="F87" s="22" t="s">
        <v>211</v>
      </c>
      <c r="G87" s="22">
        <v>45</v>
      </c>
      <c r="H87" s="24">
        <v>0.182</v>
      </c>
      <c r="I87" s="32" t="s">
        <v>534</v>
      </c>
      <c r="J87" s="22"/>
    </row>
    <row r="88" spans="1:10" ht="15" customHeight="1" x14ac:dyDescent="0.25">
      <c r="A88" s="22" t="s">
        <v>445</v>
      </c>
      <c r="B88" s="22" t="s">
        <v>124</v>
      </c>
      <c r="C88" s="22" t="s">
        <v>533</v>
      </c>
      <c r="D88" s="22" t="s">
        <v>183</v>
      </c>
      <c r="E88" s="22">
        <v>19</v>
      </c>
      <c r="F88" s="22" t="s">
        <v>190</v>
      </c>
      <c r="G88" s="22">
        <v>60</v>
      </c>
      <c r="H88" s="24">
        <v>0.182</v>
      </c>
      <c r="I88" s="32" t="s">
        <v>534</v>
      </c>
      <c r="J88" s="22"/>
    </row>
  </sheetData>
  <autoFilter ref="A1:J88"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26" customWidth="1"/>
    <col min="3" max="3" width="58" customWidth="1"/>
    <col min="4" max="4" width="96" customWidth="1"/>
    <col min="5" max="5" width="16" customWidth="1"/>
  </cols>
  <sheetData>
    <row r="1" spans="1:5" ht="30" customHeight="1" x14ac:dyDescent="0.25">
      <c r="A1" s="5" t="s">
        <v>152</v>
      </c>
      <c r="B1" s="5" t="s">
        <v>535</v>
      </c>
      <c r="C1" s="5" t="s">
        <v>536</v>
      </c>
      <c r="D1" s="5" t="s">
        <v>537</v>
      </c>
      <c r="E1" s="5" t="s">
        <v>538</v>
      </c>
    </row>
    <row r="2" spans="1:5" ht="33.75" customHeight="1" x14ac:dyDescent="0.25">
      <c r="A2" s="6" t="s">
        <v>247</v>
      </c>
      <c r="B2" s="6" t="s">
        <v>510</v>
      </c>
      <c r="C2" s="7" t="s">
        <v>539</v>
      </c>
      <c r="D2" s="7" t="s">
        <v>540</v>
      </c>
      <c r="E2" s="33" t="s">
        <v>541</v>
      </c>
    </row>
    <row r="3" spans="1:5" ht="33.75" customHeight="1" x14ac:dyDescent="0.25">
      <c r="A3" s="6" t="s">
        <v>247</v>
      </c>
      <c r="B3" s="6" t="s">
        <v>514</v>
      </c>
      <c r="C3" s="7" t="s">
        <v>542</v>
      </c>
      <c r="D3" s="7" t="s">
        <v>543</v>
      </c>
      <c r="E3" s="10" t="s">
        <v>544</v>
      </c>
    </row>
    <row r="4" spans="1:5" ht="33.75" customHeight="1" x14ac:dyDescent="0.25">
      <c r="A4" s="6" t="s">
        <v>378</v>
      </c>
      <c r="B4" s="6" t="s">
        <v>510</v>
      </c>
      <c r="C4" s="7" t="s">
        <v>545</v>
      </c>
      <c r="D4" s="7" t="s">
        <v>546</v>
      </c>
      <c r="E4" s="33" t="s">
        <v>541</v>
      </c>
    </row>
    <row r="5" spans="1:5" ht="33.75" customHeight="1" x14ac:dyDescent="0.25">
      <c r="A5" s="6" t="s">
        <v>378</v>
      </c>
      <c r="B5" s="6" t="s">
        <v>517</v>
      </c>
      <c r="C5" s="7" t="s">
        <v>547</v>
      </c>
      <c r="D5" s="7" t="s">
        <v>548</v>
      </c>
      <c r="E5" s="10" t="s">
        <v>544</v>
      </c>
    </row>
    <row r="6" spans="1:5" ht="33.75" customHeight="1" x14ac:dyDescent="0.25">
      <c r="A6" s="6" t="s">
        <v>180</v>
      </c>
      <c r="B6" s="6" t="s">
        <v>518</v>
      </c>
      <c r="C6" s="7" t="s">
        <v>549</v>
      </c>
      <c r="D6" s="7" t="s">
        <v>550</v>
      </c>
      <c r="E6" s="33" t="s">
        <v>541</v>
      </c>
    </row>
    <row r="7" spans="1:5" ht="33.75" customHeight="1" x14ac:dyDescent="0.25">
      <c r="A7" s="6" t="s">
        <v>180</v>
      </c>
      <c r="B7" s="6" t="s">
        <v>520</v>
      </c>
      <c r="C7" s="7" t="s">
        <v>551</v>
      </c>
      <c r="D7" s="7" t="s">
        <v>552</v>
      </c>
      <c r="E7" s="10" t="s">
        <v>544</v>
      </c>
    </row>
    <row r="8" spans="1:5" ht="33.75" customHeight="1" x14ac:dyDescent="0.25">
      <c r="A8" s="6" t="s">
        <v>298</v>
      </c>
      <c r="B8" s="6" t="s">
        <v>518</v>
      </c>
      <c r="C8" s="7" t="s">
        <v>553</v>
      </c>
      <c r="D8" s="7" t="s">
        <v>554</v>
      </c>
      <c r="E8" s="33" t="s">
        <v>541</v>
      </c>
    </row>
    <row r="9" spans="1:5" ht="33.75" customHeight="1" x14ac:dyDescent="0.25">
      <c r="A9" s="6" t="s">
        <v>298</v>
      </c>
      <c r="B9" s="6" t="s">
        <v>521</v>
      </c>
      <c r="C9" s="7" t="s">
        <v>551</v>
      </c>
      <c r="D9" s="7" t="s">
        <v>555</v>
      </c>
      <c r="E9" s="10" t="s">
        <v>544</v>
      </c>
    </row>
    <row r="10" spans="1:5" ht="33.75" customHeight="1" x14ac:dyDescent="0.25">
      <c r="A10" s="6" t="s">
        <v>180</v>
      </c>
      <c r="B10" s="6" t="s">
        <v>556</v>
      </c>
      <c r="C10" s="7" t="s">
        <v>557</v>
      </c>
      <c r="D10" s="7" t="s">
        <v>558</v>
      </c>
      <c r="E10" s="33" t="s">
        <v>541</v>
      </c>
    </row>
    <row r="11" spans="1:5" ht="33.75" customHeight="1" x14ac:dyDescent="0.25">
      <c r="A11" s="6" t="s">
        <v>180</v>
      </c>
      <c r="B11" s="6" t="s">
        <v>559</v>
      </c>
      <c r="C11" s="7" t="s">
        <v>560</v>
      </c>
      <c r="D11" s="7" t="s">
        <v>561</v>
      </c>
      <c r="E11" s="33" t="s">
        <v>541</v>
      </c>
    </row>
    <row r="12" spans="1:5" ht="33.75" customHeight="1" x14ac:dyDescent="0.25">
      <c r="A12" s="6" t="s">
        <v>298</v>
      </c>
      <c r="B12" s="6" t="s">
        <v>556</v>
      </c>
      <c r="C12" s="7" t="s">
        <v>562</v>
      </c>
      <c r="D12" s="7" t="s">
        <v>563</v>
      </c>
      <c r="E12" s="33" t="s">
        <v>541</v>
      </c>
    </row>
    <row r="13" spans="1:5" ht="33.75" customHeight="1" x14ac:dyDescent="0.25">
      <c r="A13" s="6" t="s">
        <v>298</v>
      </c>
      <c r="B13" s="6" t="s">
        <v>564</v>
      </c>
      <c r="C13" s="7" t="s">
        <v>565</v>
      </c>
      <c r="D13" s="7" t="s">
        <v>566</v>
      </c>
      <c r="E13" s="33" t="s">
        <v>541</v>
      </c>
    </row>
    <row r="14" spans="1:5" ht="33.75" customHeight="1" x14ac:dyDescent="0.25">
      <c r="A14" s="6" t="s">
        <v>445</v>
      </c>
      <c r="B14" s="6" t="s">
        <v>556</v>
      </c>
      <c r="C14" s="7" t="s">
        <v>567</v>
      </c>
      <c r="D14" s="7" t="s">
        <v>568</v>
      </c>
      <c r="E14" s="33" t="s">
        <v>541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94"/>
  <sheetViews>
    <sheetView zoomScaleNormal="100" workbookViewId="0">
      <pane ySplit="1" topLeftCell="A2" activePane="bottomLeft" state="frozen"/>
      <selection pane="bottomLeft"/>
    </sheetView>
  </sheetViews>
  <sheetFormatPr defaultColWidth="8.7109375" defaultRowHeight="15" x14ac:dyDescent="0.25"/>
  <cols>
    <col min="1" max="1" width="13" customWidth="1"/>
    <col min="2" max="2" width="54" customWidth="1"/>
    <col min="3" max="3" width="52" customWidth="1"/>
    <col min="4" max="4" width="9" customWidth="1"/>
    <col min="5" max="5" width="14" customWidth="1"/>
    <col min="6" max="6" width="12" customWidth="1"/>
    <col min="7" max="8" width="9" customWidth="1"/>
    <col min="9" max="10" width="10" customWidth="1"/>
    <col min="11" max="12" width="11" customWidth="1"/>
    <col min="13" max="13" width="12" customWidth="1"/>
  </cols>
  <sheetData>
    <row r="1" spans="1:13" ht="30" customHeight="1" x14ac:dyDescent="0.25">
      <c r="A1" s="5" t="s">
        <v>152</v>
      </c>
      <c r="B1" s="5" t="s">
        <v>569</v>
      </c>
      <c r="C1" s="5" t="s">
        <v>570</v>
      </c>
      <c r="D1" s="5" t="s">
        <v>452</v>
      </c>
      <c r="E1" s="5" t="s">
        <v>453</v>
      </c>
      <c r="F1" s="5" t="s">
        <v>454</v>
      </c>
      <c r="G1" s="5" t="s">
        <v>455</v>
      </c>
      <c r="H1" s="5" t="s">
        <v>456</v>
      </c>
      <c r="I1" s="5" t="s">
        <v>457</v>
      </c>
      <c r="J1" s="5" t="s">
        <v>458</v>
      </c>
      <c r="K1" s="5" t="s">
        <v>459</v>
      </c>
      <c r="L1" s="5" t="s">
        <v>166</v>
      </c>
      <c r="M1" s="5" t="s">
        <v>460</v>
      </c>
    </row>
    <row r="2" spans="1:13" ht="23.25" customHeight="1" x14ac:dyDescent="0.25">
      <c r="A2" s="6" t="s">
        <v>247</v>
      </c>
      <c r="B2" s="7" t="s">
        <v>571</v>
      </c>
      <c r="C2" s="13" t="s">
        <v>572</v>
      </c>
      <c r="D2" s="6">
        <v>0</v>
      </c>
      <c r="E2" s="6" t="s">
        <v>189</v>
      </c>
      <c r="F2" s="6"/>
      <c r="G2" s="6">
        <v>0</v>
      </c>
      <c r="H2" s="6">
        <v>0</v>
      </c>
      <c r="I2" s="22">
        <f t="shared" ref="I2:I33" si="0">SUMIFS($G$2:$G$120,$B$2:$B$120,$B2,$D$2:$D$120,"&lt;="&amp;$D2)</f>
        <v>0</v>
      </c>
      <c r="J2" s="22">
        <f t="shared" ref="J2:J33" si="1">SUMIFS($H$2:$H$120,$B$2:$B$120,$B2,$D$2:$D$120,"&lt;="&amp;$D2)</f>
        <v>0</v>
      </c>
      <c r="K2" s="22">
        <f t="shared" ref="K2:K33" si="2">I2-J2</f>
        <v>0</v>
      </c>
      <c r="L2" s="22">
        <f t="shared" ref="L2:L33" si="3">SUMIF($B$2:$B$120,$B2,$G$2:$G$120)</f>
        <v>585</v>
      </c>
      <c r="M2" s="24">
        <f t="shared" ref="M2:M33" si="4">IF(L2=0,"",K2/L2)</f>
        <v>0</v>
      </c>
    </row>
    <row r="3" spans="1:13" ht="23.25" customHeight="1" x14ac:dyDescent="0.25">
      <c r="A3" s="6" t="s">
        <v>247</v>
      </c>
      <c r="B3" s="7" t="s">
        <v>571</v>
      </c>
      <c r="C3" s="13" t="s">
        <v>572</v>
      </c>
      <c r="D3" s="6">
        <v>1</v>
      </c>
      <c r="E3" s="6" t="s">
        <v>471</v>
      </c>
      <c r="F3" s="6">
        <v>-210</v>
      </c>
      <c r="G3" s="6">
        <v>194</v>
      </c>
      <c r="H3" s="6">
        <v>0</v>
      </c>
      <c r="I3" s="22">
        <f t="shared" si="0"/>
        <v>194</v>
      </c>
      <c r="J3" s="22">
        <f t="shared" si="1"/>
        <v>0</v>
      </c>
      <c r="K3" s="22">
        <f t="shared" si="2"/>
        <v>194</v>
      </c>
      <c r="L3" s="22">
        <f t="shared" si="3"/>
        <v>585</v>
      </c>
      <c r="M3" s="24">
        <f t="shared" si="4"/>
        <v>0.33162393162393161</v>
      </c>
    </row>
    <row r="4" spans="1:13" ht="23.25" customHeight="1" x14ac:dyDescent="0.25">
      <c r="A4" s="6" t="s">
        <v>247</v>
      </c>
      <c r="B4" s="7" t="s">
        <v>571</v>
      </c>
      <c r="C4" s="13" t="s">
        <v>572</v>
      </c>
      <c r="D4" s="6">
        <v>2</v>
      </c>
      <c r="E4" s="6" t="s">
        <v>325</v>
      </c>
      <c r="F4" s="6">
        <v>-195</v>
      </c>
      <c r="G4" s="6">
        <v>76</v>
      </c>
      <c r="H4" s="6">
        <v>6</v>
      </c>
      <c r="I4" s="22">
        <f t="shared" si="0"/>
        <v>270</v>
      </c>
      <c r="J4" s="22">
        <f t="shared" si="1"/>
        <v>6</v>
      </c>
      <c r="K4" s="22">
        <f t="shared" si="2"/>
        <v>264</v>
      </c>
      <c r="L4" s="22">
        <f t="shared" si="3"/>
        <v>585</v>
      </c>
      <c r="M4" s="24">
        <f t="shared" si="4"/>
        <v>0.45128205128205129</v>
      </c>
    </row>
    <row r="5" spans="1:13" ht="23.25" customHeight="1" x14ac:dyDescent="0.25">
      <c r="A5" s="6" t="s">
        <v>247</v>
      </c>
      <c r="B5" s="7" t="s">
        <v>571</v>
      </c>
      <c r="C5" s="13" t="s">
        <v>572</v>
      </c>
      <c r="D5" s="6">
        <v>3</v>
      </c>
      <c r="E5" s="6" t="s">
        <v>464</v>
      </c>
      <c r="F5" s="6">
        <v>-180</v>
      </c>
      <c r="G5" s="6">
        <v>82</v>
      </c>
      <c r="H5" s="6">
        <v>5</v>
      </c>
      <c r="I5" s="22">
        <f t="shared" si="0"/>
        <v>352</v>
      </c>
      <c r="J5" s="22">
        <f t="shared" si="1"/>
        <v>11</v>
      </c>
      <c r="K5" s="22">
        <f t="shared" si="2"/>
        <v>341</v>
      </c>
      <c r="L5" s="22">
        <f t="shared" si="3"/>
        <v>585</v>
      </c>
      <c r="M5" s="24">
        <f t="shared" si="4"/>
        <v>0.58290598290598294</v>
      </c>
    </row>
    <row r="6" spans="1:13" ht="23.25" customHeight="1" x14ac:dyDescent="0.25">
      <c r="A6" s="6" t="s">
        <v>247</v>
      </c>
      <c r="B6" s="7" t="s">
        <v>571</v>
      </c>
      <c r="C6" s="13" t="s">
        <v>572</v>
      </c>
      <c r="D6" s="6">
        <v>4</v>
      </c>
      <c r="E6" s="6" t="s">
        <v>465</v>
      </c>
      <c r="F6" s="6">
        <v>-165</v>
      </c>
      <c r="G6" s="6">
        <v>99</v>
      </c>
      <c r="H6" s="6">
        <v>2</v>
      </c>
      <c r="I6" s="22">
        <f t="shared" si="0"/>
        <v>451</v>
      </c>
      <c r="J6" s="22">
        <f t="shared" si="1"/>
        <v>13</v>
      </c>
      <c r="K6" s="22">
        <f t="shared" si="2"/>
        <v>438</v>
      </c>
      <c r="L6" s="22">
        <f t="shared" si="3"/>
        <v>585</v>
      </c>
      <c r="M6" s="24">
        <f t="shared" si="4"/>
        <v>0.74871794871794872</v>
      </c>
    </row>
    <row r="7" spans="1:13" ht="23.25" customHeight="1" x14ac:dyDescent="0.25">
      <c r="A7" s="6" t="s">
        <v>247</v>
      </c>
      <c r="B7" s="7" t="s">
        <v>571</v>
      </c>
      <c r="C7" s="13" t="s">
        <v>572</v>
      </c>
      <c r="D7" s="6">
        <v>5</v>
      </c>
      <c r="E7" s="6" t="s">
        <v>466</v>
      </c>
      <c r="F7" s="6">
        <v>-150</v>
      </c>
      <c r="G7" s="6">
        <v>55</v>
      </c>
      <c r="H7" s="6">
        <v>3</v>
      </c>
      <c r="I7" s="22">
        <f t="shared" si="0"/>
        <v>506</v>
      </c>
      <c r="J7" s="22">
        <f t="shared" si="1"/>
        <v>16</v>
      </c>
      <c r="K7" s="22">
        <f t="shared" si="2"/>
        <v>490</v>
      </c>
      <c r="L7" s="22">
        <f t="shared" si="3"/>
        <v>585</v>
      </c>
      <c r="M7" s="24">
        <f t="shared" si="4"/>
        <v>0.83760683760683763</v>
      </c>
    </row>
    <row r="8" spans="1:13" ht="23.25" customHeight="1" x14ac:dyDescent="0.25">
      <c r="A8" s="6" t="s">
        <v>247</v>
      </c>
      <c r="B8" s="7" t="s">
        <v>571</v>
      </c>
      <c r="C8" s="13" t="s">
        <v>572</v>
      </c>
      <c r="D8" s="6">
        <v>6</v>
      </c>
      <c r="E8" s="6" t="s">
        <v>467</v>
      </c>
      <c r="F8" s="6">
        <v>-135</v>
      </c>
      <c r="G8" s="6">
        <v>33</v>
      </c>
      <c r="H8" s="6">
        <v>28</v>
      </c>
      <c r="I8" s="22">
        <f t="shared" si="0"/>
        <v>539</v>
      </c>
      <c r="J8" s="22">
        <f t="shared" si="1"/>
        <v>44</v>
      </c>
      <c r="K8" s="22">
        <f t="shared" si="2"/>
        <v>495</v>
      </c>
      <c r="L8" s="22">
        <f t="shared" si="3"/>
        <v>585</v>
      </c>
      <c r="M8" s="24">
        <f t="shared" si="4"/>
        <v>0.84615384615384615</v>
      </c>
    </row>
    <row r="9" spans="1:13" ht="23.25" customHeight="1" x14ac:dyDescent="0.25">
      <c r="A9" s="6" t="s">
        <v>247</v>
      </c>
      <c r="B9" s="7" t="s">
        <v>571</v>
      </c>
      <c r="C9" s="13" t="s">
        <v>572</v>
      </c>
      <c r="D9" s="6">
        <v>7</v>
      </c>
      <c r="E9" s="6" t="s">
        <v>212</v>
      </c>
      <c r="F9" s="6">
        <v>-120</v>
      </c>
      <c r="G9" s="6">
        <v>25</v>
      </c>
      <c r="H9" s="6">
        <v>35</v>
      </c>
      <c r="I9" s="22">
        <f t="shared" si="0"/>
        <v>564</v>
      </c>
      <c r="J9" s="22">
        <f t="shared" si="1"/>
        <v>79</v>
      </c>
      <c r="K9" s="22">
        <f t="shared" si="2"/>
        <v>485</v>
      </c>
      <c r="L9" s="22">
        <f t="shared" si="3"/>
        <v>585</v>
      </c>
      <c r="M9" s="24">
        <f t="shared" si="4"/>
        <v>0.82905982905982911</v>
      </c>
    </row>
    <row r="10" spans="1:13" ht="23.25" customHeight="1" x14ac:dyDescent="0.25">
      <c r="A10" s="6" t="s">
        <v>247</v>
      </c>
      <c r="B10" s="7" t="s">
        <v>571</v>
      </c>
      <c r="C10" s="13" t="s">
        <v>572</v>
      </c>
      <c r="D10" s="6">
        <v>8</v>
      </c>
      <c r="E10" s="6" t="s">
        <v>226</v>
      </c>
      <c r="F10" s="6">
        <v>-105</v>
      </c>
      <c r="G10" s="6">
        <v>12</v>
      </c>
      <c r="H10" s="6">
        <v>68</v>
      </c>
      <c r="I10" s="22">
        <f t="shared" si="0"/>
        <v>576</v>
      </c>
      <c r="J10" s="22">
        <f t="shared" si="1"/>
        <v>147</v>
      </c>
      <c r="K10" s="22">
        <f t="shared" si="2"/>
        <v>429</v>
      </c>
      <c r="L10" s="22">
        <f t="shared" si="3"/>
        <v>585</v>
      </c>
      <c r="M10" s="24">
        <f t="shared" si="4"/>
        <v>0.73333333333333328</v>
      </c>
    </row>
    <row r="11" spans="1:13" ht="23.25" customHeight="1" x14ac:dyDescent="0.25">
      <c r="A11" s="6" t="s">
        <v>247</v>
      </c>
      <c r="B11" s="7" t="s">
        <v>571</v>
      </c>
      <c r="C11" s="13" t="s">
        <v>572</v>
      </c>
      <c r="D11" s="6">
        <v>9</v>
      </c>
      <c r="E11" s="6" t="s">
        <v>264</v>
      </c>
      <c r="F11" s="6">
        <v>-90</v>
      </c>
      <c r="G11" s="6">
        <v>7</v>
      </c>
      <c r="H11" s="6">
        <v>94</v>
      </c>
      <c r="I11" s="22">
        <f t="shared" si="0"/>
        <v>583</v>
      </c>
      <c r="J11" s="22">
        <f t="shared" si="1"/>
        <v>241</v>
      </c>
      <c r="K11" s="22">
        <f t="shared" si="2"/>
        <v>342</v>
      </c>
      <c r="L11" s="22">
        <f t="shared" si="3"/>
        <v>585</v>
      </c>
      <c r="M11" s="24">
        <f t="shared" si="4"/>
        <v>0.58461538461538465</v>
      </c>
    </row>
    <row r="12" spans="1:13" ht="23.25" customHeight="1" x14ac:dyDescent="0.25">
      <c r="A12" s="6" t="s">
        <v>247</v>
      </c>
      <c r="B12" s="7" t="s">
        <v>571</v>
      </c>
      <c r="C12" s="13" t="s">
        <v>572</v>
      </c>
      <c r="D12" s="6">
        <v>10</v>
      </c>
      <c r="E12" s="6" t="s">
        <v>191</v>
      </c>
      <c r="F12" s="6">
        <v>-75</v>
      </c>
      <c r="G12" s="6">
        <v>1</v>
      </c>
      <c r="H12" s="6">
        <v>136</v>
      </c>
      <c r="I12" s="22">
        <f t="shared" si="0"/>
        <v>584</v>
      </c>
      <c r="J12" s="22">
        <f t="shared" si="1"/>
        <v>377</v>
      </c>
      <c r="K12" s="22">
        <f t="shared" si="2"/>
        <v>207</v>
      </c>
      <c r="L12" s="22">
        <f t="shared" si="3"/>
        <v>585</v>
      </c>
      <c r="M12" s="24">
        <f t="shared" si="4"/>
        <v>0.35384615384615387</v>
      </c>
    </row>
    <row r="13" spans="1:13" ht="23.25" customHeight="1" x14ac:dyDescent="0.25">
      <c r="A13" s="6" t="s">
        <v>247</v>
      </c>
      <c r="B13" s="7" t="s">
        <v>571</v>
      </c>
      <c r="C13" s="13" t="s">
        <v>572</v>
      </c>
      <c r="D13" s="6">
        <v>11</v>
      </c>
      <c r="E13" s="6" t="s">
        <v>231</v>
      </c>
      <c r="F13" s="6">
        <v>-60</v>
      </c>
      <c r="G13" s="6">
        <v>0</v>
      </c>
      <c r="H13" s="6">
        <v>65</v>
      </c>
      <c r="I13" s="22">
        <f t="shared" si="0"/>
        <v>584</v>
      </c>
      <c r="J13" s="22">
        <f t="shared" si="1"/>
        <v>442</v>
      </c>
      <c r="K13" s="22">
        <f t="shared" si="2"/>
        <v>142</v>
      </c>
      <c r="L13" s="22">
        <f t="shared" si="3"/>
        <v>585</v>
      </c>
      <c r="M13" s="24">
        <f t="shared" si="4"/>
        <v>0.24273504273504273</v>
      </c>
    </row>
    <row r="14" spans="1:13" ht="23.25" customHeight="1" x14ac:dyDescent="0.25">
      <c r="A14" s="6" t="s">
        <v>247</v>
      </c>
      <c r="B14" s="7" t="s">
        <v>571</v>
      </c>
      <c r="C14" s="13" t="s">
        <v>572</v>
      </c>
      <c r="D14" s="6">
        <v>12</v>
      </c>
      <c r="E14" s="6" t="s">
        <v>239</v>
      </c>
      <c r="F14" s="6">
        <v>-45</v>
      </c>
      <c r="G14" s="6">
        <v>0</v>
      </c>
      <c r="H14" s="6">
        <v>71</v>
      </c>
      <c r="I14" s="22">
        <f t="shared" si="0"/>
        <v>584</v>
      </c>
      <c r="J14" s="22">
        <f t="shared" si="1"/>
        <v>513</v>
      </c>
      <c r="K14" s="22">
        <f t="shared" si="2"/>
        <v>71</v>
      </c>
      <c r="L14" s="22">
        <f t="shared" si="3"/>
        <v>585</v>
      </c>
      <c r="M14" s="24">
        <f t="shared" si="4"/>
        <v>0.12136752136752137</v>
      </c>
    </row>
    <row r="15" spans="1:13" ht="23.25" customHeight="1" x14ac:dyDescent="0.25">
      <c r="A15" s="6" t="s">
        <v>247</v>
      </c>
      <c r="B15" s="7" t="s">
        <v>571</v>
      </c>
      <c r="C15" s="13" t="s">
        <v>572</v>
      </c>
      <c r="D15" s="6">
        <v>13</v>
      </c>
      <c r="E15" s="6" t="s">
        <v>387</v>
      </c>
      <c r="F15" s="6">
        <v>-30</v>
      </c>
      <c r="G15" s="6">
        <v>0</v>
      </c>
      <c r="H15" s="6">
        <v>31</v>
      </c>
      <c r="I15" s="22">
        <f t="shared" si="0"/>
        <v>584</v>
      </c>
      <c r="J15" s="22">
        <f t="shared" si="1"/>
        <v>544</v>
      </c>
      <c r="K15" s="22">
        <f t="shared" si="2"/>
        <v>40</v>
      </c>
      <c r="L15" s="22">
        <f t="shared" si="3"/>
        <v>585</v>
      </c>
      <c r="M15" s="24">
        <f t="shared" si="4"/>
        <v>6.8376068376068383E-2</v>
      </c>
    </row>
    <row r="16" spans="1:13" ht="23.25" customHeight="1" x14ac:dyDescent="0.25">
      <c r="A16" s="6" t="s">
        <v>247</v>
      </c>
      <c r="B16" s="7" t="s">
        <v>571</v>
      </c>
      <c r="C16" s="13" t="s">
        <v>572</v>
      </c>
      <c r="D16" s="6">
        <v>14</v>
      </c>
      <c r="E16" s="6" t="s">
        <v>468</v>
      </c>
      <c r="F16" s="6">
        <v>-15</v>
      </c>
      <c r="G16" s="6">
        <v>1</v>
      </c>
      <c r="H16" s="6">
        <v>11</v>
      </c>
      <c r="I16" s="22">
        <f t="shared" si="0"/>
        <v>585</v>
      </c>
      <c r="J16" s="22">
        <f t="shared" si="1"/>
        <v>555</v>
      </c>
      <c r="K16" s="22">
        <f t="shared" si="2"/>
        <v>30</v>
      </c>
      <c r="L16" s="22">
        <f t="shared" si="3"/>
        <v>585</v>
      </c>
      <c r="M16" s="24">
        <f t="shared" si="4"/>
        <v>5.128205128205128E-2</v>
      </c>
    </row>
    <row r="17" spans="1:13" ht="23.25" customHeight="1" x14ac:dyDescent="0.25">
      <c r="A17" s="6" t="s">
        <v>247</v>
      </c>
      <c r="B17" s="7" t="s">
        <v>571</v>
      </c>
      <c r="C17" s="13" t="s">
        <v>572</v>
      </c>
      <c r="D17" s="6">
        <v>15</v>
      </c>
      <c r="E17" s="6" t="s">
        <v>469</v>
      </c>
      <c r="F17" s="6">
        <v>0</v>
      </c>
      <c r="G17" s="6">
        <v>0</v>
      </c>
      <c r="H17" s="6">
        <v>0</v>
      </c>
      <c r="I17" s="22">
        <f t="shared" si="0"/>
        <v>585</v>
      </c>
      <c r="J17" s="22">
        <f t="shared" si="1"/>
        <v>555</v>
      </c>
      <c r="K17" s="22">
        <f t="shared" si="2"/>
        <v>30</v>
      </c>
      <c r="L17" s="22">
        <f t="shared" si="3"/>
        <v>585</v>
      </c>
      <c r="M17" s="24">
        <f t="shared" si="4"/>
        <v>5.128205128205128E-2</v>
      </c>
    </row>
    <row r="18" spans="1:13" ht="23.25" customHeight="1" x14ac:dyDescent="0.25">
      <c r="A18" s="6" t="s">
        <v>247</v>
      </c>
      <c r="B18" s="7" t="s">
        <v>571</v>
      </c>
      <c r="C18" s="13" t="s">
        <v>572</v>
      </c>
      <c r="D18" s="6">
        <v>16</v>
      </c>
      <c r="E18" s="6" t="s">
        <v>351</v>
      </c>
      <c r="F18" s="6">
        <v>15</v>
      </c>
      <c r="G18" s="6">
        <v>0</v>
      </c>
      <c r="H18" s="6">
        <v>0</v>
      </c>
      <c r="I18" s="22">
        <f t="shared" si="0"/>
        <v>585</v>
      </c>
      <c r="J18" s="22">
        <f t="shared" si="1"/>
        <v>555</v>
      </c>
      <c r="K18" s="22">
        <f t="shared" si="2"/>
        <v>30</v>
      </c>
      <c r="L18" s="22">
        <f t="shared" si="3"/>
        <v>585</v>
      </c>
      <c r="M18" s="24">
        <f t="shared" si="4"/>
        <v>5.128205128205128E-2</v>
      </c>
    </row>
    <row r="19" spans="1:13" ht="23.25" customHeight="1" x14ac:dyDescent="0.25">
      <c r="A19" s="6" t="s">
        <v>247</v>
      </c>
      <c r="B19" s="7" t="s">
        <v>571</v>
      </c>
      <c r="C19" s="13" t="s">
        <v>572</v>
      </c>
      <c r="D19" s="6">
        <v>17</v>
      </c>
      <c r="E19" s="6" t="s">
        <v>311</v>
      </c>
      <c r="F19" s="6">
        <v>30</v>
      </c>
      <c r="G19" s="6">
        <v>0</v>
      </c>
      <c r="H19" s="6">
        <v>0</v>
      </c>
      <c r="I19" s="22">
        <f t="shared" si="0"/>
        <v>585</v>
      </c>
      <c r="J19" s="22">
        <f t="shared" si="1"/>
        <v>555</v>
      </c>
      <c r="K19" s="22">
        <f t="shared" si="2"/>
        <v>30</v>
      </c>
      <c r="L19" s="22">
        <f t="shared" si="3"/>
        <v>585</v>
      </c>
      <c r="M19" s="24">
        <f t="shared" si="4"/>
        <v>5.128205128205128E-2</v>
      </c>
    </row>
    <row r="20" spans="1:13" ht="23.25" customHeight="1" x14ac:dyDescent="0.25">
      <c r="A20" s="6" t="s">
        <v>247</v>
      </c>
      <c r="B20" s="7" t="s">
        <v>571</v>
      </c>
      <c r="C20" s="13" t="s">
        <v>572</v>
      </c>
      <c r="D20" s="6">
        <v>18</v>
      </c>
      <c r="E20" s="6" t="s">
        <v>211</v>
      </c>
      <c r="F20" s="6">
        <v>45</v>
      </c>
      <c r="G20" s="6">
        <v>0</v>
      </c>
      <c r="H20" s="6">
        <v>0</v>
      </c>
      <c r="I20" s="22">
        <f t="shared" si="0"/>
        <v>585</v>
      </c>
      <c r="J20" s="22">
        <f t="shared" si="1"/>
        <v>555</v>
      </c>
      <c r="K20" s="22">
        <f t="shared" si="2"/>
        <v>30</v>
      </c>
      <c r="L20" s="22">
        <f t="shared" si="3"/>
        <v>585</v>
      </c>
      <c r="M20" s="24">
        <f t="shared" si="4"/>
        <v>5.128205128205128E-2</v>
      </c>
    </row>
    <row r="21" spans="1:13" ht="23.25" customHeight="1" x14ac:dyDescent="0.25">
      <c r="A21" s="6" t="s">
        <v>247</v>
      </c>
      <c r="B21" s="7" t="s">
        <v>571</v>
      </c>
      <c r="C21" s="13" t="s">
        <v>572</v>
      </c>
      <c r="D21" s="6">
        <v>19</v>
      </c>
      <c r="E21" s="6" t="s">
        <v>190</v>
      </c>
      <c r="F21" s="6">
        <v>60</v>
      </c>
      <c r="G21" s="6">
        <v>0</v>
      </c>
      <c r="H21" s="6">
        <v>0</v>
      </c>
      <c r="I21" s="22">
        <f t="shared" si="0"/>
        <v>585</v>
      </c>
      <c r="J21" s="22">
        <f t="shared" si="1"/>
        <v>555</v>
      </c>
      <c r="K21" s="22">
        <f t="shared" si="2"/>
        <v>30</v>
      </c>
      <c r="L21" s="22">
        <f t="shared" si="3"/>
        <v>585</v>
      </c>
      <c r="M21" s="24">
        <f t="shared" si="4"/>
        <v>5.128205128205128E-2</v>
      </c>
    </row>
    <row r="22" spans="1:13" ht="23.25" customHeight="1" x14ac:dyDescent="0.25">
      <c r="A22" s="6" t="s">
        <v>378</v>
      </c>
      <c r="B22" s="7" t="s">
        <v>573</v>
      </c>
      <c r="C22" s="7" t="s">
        <v>574</v>
      </c>
      <c r="D22" s="6">
        <v>0</v>
      </c>
      <c r="E22" s="6" t="s">
        <v>189</v>
      </c>
      <c r="F22" s="6"/>
      <c r="G22" s="6">
        <v>21</v>
      </c>
      <c r="H22" s="6">
        <v>1</v>
      </c>
      <c r="I22" s="22">
        <f t="shared" si="0"/>
        <v>21</v>
      </c>
      <c r="J22" s="22">
        <f t="shared" si="1"/>
        <v>1</v>
      </c>
      <c r="K22" s="22">
        <f t="shared" si="2"/>
        <v>20</v>
      </c>
      <c r="L22" s="22">
        <f t="shared" si="3"/>
        <v>346</v>
      </c>
      <c r="M22" s="24">
        <f t="shared" si="4"/>
        <v>5.7803468208092484E-2</v>
      </c>
    </row>
    <row r="23" spans="1:13" ht="23.25" customHeight="1" x14ac:dyDescent="0.25">
      <c r="A23" s="6" t="s">
        <v>378</v>
      </c>
      <c r="B23" s="7" t="s">
        <v>573</v>
      </c>
      <c r="C23" s="7" t="s">
        <v>574</v>
      </c>
      <c r="D23" s="6">
        <v>1</v>
      </c>
      <c r="E23" s="6" t="s">
        <v>471</v>
      </c>
      <c r="F23" s="6">
        <v>-210</v>
      </c>
      <c r="G23" s="6">
        <v>0</v>
      </c>
      <c r="H23" s="6">
        <v>0</v>
      </c>
      <c r="I23" s="22">
        <f t="shared" si="0"/>
        <v>21</v>
      </c>
      <c r="J23" s="22">
        <f t="shared" si="1"/>
        <v>1</v>
      </c>
      <c r="K23" s="22">
        <f t="shared" si="2"/>
        <v>20</v>
      </c>
      <c r="L23" s="22">
        <f t="shared" si="3"/>
        <v>346</v>
      </c>
      <c r="M23" s="24">
        <f t="shared" si="4"/>
        <v>5.7803468208092484E-2</v>
      </c>
    </row>
    <row r="24" spans="1:13" ht="23.25" customHeight="1" x14ac:dyDescent="0.25">
      <c r="A24" s="6" t="s">
        <v>378</v>
      </c>
      <c r="B24" s="7" t="s">
        <v>573</v>
      </c>
      <c r="C24" s="7" t="s">
        <v>574</v>
      </c>
      <c r="D24" s="6">
        <v>2</v>
      </c>
      <c r="E24" s="6" t="s">
        <v>325</v>
      </c>
      <c r="F24" s="6">
        <v>-195</v>
      </c>
      <c r="G24" s="6">
        <v>0</v>
      </c>
      <c r="H24" s="6">
        <v>0</v>
      </c>
      <c r="I24" s="22">
        <f t="shared" si="0"/>
        <v>21</v>
      </c>
      <c r="J24" s="22">
        <f t="shared" si="1"/>
        <v>1</v>
      </c>
      <c r="K24" s="22">
        <f t="shared" si="2"/>
        <v>20</v>
      </c>
      <c r="L24" s="22">
        <f t="shared" si="3"/>
        <v>346</v>
      </c>
      <c r="M24" s="24">
        <f t="shared" si="4"/>
        <v>5.7803468208092484E-2</v>
      </c>
    </row>
    <row r="25" spans="1:13" ht="23.25" customHeight="1" x14ac:dyDescent="0.25">
      <c r="A25" s="6" t="s">
        <v>378</v>
      </c>
      <c r="B25" s="7" t="s">
        <v>573</v>
      </c>
      <c r="C25" s="7" t="s">
        <v>574</v>
      </c>
      <c r="D25" s="6">
        <v>3</v>
      </c>
      <c r="E25" s="6" t="s">
        <v>464</v>
      </c>
      <c r="F25" s="6">
        <v>-180</v>
      </c>
      <c r="G25" s="6">
        <v>20</v>
      </c>
      <c r="H25" s="6">
        <v>2</v>
      </c>
      <c r="I25" s="22">
        <f t="shared" si="0"/>
        <v>41</v>
      </c>
      <c r="J25" s="22">
        <f t="shared" si="1"/>
        <v>3</v>
      </c>
      <c r="K25" s="22">
        <f t="shared" si="2"/>
        <v>38</v>
      </c>
      <c r="L25" s="22">
        <f t="shared" si="3"/>
        <v>346</v>
      </c>
      <c r="M25" s="24">
        <f t="shared" si="4"/>
        <v>0.10982658959537572</v>
      </c>
    </row>
    <row r="26" spans="1:13" ht="23.25" customHeight="1" x14ac:dyDescent="0.25">
      <c r="A26" s="6" t="s">
        <v>378</v>
      </c>
      <c r="B26" s="7" t="s">
        <v>573</v>
      </c>
      <c r="C26" s="7" t="s">
        <v>574</v>
      </c>
      <c r="D26" s="6">
        <v>4</v>
      </c>
      <c r="E26" s="6" t="s">
        <v>465</v>
      </c>
      <c r="F26" s="6">
        <v>-165</v>
      </c>
      <c r="G26" s="6">
        <v>30</v>
      </c>
      <c r="H26" s="6">
        <v>2</v>
      </c>
      <c r="I26" s="22">
        <f t="shared" si="0"/>
        <v>71</v>
      </c>
      <c r="J26" s="22">
        <f t="shared" si="1"/>
        <v>5</v>
      </c>
      <c r="K26" s="22">
        <f t="shared" si="2"/>
        <v>66</v>
      </c>
      <c r="L26" s="22">
        <f t="shared" si="3"/>
        <v>346</v>
      </c>
      <c r="M26" s="24">
        <f t="shared" si="4"/>
        <v>0.19075144508670519</v>
      </c>
    </row>
    <row r="27" spans="1:13" ht="23.25" customHeight="1" x14ac:dyDescent="0.25">
      <c r="A27" s="6" t="s">
        <v>378</v>
      </c>
      <c r="B27" s="7" t="s">
        <v>573</v>
      </c>
      <c r="C27" s="7" t="s">
        <v>574</v>
      </c>
      <c r="D27" s="6">
        <v>5</v>
      </c>
      <c r="E27" s="6" t="s">
        <v>466</v>
      </c>
      <c r="F27" s="6">
        <v>-150</v>
      </c>
      <c r="G27" s="6">
        <v>45</v>
      </c>
      <c r="H27" s="6">
        <v>3</v>
      </c>
      <c r="I27" s="22">
        <f t="shared" si="0"/>
        <v>116</v>
      </c>
      <c r="J27" s="22">
        <f t="shared" si="1"/>
        <v>8</v>
      </c>
      <c r="K27" s="22">
        <f t="shared" si="2"/>
        <v>108</v>
      </c>
      <c r="L27" s="22">
        <f t="shared" si="3"/>
        <v>346</v>
      </c>
      <c r="M27" s="24">
        <f t="shared" si="4"/>
        <v>0.31213872832369943</v>
      </c>
    </row>
    <row r="28" spans="1:13" ht="23.25" customHeight="1" x14ac:dyDescent="0.25">
      <c r="A28" s="6" t="s">
        <v>378</v>
      </c>
      <c r="B28" s="7" t="s">
        <v>573</v>
      </c>
      <c r="C28" s="7" t="s">
        <v>574</v>
      </c>
      <c r="D28" s="6">
        <v>6</v>
      </c>
      <c r="E28" s="6" t="s">
        <v>467</v>
      </c>
      <c r="F28" s="6">
        <v>-135</v>
      </c>
      <c r="G28" s="6">
        <v>56</v>
      </c>
      <c r="H28" s="6">
        <v>10</v>
      </c>
      <c r="I28" s="22">
        <f t="shared" si="0"/>
        <v>172</v>
      </c>
      <c r="J28" s="22">
        <f t="shared" si="1"/>
        <v>18</v>
      </c>
      <c r="K28" s="22">
        <f t="shared" si="2"/>
        <v>154</v>
      </c>
      <c r="L28" s="22">
        <f t="shared" si="3"/>
        <v>346</v>
      </c>
      <c r="M28" s="24">
        <f t="shared" si="4"/>
        <v>0.44508670520231214</v>
      </c>
    </row>
    <row r="29" spans="1:13" ht="23.25" customHeight="1" x14ac:dyDescent="0.25">
      <c r="A29" s="6" t="s">
        <v>378</v>
      </c>
      <c r="B29" s="7" t="s">
        <v>573</v>
      </c>
      <c r="C29" s="7" t="s">
        <v>574</v>
      </c>
      <c r="D29" s="6">
        <v>7</v>
      </c>
      <c r="E29" s="6" t="s">
        <v>212</v>
      </c>
      <c r="F29" s="6">
        <v>-120</v>
      </c>
      <c r="G29" s="6">
        <v>59</v>
      </c>
      <c r="H29" s="6">
        <v>14</v>
      </c>
      <c r="I29" s="22">
        <f t="shared" si="0"/>
        <v>231</v>
      </c>
      <c r="J29" s="22">
        <f t="shared" si="1"/>
        <v>32</v>
      </c>
      <c r="K29" s="22">
        <f t="shared" si="2"/>
        <v>199</v>
      </c>
      <c r="L29" s="22">
        <f t="shared" si="3"/>
        <v>346</v>
      </c>
      <c r="M29" s="24">
        <f t="shared" si="4"/>
        <v>0.57514450867052025</v>
      </c>
    </row>
    <row r="30" spans="1:13" ht="23.25" customHeight="1" x14ac:dyDescent="0.25">
      <c r="A30" s="6" t="s">
        <v>378</v>
      </c>
      <c r="B30" s="7" t="s">
        <v>573</v>
      </c>
      <c r="C30" s="7" t="s">
        <v>574</v>
      </c>
      <c r="D30" s="6">
        <v>8</v>
      </c>
      <c r="E30" s="6" t="s">
        <v>226</v>
      </c>
      <c r="F30" s="6">
        <v>-105</v>
      </c>
      <c r="G30" s="6">
        <v>39</v>
      </c>
      <c r="H30" s="6">
        <v>40</v>
      </c>
      <c r="I30" s="22">
        <f t="shared" si="0"/>
        <v>270</v>
      </c>
      <c r="J30" s="22">
        <f t="shared" si="1"/>
        <v>72</v>
      </c>
      <c r="K30" s="22">
        <f t="shared" si="2"/>
        <v>198</v>
      </c>
      <c r="L30" s="22">
        <f t="shared" si="3"/>
        <v>346</v>
      </c>
      <c r="M30" s="24">
        <f t="shared" si="4"/>
        <v>0.5722543352601156</v>
      </c>
    </row>
    <row r="31" spans="1:13" ht="23.25" customHeight="1" x14ac:dyDescent="0.25">
      <c r="A31" s="6" t="s">
        <v>378</v>
      </c>
      <c r="B31" s="7" t="s">
        <v>573</v>
      </c>
      <c r="C31" s="7" t="s">
        <v>574</v>
      </c>
      <c r="D31" s="6">
        <v>9</v>
      </c>
      <c r="E31" s="6" t="s">
        <v>264</v>
      </c>
      <c r="F31" s="6">
        <v>-90</v>
      </c>
      <c r="G31" s="6">
        <v>29</v>
      </c>
      <c r="H31" s="6">
        <v>60</v>
      </c>
      <c r="I31" s="22">
        <f t="shared" si="0"/>
        <v>299</v>
      </c>
      <c r="J31" s="22">
        <f t="shared" si="1"/>
        <v>132</v>
      </c>
      <c r="K31" s="22">
        <f t="shared" si="2"/>
        <v>167</v>
      </c>
      <c r="L31" s="22">
        <f t="shared" si="3"/>
        <v>346</v>
      </c>
      <c r="M31" s="24">
        <f t="shared" si="4"/>
        <v>0.48265895953757226</v>
      </c>
    </row>
    <row r="32" spans="1:13" ht="23.25" customHeight="1" x14ac:dyDescent="0.25">
      <c r="A32" s="6" t="s">
        <v>378</v>
      </c>
      <c r="B32" s="7" t="s">
        <v>573</v>
      </c>
      <c r="C32" s="7" t="s">
        <v>574</v>
      </c>
      <c r="D32" s="6">
        <v>10</v>
      </c>
      <c r="E32" s="6" t="s">
        <v>191</v>
      </c>
      <c r="F32" s="6">
        <v>-75</v>
      </c>
      <c r="G32" s="6">
        <v>20</v>
      </c>
      <c r="H32" s="6">
        <v>57</v>
      </c>
      <c r="I32" s="22">
        <f t="shared" si="0"/>
        <v>319</v>
      </c>
      <c r="J32" s="22">
        <f t="shared" si="1"/>
        <v>189</v>
      </c>
      <c r="K32" s="22">
        <f t="shared" si="2"/>
        <v>130</v>
      </c>
      <c r="L32" s="22">
        <f t="shared" si="3"/>
        <v>346</v>
      </c>
      <c r="M32" s="24">
        <f t="shared" si="4"/>
        <v>0.37572254335260113</v>
      </c>
    </row>
    <row r="33" spans="1:13" ht="23.25" customHeight="1" x14ac:dyDescent="0.25">
      <c r="A33" s="6" t="s">
        <v>378</v>
      </c>
      <c r="B33" s="7" t="s">
        <v>573</v>
      </c>
      <c r="C33" s="7" t="s">
        <v>574</v>
      </c>
      <c r="D33" s="6">
        <v>11</v>
      </c>
      <c r="E33" s="6" t="s">
        <v>231</v>
      </c>
      <c r="F33" s="6">
        <v>-60</v>
      </c>
      <c r="G33" s="6">
        <v>8</v>
      </c>
      <c r="H33" s="6">
        <v>61</v>
      </c>
      <c r="I33" s="22">
        <f t="shared" si="0"/>
        <v>327</v>
      </c>
      <c r="J33" s="22">
        <f t="shared" si="1"/>
        <v>250</v>
      </c>
      <c r="K33" s="22">
        <f t="shared" si="2"/>
        <v>77</v>
      </c>
      <c r="L33" s="22">
        <f t="shared" si="3"/>
        <v>346</v>
      </c>
      <c r="M33" s="24">
        <f t="shared" si="4"/>
        <v>0.22254335260115607</v>
      </c>
    </row>
    <row r="34" spans="1:13" ht="23.25" customHeight="1" x14ac:dyDescent="0.25">
      <c r="A34" s="6" t="s">
        <v>378</v>
      </c>
      <c r="B34" s="7" t="s">
        <v>573</v>
      </c>
      <c r="C34" s="7" t="s">
        <v>574</v>
      </c>
      <c r="D34" s="6">
        <v>12</v>
      </c>
      <c r="E34" s="6" t="s">
        <v>239</v>
      </c>
      <c r="F34" s="6">
        <v>-45</v>
      </c>
      <c r="G34" s="6">
        <v>9</v>
      </c>
      <c r="H34" s="6">
        <v>33</v>
      </c>
      <c r="I34" s="22">
        <f t="shared" ref="I34:I65" si="5">SUMIFS($G$2:$G$120,$B$2:$B$120,$B34,$D$2:$D$120,"&lt;="&amp;$D34)</f>
        <v>336</v>
      </c>
      <c r="J34" s="22">
        <f t="shared" ref="J34:J65" si="6">SUMIFS($H$2:$H$120,$B$2:$B$120,$B34,$D$2:$D$120,"&lt;="&amp;$D34)</f>
        <v>283</v>
      </c>
      <c r="K34" s="22">
        <f t="shared" ref="K34:K65" si="7">I34-J34</f>
        <v>53</v>
      </c>
      <c r="L34" s="22">
        <f t="shared" ref="L34:L65" si="8">SUMIF($B$2:$B$120,$B34,$G$2:$G$120)</f>
        <v>346</v>
      </c>
      <c r="M34" s="24">
        <f t="shared" ref="M34:M65" si="9">IF(L34=0,"",K34/L34)</f>
        <v>0.15317919075144509</v>
      </c>
    </row>
    <row r="35" spans="1:13" ht="23.25" customHeight="1" x14ac:dyDescent="0.25">
      <c r="A35" s="6" t="s">
        <v>378</v>
      </c>
      <c r="B35" s="7" t="s">
        <v>573</v>
      </c>
      <c r="C35" s="7" t="s">
        <v>574</v>
      </c>
      <c r="D35" s="6">
        <v>13</v>
      </c>
      <c r="E35" s="6" t="s">
        <v>387</v>
      </c>
      <c r="F35" s="6">
        <v>-30</v>
      </c>
      <c r="G35" s="6">
        <v>7</v>
      </c>
      <c r="H35" s="6">
        <v>23</v>
      </c>
      <c r="I35" s="22">
        <f t="shared" si="5"/>
        <v>343</v>
      </c>
      <c r="J35" s="22">
        <f t="shared" si="6"/>
        <v>306</v>
      </c>
      <c r="K35" s="22">
        <f t="shared" si="7"/>
        <v>37</v>
      </c>
      <c r="L35" s="22">
        <f t="shared" si="8"/>
        <v>346</v>
      </c>
      <c r="M35" s="24">
        <f t="shared" si="9"/>
        <v>0.1069364161849711</v>
      </c>
    </row>
    <row r="36" spans="1:13" ht="23.25" customHeight="1" x14ac:dyDescent="0.25">
      <c r="A36" s="6" t="s">
        <v>378</v>
      </c>
      <c r="B36" s="7" t="s">
        <v>573</v>
      </c>
      <c r="C36" s="7" t="s">
        <v>574</v>
      </c>
      <c r="D36" s="6">
        <v>14</v>
      </c>
      <c r="E36" s="6" t="s">
        <v>468</v>
      </c>
      <c r="F36" s="6">
        <v>-15</v>
      </c>
      <c r="G36" s="6">
        <v>3</v>
      </c>
      <c r="H36" s="6">
        <v>23</v>
      </c>
      <c r="I36" s="22">
        <f t="shared" si="5"/>
        <v>346</v>
      </c>
      <c r="J36" s="22">
        <f t="shared" si="6"/>
        <v>329</v>
      </c>
      <c r="K36" s="22">
        <f t="shared" si="7"/>
        <v>17</v>
      </c>
      <c r="L36" s="22">
        <f t="shared" si="8"/>
        <v>346</v>
      </c>
      <c r="M36" s="24">
        <f t="shared" si="9"/>
        <v>4.9132947976878616E-2</v>
      </c>
    </row>
    <row r="37" spans="1:13" ht="23.25" customHeight="1" x14ac:dyDescent="0.25">
      <c r="A37" s="6" t="s">
        <v>378</v>
      </c>
      <c r="B37" s="7" t="s">
        <v>573</v>
      </c>
      <c r="C37" s="7" t="s">
        <v>574</v>
      </c>
      <c r="D37" s="6">
        <v>15</v>
      </c>
      <c r="E37" s="6" t="s">
        <v>469</v>
      </c>
      <c r="F37" s="6">
        <v>0</v>
      </c>
      <c r="G37" s="6">
        <v>0</v>
      </c>
      <c r="H37" s="6">
        <v>7</v>
      </c>
      <c r="I37" s="22">
        <f t="shared" si="5"/>
        <v>346</v>
      </c>
      <c r="J37" s="22">
        <f t="shared" si="6"/>
        <v>336</v>
      </c>
      <c r="K37" s="22">
        <f t="shared" si="7"/>
        <v>10</v>
      </c>
      <c r="L37" s="22">
        <f t="shared" si="8"/>
        <v>346</v>
      </c>
      <c r="M37" s="24">
        <f t="shared" si="9"/>
        <v>2.8901734104046242E-2</v>
      </c>
    </row>
    <row r="38" spans="1:13" ht="23.25" customHeight="1" x14ac:dyDescent="0.25">
      <c r="A38" s="6" t="s">
        <v>378</v>
      </c>
      <c r="B38" s="7" t="s">
        <v>573</v>
      </c>
      <c r="C38" s="7" t="s">
        <v>574</v>
      </c>
      <c r="D38" s="6">
        <v>16</v>
      </c>
      <c r="E38" s="6" t="s">
        <v>351</v>
      </c>
      <c r="F38" s="6">
        <v>15</v>
      </c>
      <c r="G38" s="6">
        <v>0</v>
      </c>
      <c r="H38" s="6">
        <v>0</v>
      </c>
      <c r="I38" s="22">
        <f t="shared" si="5"/>
        <v>346</v>
      </c>
      <c r="J38" s="22">
        <f t="shared" si="6"/>
        <v>336</v>
      </c>
      <c r="K38" s="22">
        <f t="shared" si="7"/>
        <v>10</v>
      </c>
      <c r="L38" s="22">
        <f t="shared" si="8"/>
        <v>346</v>
      </c>
      <c r="M38" s="24">
        <f t="shared" si="9"/>
        <v>2.8901734104046242E-2</v>
      </c>
    </row>
    <row r="39" spans="1:13" ht="23.25" customHeight="1" x14ac:dyDescent="0.25">
      <c r="A39" s="6" t="s">
        <v>378</v>
      </c>
      <c r="B39" s="7" t="s">
        <v>573</v>
      </c>
      <c r="C39" s="7" t="s">
        <v>574</v>
      </c>
      <c r="D39" s="6">
        <v>17</v>
      </c>
      <c r="E39" s="6" t="s">
        <v>311</v>
      </c>
      <c r="F39" s="6">
        <v>30</v>
      </c>
      <c r="G39" s="6">
        <v>0</v>
      </c>
      <c r="H39" s="6">
        <v>0</v>
      </c>
      <c r="I39" s="22">
        <f t="shared" si="5"/>
        <v>346</v>
      </c>
      <c r="J39" s="22">
        <f t="shared" si="6"/>
        <v>336</v>
      </c>
      <c r="K39" s="22">
        <f t="shared" si="7"/>
        <v>10</v>
      </c>
      <c r="L39" s="22">
        <f t="shared" si="8"/>
        <v>346</v>
      </c>
      <c r="M39" s="24">
        <f t="shared" si="9"/>
        <v>2.8901734104046242E-2</v>
      </c>
    </row>
    <row r="40" spans="1:13" ht="23.25" customHeight="1" x14ac:dyDescent="0.25">
      <c r="A40" s="6" t="s">
        <v>378</v>
      </c>
      <c r="B40" s="7" t="s">
        <v>573</v>
      </c>
      <c r="C40" s="7" t="s">
        <v>574</v>
      </c>
      <c r="D40" s="6">
        <v>18</v>
      </c>
      <c r="E40" s="6" t="s">
        <v>211</v>
      </c>
      <c r="F40" s="6">
        <v>45</v>
      </c>
      <c r="G40" s="6">
        <v>0</v>
      </c>
      <c r="H40" s="6">
        <v>0</v>
      </c>
      <c r="I40" s="22">
        <f t="shared" si="5"/>
        <v>346</v>
      </c>
      <c r="J40" s="22">
        <f t="shared" si="6"/>
        <v>336</v>
      </c>
      <c r="K40" s="22">
        <f t="shared" si="7"/>
        <v>10</v>
      </c>
      <c r="L40" s="22">
        <f t="shared" si="8"/>
        <v>346</v>
      </c>
      <c r="M40" s="24">
        <f t="shared" si="9"/>
        <v>2.8901734104046242E-2</v>
      </c>
    </row>
    <row r="41" spans="1:13" ht="23.25" customHeight="1" x14ac:dyDescent="0.25">
      <c r="A41" s="6" t="s">
        <v>180</v>
      </c>
      <c r="B41" s="7" t="s">
        <v>575</v>
      </c>
      <c r="C41" s="7" t="s">
        <v>576</v>
      </c>
      <c r="D41" s="6">
        <v>0</v>
      </c>
      <c r="E41" s="6" t="s">
        <v>189</v>
      </c>
      <c r="F41" s="6"/>
      <c r="G41" s="6">
        <v>0</v>
      </c>
      <c r="H41" s="6">
        <v>0</v>
      </c>
      <c r="I41" s="22">
        <f t="shared" si="5"/>
        <v>0</v>
      </c>
      <c r="J41" s="22">
        <f t="shared" si="6"/>
        <v>0</v>
      </c>
      <c r="K41" s="22">
        <f t="shared" si="7"/>
        <v>0</v>
      </c>
      <c r="L41" s="22">
        <f t="shared" si="8"/>
        <v>142</v>
      </c>
      <c r="M41" s="24">
        <f t="shared" si="9"/>
        <v>0</v>
      </c>
    </row>
    <row r="42" spans="1:13" ht="23.25" customHeight="1" x14ac:dyDescent="0.25">
      <c r="A42" s="6" t="s">
        <v>180</v>
      </c>
      <c r="B42" s="7" t="s">
        <v>575</v>
      </c>
      <c r="C42" s="7" t="s">
        <v>576</v>
      </c>
      <c r="D42" s="6">
        <v>1</v>
      </c>
      <c r="E42" s="6" t="s">
        <v>471</v>
      </c>
      <c r="F42" s="6">
        <v>-210</v>
      </c>
      <c r="G42" s="6">
        <v>0</v>
      </c>
      <c r="H42" s="6">
        <v>0</v>
      </c>
      <c r="I42" s="22">
        <f t="shared" si="5"/>
        <v>0</v>
      </c>
      <c r="J42" s="22">
        <f t="shared" si="6"/>
        <v>0</v>
      </c>
      <c r="K42" s="22">
        <f t="shared" si="7"/>
        <v>0</v>
      </c>
      <c r="L42" s="22">
        <f t="shared" si="8"/>
        <v>142</v>
      </c>
      <c r="M42" s="24">
        <f t="shared" si="9"/>
        <v>0</v>
      </c>
    </row>
    <row r="43" spans="1:13" ht="23.25" customHeight="1" x14ac:dyDescent="0.25">
      <c r="A43" s="6" t="s">
        <v>180</v>
      </c>
      <c r="B43" s="7" t="s">
        <v>575</v>
      </c>
      <c r="C43" s="7" t="s">
        <v>576</v>
      </c>
      <c r="D43" s="6">
        <v>2</v>
      </c>
      <c r="E43" s="6" t="s">
        <v>325</v>
      </c>
      <c r="F43" s="6">
        <v>-195</v>
      </c>
      <c r="G43" s="6">
        <v>14</v>
      </c>
      <c r="H43" s="6">
        <v>3</v>
      </c>
      <c r="I43" s="22">
        <f t="shared" si="5"/>
        <v>14</v>
      </c>
      <c r="J43" s="22">
        <f t="shared" si="6"/>
        <v>3</v>
      </c>
      <c r="K43" s="22">
        <f t="shared" si="7"/>
        <v>11</v>
      </c>
      <c r="L43" s="22">
        <f t="shared" si="8"/>
        <v>142</v>
      </c>
      <c r="M43" s="24">
        <f t="shared" si="9"/>
        <v>7.746478873239436E-2</v>
      </c>
    </row>
    <row r="44" spans="1:13" ht="23.25" customHeight="1" x14ac:dyDescent="0.25">
      <c r="A44" s="6" t="s">
        <v>180</v>
      </c>
      <c r="B44" s="7" t="s">
        <v>575</v>
      </c>
      <c r="C44" s="7" t="s">
        <v>576</v>
      </c>
      <c r="D44" s="6">
        <v>3</v>
      </c>
      <c r="E44" s="6" t="s">
        <v>464</v>
      </c>
      <c r="F44" s="6">
        <v>-180</v>
      </c>
      <c r="G44" s="6">
        <v>4</v>
      </c>
      <c r="H44" s="6">
        <v>1</v>
      </c>
      <c r="I44" s="22">
        <f t="shared" si="5"/>
        <v>18</v>
      </c>
      <c r="J44" s="22">
        <f t="shared" si="6"/>
        <v>4</v>
      </c>
      <c r="K44" s="22">
        <f t="shared" si="7"/>
        <v>14</v>
      </c>
      <c r="L44" s="22">
        <f t="shared" si="8"/>
        <v>142</v>
      </c>
      <c r="M44" s="24">
        <f t="shared" si="9"/>
        <v>9.8591549295774641E-2</v>
      </c>
    </row>
    <row r="45" spans="1:13" ht="23.25" customHeight="1" x14ac:dyDescent="0.25">
      <c r="A45" s="6" t="s">
        <v>180</v>
      </c>
      <c r="B45" s="7" t="s">
        <v>575</v>
      </c>
      <c r="C45" s="7" t="s">
        <v>576</v>
      </c>
      <c r="D45" s="6">
        <v>4</v>
      </c>
      <c r="E45" s="6" t="s">
        <v>465</v>
      </c>
      <c r="F45" s="6">
        <v>-165</v>
      </c>
      <c r="G45" s="6">
        <v>10</v>
      </c>
      <c r="H45" s="6">
        <v>0</v>
      </c>
      <c r="I45" s="22">
        <f t="shared" si="5"/>
        <v>28</v>
      </c>
      <c r="J45" s="22">
        <f t="shared" si="6"/>
        <v>4</v>
      </c>
      <c r="K45" s="22">
        <f t="shared" si="7"/>
        <v>24</v>
      </c>
      <c r="L45" s="22">
        <f t="shared" si="8"/>
        <v>142</v>
      </c>
      <c r="M45" s="24">
        <f t="shared" si="9"/>
        <v>0.16901408450704225</v>
      </c>
    </row>
    <row r="46" spans="1:13" ht="23.25" customHeight="1" x14ac:dyDescent="0.25">
      <c r="A46" s="6" t="s">
        <v>180</v>
      </c>
      <c r="B46" s="7" t="s">
        <v>575</v>
      </c>
      <c r="C46" s="7" t="s">
        <v>576</v>
      </c>
      <c r="D46" s="6">
        <v>5</v>
      </c>
      <c r="E46" s="6" t="s">
        <v>466</v>
      </c>
      <c r="F46" s="6">
        <v>-150</v>
      </c>
      <c r="G46" s="6">
        <v>9</v>
      </c>
      <c r="H46" s="6">
        <v>0</v>
      </c>
      <c r="I46" s="22">
        <f t="shared" si="5"/>
        <v>37</v>
      </c>
      <c r="J46" s="22">
        <f t="shared" si="6"/>
        <v>4</v>
      </c>
      <c r="K46" s="22">
        <f t="shared" si="7"/>
        <v>33</v>
      </c>
      <c r="L46" s="22">
        <f t="shared" si="8"/>
        <v>142</v>
      </c>
      <c r="M46" s="24">
        <f t="shared" si="9"/>
        <v>0.23239436619718309</v>
      </c>
    </row>
    <row r="47" spans="1:13" ht="23.25" customHeight="1" x14ac:dyDescent="0.25">
      <c r="A47" s="6" t="s">
        <v>180</v>
      </c>
      <c r="B47" s="7" t="s">
        <v>575</v>
      </c>
      <c r="C47" s="7" t="s">
        <v>576</v>
      </c>
      <c r="D47" s="6">
        <v>6</v>
      </c>
      <c r="E47" s="6" t="s">
        <v>467</v>
      </c>
      <c r="F47" s="6">
        <v>-135</v>
      </c>
      <c r="G47" s="6">
        <v>8</v>
      </c>
      <c r="H47" s="6">
        <v>2</v>
      </c>
      <c r="I47" s="22">
        <f t="shared" si="5"/>
        <v>45</v>
      </c>
      <c r="J47" s="22">
        <f t="shared" si="6"/>
        <v>6</v>
      </c>
      <c r="K47" s="22">
        <f t="shared" si="7"/>
        <v>39</v>
      </c>
      <c r="L47" s="22">
        <f t="shared" si="8"/>
        <v>142</v>
      </c>
      <c r="M47" s="24">
        <f t="shared" si="9"/>
        <v>0.27464788732394368</v>
      </c>
    </row>
    <row r="48" spans="1:13" ht="23.25" customHeight="1" x14ac:dyDescent="0.25">
      <c r="A48" s="6" t="s">
        <v>180</v>
      </c>
      <c r="B48" s="7" t="s">
        <v>575</v>
      </c>
      <c r="C48" s="7" t="s">
        <v>576</v>
      </c>
      <c r="D48" s="6">
        <v>7</v>
      </c>
      <c r="E48" s="6" t="s">
        <v>212</v>
      </c>
      <c r="F48" s="6">
        <v>-120</v>
      </c>
      <c r="G48" s="6">
        <v>18</v>
      </c>
      <c r="H48" s="6">
        <v>2</v>
      </c>
      <c r="I48" s="22">
        <f t="shared" si="5"/>
        <v>63</v>
      </c>
      <c r="J48" s="22">
        <f t="shared" si="6"/>
        <v>8</v>
      </c>
      <c r="K48" s="22">
        <f t="shared" si="7"/>
        <v>55</v>
      </c>
      <c r="L48" s="22">
        <f t="shared" si="8"/>
        <v>142</v>
      </c>
      <c r="M48" s="24">
        <f t="shared" si="9"/>
        <v>0.38732394366197181</v>
      </c>
    </row>
    <row r="49" spans="1:13" ht="23.25" customHeight="1" x14ac:dyDescent="0.25">
      <c r="A49" s="6" t="s">
        <v>180</v>
      </c>
      <c r="B49" s="7" t="s">
        <v>575</v>
      </c>
      <c r="C49" s="7" t="s">
        <v>576</v>
      </c>
      <c r="D49" s="6">
        <v>8</v>
      </c>
      <c r="E49" s="6" t="s">
        <v>226</v>
      </c>
      <c r="F49" s="6">
        <v>-105</v>
      </c>
      <c r="G49" s="6">
        <v>17</v>
      </c>
      <c r="H49" s="6">
        <v>4</v>
      </c>
      <c r="I49" s="22">
        <f t="shared" si="5"/>
        <v>80</v>
      </c>
      <c r="J49" s="22">
        <f t="shared" si="6"/>
        <v>12</v>
      </c>
      <c r="K49" s="22">
        <f t="shared" si="7"/>
        <v>68</v>
      </c>
      <c r="L49" s="22">
        <f t="shared" si="8"/>
        <v>142</v>
      </c>
      <c r="M49" s="24">
        <f t="shared" si="9"/>
        <v>0.47887323943661969</v>
      </c>
    </row>
    <row r="50" spans="1:13" ht="23.25" customHeight="1" x14ac:dyDescent="0.25">
      <c r="A50" s="6" t="s">
        <v>180</v>
      </c>
      <c r="B50" s="7" t="s">
        <v>575</v>
      </c>
      <c r="C50" s="7" t="s">
        <v>576</v>
      </c>
      <c r="D50" s="6">
        <v>9</v>
      </c>
      <c r="E50" s="6" t="s">
        <v>264</v>
      </c>
      <c r="F50" s="6">
        <v>-90</v>
      </c>
      <c r="G50" s="6">
        <v>16</v>
      </c>
      <c r="H50" s="6">
        <v>1</v>
      </c>
      <c r="I50" s="22">
        <f t="shared" si="5"/>
        <v>96</v>
      </c>
      <c r="J50" s="22">
        <f t="shared" si="6"/>
        <v>13</v>
      </c>
      <c r="K50" s="22">
        <f t="shared" si="7"/>
        <v>83</v>
      </c>
      <c r="L50" s="22">
        <f t="shared" si="8"/>
        <v>142</v>
      </c>
      <c r="M50" s="24">
        <f t="shared" si="9"/>
        <v>0.58450704225352113</v>
      </c>
    </row>
    <row r="51" spans="1:13" ht="23.25" customHeight="1" x14ac:dyDescent="0.25">
      <c r="A51" s="6" t="s">
        <v>180</v>
      </c>
      <c r="B51" s="7" t="s">
        <v>575</v>
      </c>
      <c r="C51" s="7" t="s">
        <v>576</v>
      </c>
      <c r="D51" s="6">
        <v>10</v>
      </c>
      <c r="E51" s="6" t="s">
        <v>191</v>
      </c>
      <c r="F51" s="6">
        <v>-75</v>
      </c>
      <c r="G51" s="6">
        <v>19</v>
      </c>
      <c r="H51" s="6">
        <v>12</v>
      </c>
      <c r="I51" s="22">
        <f t="shared" si="5"/>
        <v>115</v>
      </c>
      <c r="J51" s="22">
        <f t="shared" si="6"/>
        <v>25</v>
      </c>
      <c r="K51" s="22">
        <f t="shared" si="7"/>
        <v>90</v>
      </c>
      <c r="L51" s="22">
        <f t="shared" si="8"/>
        <v>142</v>
      </c>
      <c r="M51" s="24">
        <f t="shared" si="9"/>
        <v>0.63380281690140849</v>
      </c>
    </row>
    <row r="52" spans="1:13" ht="23.25" customHeight="1" x14ac:dyDescent="0.25">
      <c r="A52" s="6" t="s">
        <v>180</v>
      </c>
      <c r="B52" s="7" t="s">
        <v>575</v>
      </c>
      <c r="C52" s="7" t="s">
        <v>576</v>
      </c>
      <c r="D52" s="6">
        <v>11</v>
      </c>
      <c r="E52" s="6" t="s">
        <v>231</v>
      </c>
      <c r="F52" s="6">
        <v>-60</v>
      </c>
      <c r="G52" s="6">
        <v>11</v>
      </c>
      <c r="H52" s="6">
        <v>11</v>
      </c>
      <c r="I52" s="22">
        <f t="shared" si="5"/>
        <v>126</v>
      </c>
      <c r="J52" s="22">
        <f t="shared" si="6"/>
        <v>36</v>
      </c>
      <c r="K52" s="22">
        <f t="shared" si="7"/>
        <v>90</v>
      </c>
      <c r="L52" s="22">
        <f t="shared" si="8"/>
        <v>142</v>
      </c>
      <c r="M52" s="24">
        <f t="shared" si="9"/>
        <v>0.63380281690140849</v>
      </c>
    </row>
    <row r="53" spans="1:13" ht="23.25" customHeight="1" x14ac:dyDescent="0.25">
      <c r="A53" s="6" t="s">
        <v>180</v>
      </c>
      <c r="B53" s="7" t="s">
        <v>575</v>
      </c>
      <c r="C53" s="7" t="s">
        <v>576</v>
      </c>
      <c r="D53" s="6">
        <v>12</v>
      </c>
      <c r="E53" s="6" t="s">
        <v>239</v>
      </c>
      <c r="F53" s="6">
        <v>-45</v>
      </c>
      <c r="G53" s="6">
        <v>4</v>
      </c>
      <c r="H53" s="6">
        <v>16</v>
      </c>
      <c r="I53" s="22">
        <f t="shared" si="5"/>
        <v>130</v>
      </c>
      <c r="J53" s="22">
        <f t="shared" si="6"/>
        <v>52</v>
      </c>
      <c r="K53" s="22">
        <f t="shared" si="7"/>
        <v>78</v>
      </c>
      <c r="L53" s="22">
        <f t="shared" si="8"/>
        <v>142</v>
      </c>
      <c r="M53" s="24">
        <f t="shared" si="9"/>
        <v>0.54929577464788737</v>
      </c>
    </row>
    <row r="54" spans="1:13" ht="23.25" customHeight="1" x14ac:dyDescent="0.25">
      <c r="A54" s="6" t="s">
        <v>180</v>
      </c>
      <c r="B54" s="7" t="s">
        <v>575</v>
      </c>
      <c r="C54" s="7" t="s">
        <v>576</v>
      </c>
      <c r="D54" s="6">
        <v>13</v>
      </c>
      <c r="E54" s="6" t="s">
        <v>387</v>
      </c>
      <c r="F54" s="6">
        <v>-30</v>
      </c>
      <c r="G54" s="6">
        <v>4</v>
      </c>
      <c r="H54" s="6">
        <v>15</v>
      </c>
      <c r="I54" s="22">
        <f t="shared" si="5"/>
        <v>134</v>
      </c>
      <c r="J54" s="22">
        <f t="shared" si="6"/>
        <v>67</v>
      </c>
      <c r="K54" s="22">
        <f t="shared" si="7"/>
        <v>67</v>
      </c>
      <c r="L54" s="22">
        <f t="shared" si="8"/>
        <v>142</v>
      </c>
      <c r="M54" s="24">
        <f t="shared" si="9"/>
        <v>0.47183098591549294</v>
      </c>
    </row>
    <row r="55" spans="1:13" ht="23.25" customHeight="1" x14ac:dyDescent="0.25">
      <c r="A55" s="6" t="s">
        <v>180</v>
      </c>
      <c r="B55" s="7" t="s">
        <v>575</v>
      </c>
      <c r="C55" s="7" t="s">
        <v>576</v>
      </c>
      <c r="D55" s="6">
        <v>14</v>
      </c>
      <c r="E55" s="6" t="s">
        <v>468</v>
      </c>
      <c r="F55" s="6">
        <v>-15</v>
      </c>
      <c r="G55" s="6">
        <v>2</v>
      </c>
      <c r="H55" s="6">
        <v>18</v>
      </c>
      <c r="I55" s="22">
        <f t="shared" si="5"/>
        <v>136</v>
      </c>
      <c r="J55" s="22">
        <f t="shared" si="6"/>
        <v>85</v>
      </c>
      <c r="K55" s="22">
        <f t="shared" si="7"/>
        <v>51</v>
      </c>
      <c r="L55" s="22">
        <f t="shared" si="8"/>
        <v>142</v>
      </c>
      <c r="M55" s="24">
        <f t="shared" si="9"/>
        <v>0.35915492957746481</v>
      </c>
    </row>
    <row r="56" spans="1:13" ht="23.25" customHeight="1" x14ac:dyDescent="0.25">
      <c r="A56" s="6" t="s">
        <v>180</v>
      </c>
      <c r="B56" s="7" t="s">
        <v>575</v>
      </c>
      <c r="C56" s="7" t="s">
        <v>576</v>
      </c>
      <c r="D56" s="6">
        <v>15</v>
      </c>
      <c r="E56" s="6" t="s">
        <v>469</v>
      </c>
      <c r="F56" s="6">
        <v>0</v>
      </c>
      <c r="G56" s="6">
        <v>4</v>
      </c>
      <c r="H56" s="6">
        <v>17</v>
      </c>
      <c r="I56" s="22">
        <f t="shared" si="5"/>
        <v>140</v>
      </c>
      <c r="J56" s="22">
        <f t="shared" si="6"/>
        <v>102</v>
      </c>
      <c r="K56" s="22">
        <f t="shared" si="7"/>
        <v>38</v>
      </c>
      <c r="L56" s="22">
        <f t="shared" si="8"/>
        <v>142</v>
      </c>
      <c r="M56" s="24">
        <f t="shared" si="9"/>
        <v>0.26760563380281688</v>
      </c>
    </row>
    <row r="57" spans="1:13" ht="23.25" customHeight="1" x14ac:dyDescent="0.25">
      <c r="A57" s="6" t="s">
        <v>180</v>
      </c>
      <c r="B57" s="7" t="s">
        <v>575</v>
      </c>
      <c r="C57" s="7" t="s">
        <v>576</v>
      </c>
      <c r="D57" s="6">
        <v>16</v>
      </c>
      <c r="E57" s="6" t="s">
        <v>351</v>
      </c>
      <c r="F57" s="6">
        <v>15</v>
      </c>
      <c r="G57" s="6">
        <v>1</v>
      </c>
      <c r="H57" s="6">
        <v>17</v>
      </c>
      <c r="I57" s="22">
        <f t="shared" si="5"/>
        <v>141</v>
      </c>
      <c r="J57" s="22">
        <f t="shared" si="6"/>
        <v>119</v>
      </c>
      <c r="K57" s="22">
        <f t="shared" si="7"/>
        <v>22</v>
      </c>
      <c r="L57" s="22">
        <f t="shared" si="8"/>
        <v>142</v>
      </c>
      <c r="M57" s="24">
        <f t="shared" si="9"/>
        <v>0.15492957746478872</v>
      </c>
    </row>
    <row r="58" spans="1:13" ht="23.25" customHeight="1" x14ac:dyDescent="0.25">
      <c r="A58" s="6" t="s">
        <v>180</v>
      </c>
      <c r="B58" s="7" t="s">
        <v>575</v>
      </c>
      <c r="C58" s="7" t="s">
        <v>576</v>
      </c>
      <c r="D58" s="6">
        <v>17</v>
      </c>
      <c r="E58" s="6" t="s">
        <v>311</v>
      </c>
      <c r="F58" s="6">
        <v>30</v>
      </c>
      <c r="G58" s="6">
        <v>0</v>
      </c>
      <c r="H58" s="6">
        <v>8</v>
      </c>
      <c r="I58" s="22">
        <f t="shared" si="5"/>
        <v>141</v>
      </c>
      <c r="J58" s="22">
        <f t="shared" si="6"/>
        <v>127</v>
      </c>
      <c r="K58" s="22">
        <f t="shared" si="7"/>
        <v>14</v>
      </c>
      <c r="L58" s="22">
        <f t="shared" si="8"/>
        <v>142</v>
      </c>
      <c r="M58" s="24">
        <f t="shared" si="9"/>
        <v>9.8591549295774641E-2</v>
      </c>
    </row>
    <row r="59" spans="1:13" ht="23.25" customHeight="1" x14ac:dyDescent="0.25">
      <c r="A59" s="6" t="s">
        <v>180</v>
      </c>
      <c r="B59" s="7" t="s">
        <v>575</v>
      </c>
      <c r="C59" s="7" t="s">
        <v>576</v>
      </c>
      <c r="D59" s="6">
        <v>18</v>
      </c>
      <c r="E59" s="6" t="s">
        <v>211</v>
      </c>
      <c r="F59" s="6">
        <v>45</v>
      </c>
      <c r="G59" s="6">
        <v>1</v>
      </c>
      <c r="H59" s="6">
        <v>10</v>
      </c>
      <c r="I59" s="22">
        <f t="shared" si="5"/>
        <v>142</v>
      </c>
      <c r="J59" s="22">
        <f t="shared" si="6"/>
        <v>137</v>
      </c>
      <c r="K59" s="22">
        <f t="shared" si="7"/>
        <v>5</v>
      </c>
      <c r="L59" s="22">
        <f t="shared" si="8"/>
        <v>142</v>
      </c>
      <c r="M59" s="24">
        <f t="shared" si="9"/>
        <v>3.5211267605633804E-2</v>
      </c>
    </row>
    <row r="60" spans="1:13" ht="23.25" customHeight="1" x14ac:dyDescent="0.25">
      <c r="A60" s="6" t="s">
        <v>298</v>
      </c>
      <c r="B60" s="7" t="s">
        <v>577</v>
      </c>
      <c r="C60" s="7" t="s">
        <v>578</v>
      </c>
      <c r="D60" s="6">
        <v>0</v>
      </c>
      <c r="E60" s="6" t="s">
        <v>189</v>
      </c>
      <c r="F60" s="6"/>
      <c r="G60" s="6">
        <v>0</v>
      </c>
      <c r="H60" s="6">
        <v>0</v>
      </c>
      <c r="I60" s="22">
        <f t="shared" si="5"/>
        <v>0</v>
      </c>
      <c r="J60" s="22">
        <f t="shared" si="6"/>
        <v>0</v>
      </c>
      <c r="K60" s="22">
        <f t="shared" si="7"/>
        <v>0</v>
      </c>
      <c r="L60" s="22">
        <f t="shared" si="8"/>
        <v>119</v>
      </c>
      <c r="M60" s="24">
        <f t="shared" si="9"/>
        <v>0</v>
      </c>
    </row>
    <row r="61" spans="1:13" ht="23.25" customHeight="1" x14ac:dyDescent="0.25">
      <c r="A61" s="6" t="s">
        <v>298</v>
      </c>
      <c r="B61" s="7" t="s">
        <v>577</v>
      </c>
      <c r="C61" s="7" t="s">
        <v>578</v>
      </c>
      <c r="D61" s="6">
        <v>1</v>
      </c>
      <c r="E61" s="6" t="s">
        <v>471</v>
      </c>
      <c r="F61" s="6">
        <v>-210</v>
      </c>
      <c r="G61" s="6">
        <v>0</v>
      </c>
      <c r="H61" s="6">
        <v>0</v>
      </c>
      <c r="I61" s="22">
        <f t="shared" si="5"/>
        <v>0</v>
      </c>
      <c r="J61" s="22">
        <f t="shared" si="6"/>
        <v>0</v>
      </c>
      <c r="K61" s="22">
        <f t="shared" si="7"/>
        <v>0</v>
      </c>
      <c r="L61" s="22">
        <f t="shared" si="8"/>
        <v>119</v>
      </c>
      <c r="M61" s="24">
        <f t="shared" si="9"/>
        <v>0</v>
      </c>
    </row>
    <row r="62" spans="1:13" ht="23.25" customHeight="1" x14ac:dyDescent="0.25">
      <c r="A62" s="6" t="s">
        <v>298</v>
      </c>
      <c r="B62" s="7" t="s">
        <v>577</v>
      </c>
      <c r="C62" s="7" t="s">
        <v>578</v>
      </c>
      <c r="D62" s="6">
        <v>2</v>
      </c>
      <c r="E62" s="6" t="s">
        <v>325</v>
      </c>
      <c r="F62" s="6">
        <v>-195</v>
      </c>
      <c r="G62" s="6">
        <v>7</v>
      </c>
      <c r="H62" s="6">
        <v>0</v>
      </c>
      <c r="I62" s="22">
        <f t="shared" si="5"/>
        <v>7</v>
      </c>
      <c r="J62" s="22">
        <f t="shared" si="6"/>
        <v>0</v>
      </c>
      <c r="K62" s="22">
        <f t="shared" si="7"/>
        <v>7</v>
      </c>
      <c r="L62" s="22">
        <f t="shared" si="8"/>
        <v>119</v>
      </c>
      <c r="M62" s="24">
        <f t="shared" si="9"/>
        <v>5.8823529411764705E-2</v>
      </c>
    </row>
    <row r="63" spans="1:13" ht="23.25" customHeight="1" x14ac:dyDescent="0.25">
      <c r="A63" s="6" t="s">
        <v>298</v>
      </c>
      <c r="B63" s="7" t="s">
        <v>577</v>
      </c>
      <c r="C63" s="7" t="s">
        <v>578</v>
      </c>
      <c r="D63" s="6">
        <v>3</v>
      </c>
      <c r="E63" s="6" t="s">
        <v>464</v>
      </c>
      <c r="F63" s="6">
        <v>-180</v>
      </c>
      <c r="G63" s="6">
        <v>10</v>
      </c>
      <c r="H63" s="6">
        <v>1</v>
      </c>
      <c r="I63" s="22">
        <f t="shared" si="5"/>
        <v>17</v>
      </c>
      <c r="J63" s="22">
        <f t="shared" si="6"/>
        <v>1</v>
      </c>
      <c r="K63" s="22">
        <f t="shared" si="7"/>
        <v>16</v>
      </c>
      <c r="L63" s="22">
        <f t="shared" si="8"/>
        <v>119</v>
      </c>
      <c r="M63" s="24">
        <f t="shared" si="9"/>
        <v>0.13445378151260504</v>
      </c>
    </row>
    <row r="64" spans="1:13" ht="23.25" customHeight="1" x14ac:dyDescent="0.25">
      <c r="A64" s="6" t="s">
        <v>298</v>
      </c>
      <c r="B64" s="7" t="s">
        <v>577</v>
      </c>
      <c r="C64" s="7" t="s">
        <v>578</v>
      </c>
      <c r="D64" s="6">
        <v>4</v>
      </c>
      <c r="E64" s="6" t="s">
        <v>465</v>
      </c>
      <c r="F64" s="6">
        <v>-165</v>
      </c>
      <c r="G64" s="6">
        <v>10</v>
      </c>
      <c r="H64" s="6">
        <v>3</v>
      </c>
      <c r="I64" s="22">
        <f t="shared" si="5"/>
        <v>27</v>
      </c>
      <c r="J64" s="22">
        <f t="shared" si="6"/>
        <v>4</v>
      </c>
      <c r="K64" s="22">
        <f t="shared" si="7"/>
        <v>23</v>
      </c>
      <c r="L64" s="22">
        <f t="shared" si="8"/>
        <v>119</v>
      </c>
      <c r="M64" s="24">
        <f t="shared" si="9"/>
        <v>0.19327731092436976</v>
      </c>
    </row>
    <row r="65" spans="1:13" ht="23.25" customHeight="1" x14ac:dyDescent="0.25">
      <c r="A65" s="6" t="s">
        <v>298</v>
      </c>
      <c r="B65" s="7" t="s">
        <v>577</v>
      </c>
      <c r="C65" s="7" t="s">
        <v>578</v>
      </c>
      <c r="D65" s="6">
        <v>5</v>
      </c>
      <c r="E65" s="6" t="s">
        <v>466</v>
      </c>
      <c r="F65" s="6">
        <v>-150</v>
      </c>
      <c r="G65" s="6">
        <v>25</v>
      </c>
      <c r="H65" s="6">
        <v>1</v>
      </c>
      <c r="I65" s="22">
        <f t="shared" si="5"/>
        <v>52</v>
      </c>
      <c r="J65" s="22">
        <f t="shared" si="6"/>
        <v>5</v>
      </c>
      <c r="K65" s="22">
        <f t="shared" si="7"/>
        <v>47</v>
      </c>
      <c r="L65" s="22">
        <f t="shared" si="8"/>
        <v>119</v>
      </c>
      <c r="M65" s="24">
        <f t="shared" si="9"/>
        <v>0.3949579831932773</v>
      </c>
    </row>
    <row r="66" spans="1:13" ht="23.25" customHeight="1" x14ac:dyDescent="0.25">
      <c r="A66" s="6" t="s">
        <v>298</v>
      </c>
      <c r="B66" s="7" t="s">
        <v>577</v>
      </c>
      <c r="C66" s="7" t="s">
        <v>578</v>
      </c>
      <c r="D66" s="6">
        <v>6</v>
      </c>
      <c r="E66" s="6" t="s">
        <v>467</v>
      </c>
      <c r="F66" s="6">
        <v>-135</v>
      </c>
      <c r="G66" s="6">
        <v>13</v>
      </c>
      <c r="H66" s="6">
        <v>2</v>
      </c>
      <c r="I66" s="22">
        <f t="shared" ref="I66:I94" si="10">SUMIFS($G$2:$G$120,$B$2:$B$120,$B66,$D$2:$D$120,"&lt;="&amp;$D66)</f>
        <v>65</v>
      </c>
      <c r="J66" s="22">
        <f t="shared" ref="J66:J94" si="11">SUMIFS($H$2:$H$120,$B$2:$B$120,$B66,$D$2:$D$120,"&lt;="&amp;$D66)</f>
        <v>7</v>
      </c>
      <c r="K66" s="22">
        <f t="shared" ref="K66:K97" si="12">I66-J66</f>
        <v>58</v>
      </c>
      <c r="L66" s="22">
        <f t="shared" ref="L66:L94" si="13">SUMIF($B$2:$B$120,$B66,$G$2:$G$120)</f>
        <v>119</v>
      </c>
      <c r="M66" s="24">
        <f t="shared" ref="M66:M97" si="14">IF(L66=0,"",K66/L66)</f>
        <v>0.48739495798319327</v>
      </c>
    </row>
    <row r="67" spans="1:13" ht="23.25" customHeight="1" x14ac:dyDescent="0.25">
      <c r="A67" s="6" t="s">
        <v>298</v>
      </c>
      <c r="B67" s="7" t="s">
        <v>577</v>
      </c>
      <c r="C67" s="7" t="s">
        <v>578</v>
      </c>
      <c r="D67" s="6">
        <v>7</v>
      </c>
      <c r="E67" s="6" t="s">
        <v>212</v>
      </c>
      <c r="F67" s="6">
        <v>-120</v>
      </c>
      <c r="G67" s="6">
        <v>10</v>
      </c>
      <c r="H67" s="6">
        <v>9</v>
      </c>
      <c r="I67" s="22">
        <f t="shared" si="10"/>
        <v>75</v>
      </c>
      <c r="J67" s="22">
        <f t="shared" si="11"/>
        <v>16</v>
      </c>
      <c r="K67" s="22">
        <f t="shared" si="12"/>
        <v>59</v>
      </c>
      <c r="L67" s="22">
        <f t="shared" si="13"/>
        <v>119</v>
      </c>
      <c r="M67" s="24">
        <f t="shared" si="14"/>
        <v>0.49579831932773111</v>
      </c>
    </row>
    <row r="68" spans="1:13" ht="23.25" customHeight="1" x14ac:dyDescent="0.25">
      <c r="A68" s="6" t="s">
        <v>298</v>
      </c>
      <c r="B68" s="7" t="s">
        <v>577</v>
      </c>
      <c r="C68" s="7" t="s">
        <v>578</v>
      </c>
      <c r="D68" s="6">
        <v>8</v>
      </c>
      <c r="E68" s="6" t="s">
        <v>226</v>
      </c>
      <c r="F68" s="6">
        <v>-105</v>
      </c>
      <c r="G68" s="6">
        <v>16</v>
      </c>
      <c r="H68" s="6">
        <v>9</v>
      </c>
      <c r="I68" s="22">
        <f t="shared" si="10"/>
        <v>91</v>
      </c>
      <c r="J68" s="22">
        <f t="shared" si="11"/>
        <v>25</v>
      </c>
      <c r="K68" s="22">
        <f t="shared" si="12"/>
        <v>66</v>
      </c>
      <c r="L68" s="22">
        <f t="shared" si="13"/>
        <v>119</v>
      </c>
      <c r="M68" s="24">
        <f t="shared" si="14"/>
        <v>0.55462184873949583</v>
      </c>
    </row>
    <row r="69" spans="1:13" ht="23.25" customHeight="1" x14ac:dyDescent="0.25">
      <c r="A69" s="6" t="s">
        <v>298</v>
      </c>
      <c r="B69" s="7" t="s">
        <v>577</v>
      </c>
      <c r="C69" s="7" t="s">
        <v>578</v>
      </c>
      <c r="D69" s="6">
        <v>9</v>
      </c>
      <c r="E69" s="6" t="s">
        <v>264</v>
      </c>
      <c r="F69" s="6">
        <v>-90</v>
      </c>
      <c r="G69" s="6">
        <v>9</v>
      </c>
      <c r="H69" s="6">
        <v>20</v>
      </c>
      <c r="I69" s="22">
        <f t="shared" si="10"/>
        <v>100</v>
      </c>
      <c r="J69" s="22">
        <f t="shared" si="11"/>
        <v>45</v>
      </c>
      <c r="K69" s="22">
        <f t="shared" si="12"/>
        <v>55</v>
      </c>
      <c r="L69" s="22">
        <f t="shared" si="13"/>
        <v>119</v>
      </c>
      <c r="M69" s="24">
        <f t="shared" si="14"/>
        <v>0.46218487394957986</v>
      </c>
    </row>
    <row r="70" spans="1:13" ht="23.25" customHeight="1" x14ac:dyDescent="0.25">
      <c r="A70" s="6" t="s">
        <v>298</v>
      </c>
      <c r="B70" s="7" t="s">
        <v>577</v>
      </c>
      <c r="C70" s="7" t="s">
        <v>578</v>
      </c>
      <c r="D70" s="6">
        <v>10</v>
      </c>
      <c r="E70" s="6" t="s">
        <v>191</v>
      </c>
      <c r="F70" s="6">
        <v>-75</v>
      </c>
      <c r="G70" s="6">
        <v>6</v>
      </c>
      <c r="H70" s="6">
        <v>12</v>
      </c>
      <c r="I70" s="22">
        <f t="shared" si="10"/>
        <v>106</v>
      </c>
      <c r="J70" s="22">
        <f t="shared" si="11"/>
        <v>57</v>
      </c>
      <c r="K70" s="22">
        <f t="shared" si="12"/>
        <v>49</v>
      </c>
      <c r="L70" s="22">
        <f t="shared" si="13"/>
        <v>119</v>
      </c>
      <c r="M70" s="24">
        <f t="shared" si="14"/>
        <v>0.41176470588235292</v>
      </c>
    </row>
    <row r="71" spans="1:13" ht="23.25" customHeight="1" x14ac:dyDescent="0.25">
      <c r="A71" s="6" t="s">
        <v>298</v>
      </c>
      <c r="B71" s="7" t="s">
        <v>577</v>
      </c>
      <c r="C71" s="7" t="s">
        <v>578</v>
      </c>
      <c r="D71" s="6">
        <v>11</v>
      </c>
      <c r="E71" s="6" t="s">
        <v>231</v>
      </c>
      <c r="F71" s="6">
        <v>-60</v>
      </c>
      <c r="G71" s="6">
        <v>5</v>
      </c>
      <c r="H71" s="6">
        <v>21</v>
      </c>
      <c r="I71" s="22">
        <f t="shared" si="10"/>
        <v>111</v>
      </c>
      <c r="J71" s="22">
        <f t="shared" si="11"/>
        <v>78</v>
      </c>
      <c r="K71" s="22">
        <f t="shared" si="12"/>
        <v>33</v>
      </c>
      <c r="L71" s="22">
        <f t="shared" si="13"/>
        <v>119</v>
      </c>
      <c r="M71" s="24">
        <f t="shared" si="14"/>
        <v>0.27731092436974791</v>
      </c>
    </row>
    <row r="72" spans="1:13" ht="23.25" customHeight="1" x14ac:dyDescent="0.25">
      <c r="A72" s="6" t="s">
        <v>298</v>
      </c>
      <c r="B72" s="7" t="s">
        <v>577</v>
      </c>
      <c r="C72" s="7" t="s">
        <v>578</v>
      </c>
      <c r="D72" s="6">
        <v>12</v>
      </c>
      <c r="E72" s="6" t="s">
        <v>239</v>
      </c>
      <c r="F72" s="6">
        <v>-45</v>
      </c>
      <c r="G72" s="6">
        <v>6</v>
      </c>
      <c r="H72" s="6">
        <v>10</v>
      </c>
      <c r="I72" s="22">
        <f t="shared" si="10"/>
        <v>117</v>
      </c>
      <c r="J72" s="22">
        <f t="shared" si="11"/>
        <v>88</v>
      </c>
      <c r="K72" s="22">
        <f t="shared" si="12"/>
        <v>29</v>
      </c>
      <c r="L72" s="22">
        <f t="shared" si="13"/>
        <v>119</v>
      </c>
      <c r="M72" s="24">
        <f t="shared" si="14"/>
        <v>0.24369747899159663</v>
      </c>
    </row>
    <row r="73" spans="1:13" ht="23.25" customHeight="1" x14ac:dyDescent="0.25">
      <c r="A73" s="6" t="s">
        <v>298</v>
      </c>
      <c r="B73" s="7" t="s">
        <v>577</v>
      </c>
      <c r="C73" s="7" t="s">
        <v>578</v>
      </c>
      <c r="D73" s="6">
        <v>13</v>
      </c>
      <c r="E73" s="6" t="s">
        <v>387</v>
      </c>
      <c r="F73" s="6">
        <v>-30</v>
      </c>
      <c r="G73" s="6">
        <v>1</v>
      </c>
      <c r="H73" s="6">
        <v>7</v>
      </c>
      <c r="I73" s="22">
        <f t="shared" si="10"/>
        <v>118</v>
      </c>
      <c r="J73" s="22">
        <f t="shared" si="11"/>
        <v>95</v>
      </c>
      <c r="K73" s="22">
        <f t="shared" si="12"/>
        <v>23</v>
      </c>
      <c r="L73" s="22">
        <f t="shared" si="13"/>
        <v>119</v>
      </c>
      <c r="M73" s="24">
        <f t="shared" si="14"/>
        <v>0.19327731092436976</v>
      </c>
    </row>
    <row r="74" spans="1:13" ht="23.25" customHeight="1" x14ac:dyDescent="0.25">
      <c r="A74" s="6" t="s">
        <v>298</v>
      </c>
      <c r="B74" s="7" t="s">
        <v>577</v>
      </c>
      <c r="C74" s="7" t="s">
        <v>578</v>
      </c>
      <c r="D74" s="6">
        <v>14</v>
      </c>
      <c r="E74" s="6" t="s">
        <v>468</v>
      </c>
      <c r="F74" s="6">
        <v>-15</v>
      </c>
      <c r="G74" s="6">
        <v>1</v>
      </c>
      <c r="H74" s="6">
        <v>3</v>
      </c>
      <c r="I74" s="22">
        <f t="shared" si="10"/>
        <v>119</v>
      </c>
      <c r="J74" s="22">
        <f t="shared" si="11"/>
        <v>98</v>
      </c>
      <c r="K74" s="22">
        <f t="shared" si="12"/>
        <v>21</v>
      </c>
      <c r="L74" s="22">
        <f t="shared" si="13"/>
        <v>119</v>
      </c>
      <c r="M74" s="24">
        <f t="shared" si="14"/>
        <v>0.17647058823529413</v>
      </c>
    </row>
    <row r="75" spans="1:13" ht="23.25" customHeight="1" x14ac:dyDescent="0.25">
      <c r="A75" s="6" t="s">
        <v>298</v>
      </c>
      <c r="B75" s="7" t="s">
        <v>577</v>
      </c>
      <c r="C75" s="7" t="s">
        <v>578</v>
      </c>
      <c r="D75" s="6">
        <v>15</v>
      </c>
      <c r="E75" s="6" t="s">
        <v>469</v>
      </c>
      <c r="F75" s="6">
        <v>0</v>
      </c>
      <c r="G75" s="6">
        <v>0</v>
      </c>
      <c r="H75" s="6">
        <v>8</v>
      </c>
      <c r="I75" s="22">
        <f t="shared" si="10"/>
        <v>119</v>
      </c>
      <c r="J75" s="22">
        <f t="shared" si="11"/>
        <v>106</v>
      </c>
      <c r="K75" s="22">
        <f t="shared" si="12"/>
        <v>13</v>
      </c>
      <c r="L75" s="22">
        <f t="shared" si="13"/>
        <v>119</v>
      </c>
      <c r="M75" s="24">
        <f t="shared" si="14"/>
        <v>0.1092436974789916</v>
      </c>
    </row>
    <row r="76" spans="1:13" ht="23.25" customHeight="1" x14ac:dyDescent="0.25">
      <c r="A76" s="6" t="s">
        <v>298</v>
      </c>
      <c r="B76" s="7" t="s">
        <v>577</v>
      </c>
      <c r="C76" s="7" t="s">
        <v>578</v>
      </c>
      <c r="D76" s="6">
        <v>16</v>
      </c>
      <c r="E76" s="6" t="s">
        <v>351</v>
      </c>
      <c r="F76" s="6">
        <v>15</v>
      </c>
      <c r="G76" s="6">
        <v>0</v>
      </c>
      <c r="H76" s="6">
        <v>0</v>
      </c>
      <c r="I76" s="22">
        <f t="shared" si="10"/>
        <v>119</v>
      </c>
      <c r="J76" s="22">
        <f t="shared" si="11"/>
        <v>106</v>
      </c>
      <c r="K76" s="22">
        <f t="shared" si="12"/>
        <v>13</v>
      </c>
      <c r="L76" s="22">
        <f t="shared" si="13"/>
        <v>119</v>
      </c>
      <c r="M76" s="24">
        <f t="shared" si="14"/>
        <v>0.1092436974789916</v>
      </c>
    </row>
    <row r="77" spans="1:13" ht="23.25" customHeight="1" x14ac:dyDescent="0.25">
      <c r="A77" s="6" t="s">
        <v>298</v>
      </c>
      <c r="B77" s="7" t="s">
        <v>577</v>
      </c>
      <c r="C77" s="7" t="s">
        <v>578</v>
      </c>
      <c r="D77" s="6">
        <v>17</v>
      </c>
      <c r="E77" s="6" t="s">
        <v>311</v>
      </c>
      <c r="F77" s="6">
        <v>30</v>
      </c>
      <c r="G77" s="6">
        <v>0</v>
      </c>
      <c r="H77" s="6">
        <v>0</v>
      </c>
      <c r="I77" s="22">
        <f t="shared" si="10"/>
        <v>119</v>
      </c>
      <c r="J77" s="22">
        <f t="shared" si="11"/>
        <v>106</v>
      </c>
      <c r="K77" s="22">
        <f t="shared" si="12"/>
        <v>13</v>
      </c>
      <c r="L77" s="22">
        <f t="shared" si="13"/>
        <v>119</v>
      </c>
      <c r="M77" s="24">
        <f t="shared" si="14"/>
        <v>0.1092436974789916</v>
      </c>
    </row>
    <row r="78" spans="1:13" ht="23.25" customHeight="1" x14ac:dyDescent="0.25">
      <c r="A78" s="6" t="s">
        <v>298</v>
      </c>
      <c r="B78" s="7" t="s">
        <v>577</v>
      </c>
      <c r="C78" s="7" t="s">
        <v>578</v>
      </c>
      <c r="D78" s="6">
        <v>18</v>
      </c>
      <c r="E78" s="6" t="s">
        <v>211</v>
      </c>
      <c r="F78" s="6">
        <v>45</v>
      </c>
      <c r="G78" s="6">
        <v>0</v>
      </c>
      <c r="H78" s="6">
        <v>0</v>
      </c>
      <c r="I78" s="22">
        <f t="shared" si="10"/>
        <v>119</v>
      </c>
      <c r="J78" s="22">
        <f t="shared" si="11"/>
        <v>106</v>
      </c>
      <c r="K78" s="22">
        <f t="shared" si="12"/>
        <v>13</v>
      </c>
      <c r="L78" s="22">
        <f t="shared" si="13"/>
        <v>119</v>
      </c>
      <c r="M78" s="24">
        <f t="shared" si="14"/>
        <v>0.1092436974789916</v>
      </c>
    </row>
    <row r="79" spans="1:13" ht="34.5" customHeight="1" x14ac:dyDescent="0.25">
      <c r="A79" s="6" t="s">
        <v>298</v>
      </c>
      <c r="B79" s="7" t="s">
        <v>579</v>
      </c>
      <c r="C79" s="7" t="s">
        <v>580</v>
      </c>
      <c r="D79" s="6">
        <v>0</v>
      </c>
      <c r="E79" s="6" t="s">
        <v>189</v>
      </c>
      <c r="F79" s="6"/>
      <c r="G79" s="6">
        <v>25</v>
      </c>
      <c r="H79" s="6">
        <v>1</v>
      </c>
      <c r="I79" s="22">
        <f t="shared" si="10"/>
        <v>25</v>
      </c>
      <c r="J79" s="22">
        <f t="shared" si="11"/>
        <v>1</v>
      </c>
      <c r="K79" s="22">
        <f t="shared" si="12"/>
        <v>24</v>
      </c>
      <c r="L79" s="22">
        <f t="shared" si="13"/>
        <v>190</v>
      </c>
      <c r="M79" s="24">
        <f t="shared" si="14"/>
        <v>0.12631578947368421</v>
      </c>
    </row>
    <row r="80" spans="1:13" ht="34.5" customHeight="1" x14ac:dyDescent="0.25">
      <c r="A80" s="6" t="s">
        <v>298</v>
      </c>
      <c r="B80" s="7" t="s">
        <v>579</v>
      </c>
      <c r="C80" s="7" t="s">
        <v>580</v>
      </c>
      <c r="D80" s="6">
        <v>1</v>
      </c>
      <c r="E80" s="6" t="s">
        <v>471</v>
      </c>
      <c r="F80" s="6">
        <v>-210</v>
      </c>
      <c r="G80" s="6">
        <v>15</v>
      </c>
      <c r="H80" s="6">
        <v>3</v>
      </c>
      <c r="I80" s="22">
        <f t="shared" si="10"/>
        <v>40</v>
      </c>
      <c r="J80" s="22">
        <f t="shared" si="11"/>
        <v>4</v>
      </c>
      <c r="K80" s="22">
        <f t="shared" si="12"/>
        <v>36</v>
      </c>
      <c r="L80" s="22">
        <f t="shared" si="13"/>
        <v>190</v>
      </c>
      <c r="M80" s="24">
        <f t="shared" si="14"/>
        <v>0.18947368421052632</v>
      </c>
    </row>
    <row r="81" spans="1:13" ht="34.5" customHeight="1" x14ac:dyDescent="0.25">
      <c r="A81" s="6" t="s">
        <v>298</v>
      </c>
      <c r="B81" s="7" t="s">
        <v>579</v>
      </c>
      <c r="C81" s="7" t="s">
        <v>580</v>
      </c>
      <c r="D81" s="6">
        <v>2</v>
      </c>
      <c r="E81" s="6" t="s">
        <v>325</v>
      </c>
      <c r="F81" s="6">
        <v>-195</v>
      </c>
      <c r="G81" s="6">
        <v>15</v>
      </c>
      <c r="H81" s="6">
        <v>4</v>
      </c>
      <c r="I81" s="22">
        <f t="shared" si="10"/>
        <v>55</v>
      </c>
      <c r="J81" s="22">
        <f t="shared" si="11"/>
        <v>8</v>
      </c>
      <c r="K81" s="22">
        <f t="shared" si="12"/>
        <v>47</v>
      </c>
      <c r="L81" s="22">
        <f t="shared" si="13"/>
        <v>190</v>
      </c>
      <c r="M81" s="24">
        <f t="shared" si="14"/>
        <v>0.24736842105263157</v>
      </c>
    </row>
    <row r="82" spans="1:13" ht="34.5" customHeight="1" x14ac:dyDescent="0.25">
      <c r="A82" s="6" t="s">
        <v>298</v>
      </c>
      <c r="B82" s="7" t="s">
        <v>579</v>
      </c>
      <c r="C82" s="7" t="s">
        <v>580</v>
      </c>
      <c r="D82" s="6">
        <v>3</v>
      </c>
      <c r="E82" s="6" t="s">
        <v>464</v>
      </c>
      <c r="F82" s="6">
        <v>-180</v>
      </c>
      <c r="G82" s="6">
        <v>23</v>
      </c>
      <c r="H82" s="6">
        <v>6</v>
      </c>
      <c r="I82" s="22">
        <f t="shared" si="10"/>
        <v>78</v>
      </c>
      <c r="J82" s="22">
        <f t="shared" si="11"/>
        <v>14</v>
      </c>
      <c r="K82" s="22">
        <f t="shared" si="12"/>
        <v>64</v>
      </c>
      <c r="L82" s="22">
        <f t="shared" si="13"/>
        <v>190</v>
      </c>
      <c r="M82" s="24">
        <f t="shared" si="14"/>
        <v>0.33684210526315789</v>
      </c>
    </row>
    <row r="83" spans="1:13" ht="34.5" customHeight="1" x14ac:dyDescent="0.25">
      <c r="A83" s="6" t="s">
        <v>298</v>
      </c>
      <c r="B83" s="7" t="s">
        <v>579</v>
      </c>
      <c r="C83" s="7" t="s">
        <v>580</v>
      </c>
      <c r="D83" s="6">
        <v>4</v>
      </c>
      <c r="E83" s="6" t="s">
        <v>465</v>
      </c>
      <c r="F83" s="6">
        <v>-165</v>
      </c>
      <c r="G83" s="6">
        <v>32</v>
      </c>
      <c r="H83" s="6">
        <v>0</v>
      </c>
      <c r="I83" s="22">
        <f t="shared" si="10"/>
        <v>110</v>
      </c>
      <c r="J83" s="22">
        <f t="shared" si="11"/>
        <v>14</v>
      </c>
      <c r="K83" s="22">
        <f t="shared" si="12"/>
        <v>96</v>
      </c>
      <c r="L83" s="22">
        <f t="shared" si="13"/>
        <v>190</v>
      </c>
      <c r="M83" s="24">
        <f t="shared" si="14"/>
        <v>0.50526315789473686</v>
      </c>
    </row>
    <row r="84" spans="1:13" ht="34.5" customHeight="1" x14ac:dyDescent="0.25">
      <c r="A84" s="6" t="s">
        <v>298</v>
      </c>
      <c r="B84" s="7" t="s">
        <v>579</v>
      </c>
      <c r="C84" s="7" t="s">
        <v>580</v>
      </c>
      <c r="D84" s="6">
        <v>5</v>
      </c>
      <c r="E84" s="6" t="s">
        <v>466</v>
      </c>
      <c r="F84" s="6">
        <v>-150</v>
      </c>
      <c r="G84" s="6">
        <v>20</v>
      </c>
      <c r="H84" s="6">
        <v>2</v>
      </c>
      <c r="I84" s="22">
        <f t="shared" si="10"/>
        <v>130</v>
      </c>
      <c r="J84" s="22">
        <f t="shared" si="11"/>
        <v>16</v>
      </c>
      <c r="K84" s="22">
        <f t="shared" si="12"/>
        <v>114</v>
      </c>
      <c r="L84" s="22">
        <f t="shared" si="13"/>
        <v>190</v>
      </c>
      <c r="M84" s="24">
        <f t="shared" si="14"/>
        <v>0.6</v>
      </c>
    </row>
    <row r="85" spans="1:13" ht="34.5" customHeight="1" x14ac:dyDescent="0.25">
      <c r="A85" s="6" t="s">
        <v>298</v>
      </c>
      <c r="B85" s="7" t="s">
        <v>579</v>
      </c>
      <c r="C85" s="7" t="s">
        <v>580</v>
      </c>
      <c r="D85" s="6">
        <v>6</v>
      </c>
      <c r="E85" s="6" t="s">
        <v>467</v>
      </c>
      <c r="F85" s="6">
        <v>-135</v>
      </c>
      <c r="G85" s="6">
        <v>15</v>
      </c>
      <c r="H85" s="6">
        <v>4</v>
      </c>
      <c r="I85" s="22">
        <f t="shared" si="10"/>
        <v>145</v>
      </c>
      <c r="J85" s="22">
        <f t="shared" si="11"/>
        <v>20</v>
      </c>
      <c r="K85" s="22">
        <f t="shared" si="12"/>
        <v>125</v>
      </c>
      <c r="L85" s="22">
        <f t="shared" si="13"/>
        <v>190</v>
      </c>
      <c r="M85" s="24">
        <f t="shared" si="14"/>
        <v>0.65789473684210531</v>
      </c>
    </row>
    <row r="86" spans="1:13" ht="34.5" customHeight="1" x14ac:dyDescent="0.25">
      <c r="A86" s="6" t="s">
        <v>298</v>
      </c>
      <c r="B86" s="7" t="s">
        <v>579</v>
      </c>
      <c r="C86" s="7" t="s">
        <v>580</v>
      </c>
      <c r="D86" s="6">
        <v>7</v>
      </c>
      <c r="E86" s="6" t="s">
        <v>212</v>
      </c>
      <c r="F86" s="6">
        <v>-120</v>
      </c>
      <c r="G86" s="6">
        <v>10</v>
      </c>
      <c r="H86" s="6">
        <v>8</v>
      </c>
      <c r="I86" s="22">
        <f t="shared" si="10"/>
        <v>155</v>
      </c>
      <c r="J86" s="22">
        <f t="shared" si="11"/>
        <v>28</v>
      </c>
      <c r="K86" s="22">
        <f t="shared" si="12"/>
        <v>127</v>
      </c>
      <c r="L86" s="22">
        <f t="shared" si="13"/>
        <v>190</v>
      </c>
      <c r="M86" s="24">
        <f t="shared" si="14"/>
        <v>0.66842105263157892</v>
      </c>
    </row>
    <row r="87" spans="1:13" ht="34.5" customHeight="1" x14ac:dyDescent="0.25">
      <c r="A87" s="6" t="s">
        <v>298</v>
      </c>
      <c r="B87" s="7" t="s">
        <v>579</v>
      </c>
      <c r="C87" s="7" t="s">
        <v>580</v>
      </c>
      <c r="D87" s="6">
        <v>8</v>
      </c>
      <c r="E87" s="6" t="s">
        <v>226</v>
      </c>
      <c r="F87" s="6">
        <v>-105</v>
      </c>
      <c r="G87" s="6">
        <v>7</v>
      </c>
      <c r="H87" s="6">
        <v>13</v>
      </c>
      <c r="I87" s="22">
        <f t="shared" si="10"/>
        <v>162</v>
      </c>
      <c r="J87" s="22">
        <f t="shared" si="11"/>
        <v>41</v>
      </c>
      <c r="K87" s="22">
        <f t="shared" si="12"/>
        <v>121</v>
      </c>
      <c r="L87" s="22">
        <f t="shared" si="13"/>
        <v>190</v>
      </c>
      <c r="M87" s="24">
        <f t="shared" si="14"/>
        <v>0.63684210526315788</v>
      </c>
    </row>
    <row r="88" spans="1:13" ht="34.5" customHeight="1" x14ac:dyDescent="0.25">
      <c r="A88" s="6" t="s">
        <v>298</v>
      </c>
      <c r="B88" s="7" t="s">
        <v>579</v>
      </c>
      <c r="C88" s="7" t="s">
        <v>580</v>
      </c>
      <c r="D88" s="6">
        <v>9</v>
      </c>
      <c r="E88" s="6" t="s">
        <v>264</v>
      </c>
      <c r="F88" s="6">
        <v>-90</v>
      </c>
      <c r="G88" s="6">
        <v>13</v>
      </c>
      <c r="H88" s="6">
        <v>18</v>
      </c>
      <c r="I88" s="22">
        <f t="shared" si="10"/>
        <v>175</v>
      </c>
      <c r="J88" s="22">
        <f t="shared" si="11"/>
        <v>59</v>
      </c>
      <c r="K88" s="22">
        <f t="shared" si="12"/>
        <v>116</v>
      </c>
      <c r="L88" s="22">
        <f t="shared" si="13"/>
        <v>190</v>
      </c>
      <c r="M88" s="24">
        <f t="shared" si="14"/>
        <v>0.61052631578947369</v>
      </c>
    </row>
    <row r="89" spans="1:13" ht="34.5" customHeight="1" x14ac:dyDescent="0.25">
      <c r="A89" s="6" t="s">
        <v>298</v>
      </c>
      <c r="B89" s="7" t="s">
        <v>579</v>
      </c>
      <c r="C89" s="7" t="s">
        <v>580</v>
      </c>
      <c r="D89" s="6">
        <v>10</v>
      </c>
      <c r="E89" s="6" t="s">
        <v>191</v>
      </c>
      <c r="F89" s="6">
        <v>-75</v>
      </c>
      <c r="G89" s="6">
        <v>7</v>
      </c>
      <c r="H89" s="6">
        <v>25</v>
      </c>
      <c r="I89" s="22">
        <f t="shared" si="10"/>
        <v>182</v>
      </c>
      <c r="J89" s="22">
        <f t="shared" si="11"/>
        <v>84</v>
      </c>
      <c r="K89" s="22">
        <f t="shared" si="12"/>
        <v>98</v>
      </c>
      <c r="L89" s="22">
        <f t="shared" si="13"/>
        <v>190</v>
      </c>
      <c r="M89" s="24">
        <f t="shared" si="14"/>
        <v>0.51578947368421058</v>
      </c>
    </row>
    <row r="90" spans="1:13" ht="34.5" customHeight="1" x14ac:dyDescent="0.25">
      <c r="A90" s="6" t="s">
        <v>298</v>
      </c>
      <c r="B90" s="7" t="s">
        <v>579</v>
      </c>
      <c r="C90" s="7" t="s">
        <v>580</v>
      </c>
      <c r="D90" s="6">
        <v>11</v>
      </c>
      <c r="E90" s="6" t="s">
        <v>231</v>
      </c>
      <c r="F90" s="6">
        <v>-60</v>
      </c>
      <c r="G90" s="6">
        <v>2</v>
      </c>
      <c r="H90" s="6">
        <v>17</v>
      </c>
      <c r="I90" s="22">
        <f t="shared" si="10"/>
        <v>184</v>
      </c>
      <c r="J90" s="22">
        <f t="shared" si="11"/>
        <v>101</v>
      </c>
      <c r="K90" s="22">
        <f t="shared" si="12"/>
        <v>83</v>
      </c>
      <c r="L90" s="22">
        <f t="shared" si="13"/>
        <v>190</v>
      </c>
      <c r="M90" s="24">
        <f t="shared" si="14"/>
        <v>0.43684210526315792</v>
      </c>
    </row>
    <row r="91" spans="1:13" ht="34.5" customHeight="1" x14ac:dyDescent="0.25">
      <c r="A91" s="6" t="s">
        <v>298</v>
      </c>
      <c r="B91" s="7" t="s">
        <v>579</v>
      </c>
      <c r="C91" s="7" t="s">
        <v>580</v>
      </c>
      <c r="D91" s="6">
        <v>12</v>
      </c>
      <c r="E91" s="6" t="s">
        <v>239</v>
      </c>
      <c r="F91" s="6">
        <v>-45</v>
      </c>
      <c r="G91" s="6">
        <v>1</v>
      </c>
      <c r="H91" s="6">
        <v>15</v>
      </c>
      <c r="I91" s="22">
        <f t="shared" si="10"/>
        <v>185</v>
      </c>
      <c r="J91" s="22">
        <f t="shared" si="11"/>
        <v>116</v>
      </c>
      <c r="K91" s="22">
        <f t="shared" si="12"/>
        <v>69</v>
      </c>
      <c r="L91" s="22">
        <f t="shared" si="13"/>
        <v>190</v>
      </c>
      <c r="M91" s="24">
        <f t="shared" si="14"/>
        <v>0.36315789473684212</v>
      </c>
    </row>
    <row r="92" spans="1:13" ht="34.5" customHeight="1" x14ac:dyDescent="0.25">
      <c r="A92" s="6" t="s">
        <v>298</v>
      </c>
      <c r="B92" s="7" t="s">
        <v>579</v>
      </c>
      <c r="C92" s="7" t="s">
        <v>580</v>
      </c>
      <c r="D92" s="6">
        <v>13</v>
      </c>
      <c r="E92" s="6" t="s">
        <v>387</v>
      </c>
      <c r="F92" s="6">
        <v>-30</v>
      </c>
      <c r="G92" s="6">
        <v>3</v>
      </c>
      <c r="H92" s="6">
        <v>18</v>
      </c>
      <c r="I92" s="22">
        <f t="shared" si="10"/>
        <v>188</v>
      </c>
      <c r="J92" s="22">
        <f t="shared" si="11"/>
        <v>134</v>
      </c>
      <c r="K92" s="22">
        <f t="shared" si="12"/>
        <v>54</v>
      </c>
      <c r="L92" s="22">
        <f t="shared" si="13"/>
        <v>190</v>
      </c>
      <c r="M92" s="24">
        <f t="shared" si="14"/>
        <v>0.28421052631578947</v>
      </c>
    </row>
    <row r="93" spans="1:13" ht="34.5" customHeight="1" x14ac:dyDescent="0.25">
      <c r="A93" s="6" t="s">
        <v>298</v>
      </c>
      <c r="B93" s="7" t="s">
        <v>579</v>
      </c>
      <c r="C93" s="7" t="s">
        <v>580</v>
      </c>
      <c r="D93" s="6">
        <v>14</v>
      </c>
      <c r="E93" s="6" t="s">
        <v>468</v>
      </c>
      <c r="F93" s="6">
        <v>-15</v>
      </c>
      <c r="G93" s="6">
        <v>1</v>
      </c>
      <c r="H93" s="6">
        <v>21</v>
      </c>
      <c r="I93" s="22">
        <f t="shared" si="10"/>
        <v>189</v>
      </c>
      <c r="J93" s="22">
        <f t="shared" si="11"/>
        <v>155</v>
      </c>
      <c r="K93" s="22">
        <f t="shared" si="12"/>
        <v>34</v>
      </c>
      <c r="L93" s="22">
        <f t="shared" si="13"/>
        <v>190</v>
      </c>
      <c r="M93" s="24">
        <f t="shared" si="14"/>
        <v>0.17894736842105263</v>
      </c>
    </row>
    <row r="94" spans="1:13" ht="34.5" customHeight="1" x14ac:dyDescent="0.25">
      <c r="A94" s="6" t="s">
        <v>298</v>
      </c>
      <c r="B94" s="7" t="s">
        <v>579</v>
      </c>
      <c r="C94" s="7" t="s">
        <v>580</v>
      </c>
      <c r="D94" s="6">
        <v>15</v>
      </c>
      <c r="E94" s="6" t="s">
        <v>469</v>
      </c>
      <c r="F94" s="6">
        <v>0</v>
      </c>
      <c r="G94" s="6">
        <v>1</v>
      </c>
      <c r="H94" s="6">
        <v>11</v>
      </c>
      <c r="I94" s="22">
        <f t="shared" si="10"/>
        <v>190</v>
      </c>
      <c r="J94" s="22">
        <f t="shared" si="11"/>
        <v>166</v>
      </c>
      <c r="K94" s="22">
        <f t="shared" si="12"/>
        <v>24</v>
      </c>
      <c r="L94" s="22">
        <f t="shared" si="13"/>
        <v>190</v>
      </c>
      <c r="M94" s="24">
        <f t="shared" si="14"/>
        <v>0.12631578947368421</v>
      </c>
    </row>
  </sheetData>
  <autoFilter ref="A1:M94"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6"/>
  <sheetViews>
    <sheetView zoomScaleNormal="100" workbookViewId="0">
      <pane ySplit="1" topLeftCell="A2" activePane="bottomLeft" state="frozen"/>
      <selection pane="bottomLeft"/>
    </sheetView>
  </sheetViews>
  <sheetFormatPr defaultColWidth="8.7109375" defaultRowHeight="15" x14ac:dyDescent="0.25"/>
  <cols>
    <col min="1" max="1" width="5" customWidth="1"/>
    <col min="2" max="2" width="11" customWidth="1"/>
    <col min="3" max="3" width="44" customWidth="1"/>
    <col min="4" max="4" width="52" customWidth="1"/>
    <col min="5" max="5" width="96" customWidth="1"/>
    <col min="6" max="7" width="80" customWidth="1"/>
  </cols>
  <sheetData>
    <row r="1" spans="1:7" ht="30" customHeight="1" x14ac:dyDescent="0.25">
      <c r="A1" s="5" t="s">
        <v>581</v>
      </c>
      <c r="B1" s="5" t="s">
        <v>582</v>
      </c>
      <c r="C1" s="5" t="s">
        <v>583</v>
      </c>
      <c r="D1" s="5" t="s">
        <v>584</v>
      </c>
      <c r="E1" s="5" t="s">
        <v>585</v>
      </c>
      <c r="F1" s="5" t="s">
        <v>586</v>
      </c>
      <c r="G1" s="5" t="s">
        <v>587</v>
      </c>
    </row>
    <row r="2" spans="1:7" ht="91.5" customHeight="1" x14ac:dyDescent="0.25">
      <c r="A2" s="6">
        <v>1</v>
      </c>
      <c r="B2" s="9" t="s">
        <v>210</v>
      </c>
      <c r="C2" s="7" t="s">
        <v>588</v>
      </c>
      <c r="D2" s="7" t="s">
        <v>589</v>
      </c>
      <c r="E2" s="7" t="s">
        <v>590</v>
      </c>
      <c r="F2" s="7" t="s">
        <v>591</v>
      </c>
      <c r="G2" s="7" t="s">
        <v>592</v>
      </c>
    </row>
    <row r="3" spans="1:7" ht="91.5" customHeight="1" x14ac:dyDescent="0.25">
      <c r="A3" s="6">
        <v>2</v>
      </c>
      <c r="B3" s="9" t="s">
        <v>210</v>
      </c>
      <c r="C3" s="7" t="s">
        <v>593</v>
      </c>
      <c r="D3" s="7" t="s">
        <v>594</v>
      </c>
      <c r="E3" s="7" t="s">
        <v>595</v>
      </c>
      <c r="F3" s="7" t="s">
        <v>596</v>
      </c>
      <c r="G3" s="7" t="s">
        <v>597</v>
      </c>
    </row>
    <row r="4" spans="1:7" ht="91.5" customHeight="1" x14ac:dyDescent="0.25">
      <c r="A4" s="6">
        <v>3</v>
      </c>
      <c r="B4" s="9" t="s">
        <v>210</v>
      </c>
      <c r="C4" s="7" t="s">
        <v>598</v>
      </c>
      <c r="D4" s="7" t="s">
        <v>599</v>
      </c>
      <c r="E4" s="7" t="s">
        <v>600</v>
      </c>
      <c r="F4" s="7" t="s">
        <v>601</v>
      </c>
      <c r="G4" s="7" t="s">
        <v>602</v>
      </c>
    </row>
    <row r="5" spans="1:7" ht="91.5" customHeight="1" x14ac:dyDescent="0.25">
      <c r="A5" s="6">
        <v>4</v>
      </c>
      <c r="B5" s="10" t="s">
        <v>603</v>
      </c>
      <c r="C5" s="7" t="s">
        <v>604</v>
      </c>
      <c r="D5" s="7" t="s">
        <v>605</v>
      </c>
      <c r="E5" s="7" t="s">
        <v>606</v>
      </c>
      <c r="F5" s="7" t="s">
        <v>607</v>
      </c>
      <c r="G5" s="7" t="s">
        <v>608</v>
      </c>
    </row>
    <row r="6" spans="1:7" ht="91.5" customHeight="1" x14ac:dyDescent="0.25">
      <c r="A6" s="6">
        <v>5</v>
      </c>
      <c r="B6" s="10" t="s">
        <v>603</v>
      </c>
      <c r="C6" s="7" t="s">
        <v>609</v>
      </c>
      <c r="D6" s="7" t="s">
        <v>610</v>
      </c>
      <c r="E6" s="7" t="s">
        <v>611</v>
      </c>
      <c r="F6" s="7" t="s">
        <v>612</v>
      </c>
      <c r="G6" s="7" t="s">
        <v>613</v>
      </c>
    </row>
    <row r="7" spans="1:7" ht="91.5" customHeight="1" x14ac:dyDescent="0.25">
      <c r="A7" s="6">
        <v>6</v>
      </c>
      <c r="B7" s="9" t="s">
        <v>210</v>
      </c>
      <c r="C7" s="7" t="s">
        <v>614</v>
      </c>
      <c r="D7" s="7" t="s">
        <v>615</v>
      </c>
      <c r="E7" s="7" t="s">
        <v>616</v>
      </c>
      <c r="F7" s="7" t="s">
        <v>617</v>
      </c>
      <c r="G7" s="7" t="s">
        <v>618</v>
      </c>
    </row>
    <row r="8" spans="1:7" ht="91.5" customHeight="1" x14ac:dyDescent="0.25">
      <c r="A8" s="6">
        <v>7</v>
      </c>
      <c r="B8" s="10" t="s">
        <v>603</v>
      </c>
      <c r="C8" s="7" t="s">
        <v>619</v>
      </c>
      <c r="D8" s="7" t="s">
        <v>620</v>
      </c>
      <c r="E8" s="7" t="s">
        <v>621</v>
      </c>
      <c r="F8" s="7" t="s">
        <v>622</v>
      </c>
      <c r="G8" s="7" t="s">
        <v>623</v>
      </c>
    </row>
    <row r="9" spans="1:7" ht="91.5" customHeight="1" x14ac:dyDescent="0.25">
      <c r="A9" s="6">
        <v>8</v>
      </c>
      <c r="B9" s="10" t="s">
        <v>603</v>
      </c>
      <c r="C9" s="7" t="s">
        <v>624</v>
      </c>
      <c r="D9" s="7" t="s">
        <v>625</v>
      </c>
      <c r="E9" s="7" t="s">
        <v>626</v>
      </c>
      <c r="F9" s="7" t="s">
        <v>627</v>
      </c>
      <c r="G9" s="7" t="s">
        <v>628</v>
      </c>
    </row>
    <row r="10" spans="1:7" ht="91.5" customHeight="1" x14ac:dyDescent="0.25">
      <c r="A10" s="6">
        <v>9</v>
      </c>
      <c r="B10" s="8" t="s">
        <v>295</v>
      </c>
      <c r="C10" s="7" t="s">
        <v>629</v>
      </c>
      <c r="D10" s="7" t="s">
        <v>630</v>
      </c>
      <c r="E10" s="7" t="s">
        <v>631</v>
      </c>
      <c r="F10" s="7" t="s">
        <v>632</v>
      </c>
      <c r="G10" s="7" t="s">
        <v>633</v>
      </c>
    </row>
    <row r="11" spans="1:7" ht="91.5" customHeight="1" x14ac:dyDescent="0.25">
      <c r="A11" s="6">
        <v>10</v>
      </c>
      <c r="B11" s="8" t="s">
        <v>295</v>
      </c>
      <c r="C11" s="7" t="s">
        <v>634</v>
      </c>
      <c r="D11" s="7" t="s">
        <v>635</v>
      </c>
      <c r="E11" s="7" t="s">
        <v>636</v>
      </c>
      <c r="F11" s="7" t="s">
        <v>637</v>
      </c>
      <c r="G11" s="7" t="s">
        <v>638</v>
      </c>
    </row>
    <row r="12" spans="1:7" ht="91.5" customHeight="1" x14ac:dyDescent="0.25">
      <c r="A12" s="6">
        <v>11</v>
      </c>
      <c r="B12" s="10" t="s">
        <v>603</v>
      </c>
      <c r="C12" s="7" t="s">
        <v>639</v>
      </c>
      <c r="D12" s="7" t="s">
        <v>640</v>
      </c>
      <c r="E12" s="7" t="s">
        <v>641</v>
      </c>
      <c r="F12" s="7" t="s">
        <v>642</v>
      </c>
      <c r="G12" s="7" t="s">
        <v>643</v>
      </c>
    </row>
    <row r="13" spans="1:7" ht="91.5" customHeight="1" x14ac:dyDescent="0.25">
      <c r="A13" s="6">
        <v>12</v>
      </c>
      <c r="B13" s="8" t="s">
        <v>295</v>
      </c>
      <c r="C13" s="7" t="s">
        <v>644</v>
      </c>
      <c r="D13" s="7" t="s">
        <v>124</v>
      </c>
      <c r="E13" s="7" t="s">
        <v>645</v>
      </c>
      <c r="F13" s="7" t="s">
        <v>646</v>
      </c>
      <c r="G13" s="7" t="s">
        <v>647</v>
      </c>
    </row>
    <row r="14" spans="1:7" ht="91.5" customHeight="1" x14ac:dyDescent="0.25">
      <c r="A14" s="6">
        <v>13</v>
      </c>
      <c r="B14" s="8" t="s">
        <v>295</v>
      </c>
      <c r="C14" s="7" t="s">
        <v>648</v>
      </c>
      <c r="D14" s="7" t="s">
        <v>649</v>
      </c>
      <c r="E14" s="7" t="s">
        <v>650</v>
      </c>
      <c r="F14" s="7" t="s">
        <v>651</v>
      </c>
      <c r="G14" s="7" t="s">
        <v>652</v>
      </c>
    </row>
    <row r="15" spans="1:7" ht="91.5" customHeight="1" x14ac:dyDescent="0.25">
      <c r="A15" s="6">
        <v>14</v>
      </c>
      <c r="B15" s="8" t="s">
        <v>295</v>
      </c>
      <c r="C15" s="7" t="s">
        <v>653</v>
      </c>
      <c r="D15" s="7" t="s">
        <v>91</v>
      </c>
      <c r="E15" s="7" t="s">
        <v>654</v>
      </c>
      <c r="F15" s="7" t="s">
        <v>655</v>
      </c>
      <c r="G15" s="7" t="s">
        <v>656</v>
      </c>
    </row>
    <row r="16" spans="1:7" ht="91.5" customHeight="1" x14ac:dyDescent="0.25">
      <c r="A16" s="6">
        <v>15</v>
      </c>
      <c r="B16" s="10" t="s">
        <v>603</v>
      </c>
      <c r="C16" s="7" t="s">
        <v>657</v>
      </c>
      <c r="D16" s="7" t="s">
        <v>658</v>
      </c>
      <c r="E16" s="7" t="s">
        <v>659</v>
      </c>
      <c r="F16" s="7" t="s">
        <v>660</v>
      </c>
      <c r="G16" s="7" t="s">
        <v>661</v>
      </c>
    </row>
  </sheetData>
  <autoFilter ref="A1:G16" xr:uid="{00000000-0009-0000-0000-00000A000000}"/>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Read_Me</vt:lpstr>
      <vt:lpstr>File_Manifest</vt:lpstr>
      <vt:lpstr>Survey_Inventory</vt:lpstr>
      <vt:lpstr>Coverage</vt:lpstr>
      <vt:lpstr>Survey_Counts</vt:lpstr>
      <vt:lpstr>Pct_Available_Matrix</vt:lpstr>
      <vt:lpstr>Published_Tables</vt:lpstr>
      <vt:lpstr>Reference_Tables_Pct</vt:lpstr>
      <vt:lpstr>Table_Provenance</vt:lpstr>
      <vt:lpstr>Reconstructed_Surveys</vt:lpstr>
      <vt:lpstr>Data_Issues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George, Matthew (DFW)</cp:lastModifiedBy>
  <cp:revision>0</cp:revision>
  <dcterms:created xsi:type="dcterms:W3CDTF">2026-07-09T02:05:26Z</dcterms:created>
  <dcterms:modified xsi:type="dcterms:W3CDTF">2026-07-09T05:04:39Z</dcterms:modified>
  <dc:language>en-US</dc:language>
</cp:coreProperties>
</file>