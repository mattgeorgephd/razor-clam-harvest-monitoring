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umebwb\Desktop\2021 Harvest Spreadsheets\Ingress - Egress\"/>
    </mc:Choice>
  </mc:AlternateContent>
  <xr:revisionPtr revIDLastSave="0" documentId="13_ncr:1_{75DD7452-A0CA-4988-AD91-83F6F2991F3A}" xr6:coauthVersionLast="47" xr6:coauthVersionMax="47" xr10:uidLastSave="{00000000-0000-0000-0000-000000000000}"/>
  <bookViews>
    <workbookView xWindow="-28920" yWindow="-6150" windowWidth="29040" windowHeight="15840" xr2:uid="{00000000-000D-0000-FFFF-FFFF00000000}"/>
  </bookViews>
  <sheets>
    <sheet name="Calculation Sheet" sheetId="1" r:id="rId1"/>
    <sheet name="Field Sheet" sheetId="6" r:id="rId2"/>
    <sheet name="Chart1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J14" i="1" l="1"/>
  <c r="J15" i="1" s="1"/>
  <c r="J16" i="1" s="1"/>
  <c r="J17" i="1" s="1"/>
  <c r="J18" i="1" s="1"/>
  <c r="J19" i="1" l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K14" i="1" l="1"/>
  <c r="H15" i="1"/>
  <c r="H16" i="1" l="1"/>
  <c r="K15" i="1"/>
  <c r="K16" i="1" l="1"/>
  <c r="H17" i="1"/>
  <c r="H18" i="1" l="1"/>
  <c r="K17" i="1"/>
  <c r="H19" i="1" l="1"/>
  <c r="K18" i="1"/>
  <c r="K19" i="1" l="1"/>
  <c r="H20" i="1"/>
  <c r="K20" i="1" l="1"/>
  <c r="H21" i="1"/>
  <c r="K21" i="1" l="1"/>
  <c r="H22" i="1"/>
  <c r="K22" i="1" l="1"/>
  <c r="H23" i="1"/>
  <c r="K23" i="1" l="1"/>
  <c r="H24" i="1"/>
  <c r="K24" i="1" l="1"/>
  <c r="H25" i="1"/>
  <c r="K25" i="1" l="1"/>
  <c r="H26" i="1"/>
  <c r="K26" i="1" l="1"/>
  <c r="H27" i="1"/>
  <c r="K27" i="1" l="1"/>
  <c r="H28" i="1"/>
  <c r="K28" i="1" l="1"/>
  <c r="H29" i="1"/>
  <c r="K29" i="1" l="1"/>
  <c r="H30" i="1"/>
  <c r="L29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K30" i="1"/>
  <c r="L30" i="1" l="1"/>
  <c r="G32" i="1"/>
</calcChain>
</file>

<file path=xl/sharedStrings.xml><?xml version="1.0" encoding="utf-8"?>
<sst xmlns="http://schemas.openxmlformats.org/spreadsheetml/2006/main" count="239" uniqueCount="53">
  <si>
    <t>Time Period</t>
  </si>
  <si>
    <t>Prior to Start</t>
  </si>
  <si>
    <t>Cars on</t>
  </si>
  <si>
    <t>#</t>
  </si>
  <si>
    <t>Accum.</t>
  </si>
  <si>
    <t>Cars Off</t>
  </si>
  <si>
    <t>% Available</t>
  </si>
  <si>
    <t>for Beach count</t>
  </si>
  <si>
    <t>Diff.</t>
  </si>
  <si>
    <t>Ingress - Egress Check</t>
  </si>
  <si>
    <t>Weather, Wind and Surf Conditions:</t>
  </si>
  <si>
    <t>-</t>
  </si>
  <si>
    <t>Count of cars left in area:</t>
  </si>
  <si>
    <t># of cars discrepency:</t>
  </si>
  <si>
    <t>Actual Time</t>
  </si>
  <si>
    <t>3:00</t>
  </si>
  <si>
    <t>2:45</t>
  </si>
  <si>
    <t>2:30</t>
  </si>
  <si>
    <t>2:15</t>
  </si>
  <si>
    <t>2:00</t>
  </si>
  <si>
    <t>1:45</t>
  </si>
  <si>
    <t>1:30</t>
  </si>
  <si>
    <t>1:15</t>
  </si>
  <si>
    <t>1:00</t>
  </si>
  <si>
    <t>0:45</t>
  </si>
  <si>
    <t>0:30</t>
  </si>
  <si>
    <t>0:15</t>
  </si>
  <si>
    <t>0:00</t>
  </si>
  <si>
    <t>to Start</t>
  </si>
  <si>
    <t>Period Prior</t>
  </si>
  <si>
    <t xml:space="preserve">Sampler: </t>
  </si>
  <si>
    <t>Copalis Beach</t>
  </si>
  <si>
    <t>Ocean City North</t>
  </si>
  <si>
    <t>Tide: 0.0 @ 8:07 AM</t>
  </si>
  <si>
    <t>Sunrise: 6:51 AM</t>
  </si>
  <si>
    <t>0807</t>
  </si>
  <si>
    <t>0752</t>
  </si>
  <si>
    <t>0737</t>
  </si>
  <si>
    <t>0722</t>
  </si>
  <si>
    <t>0707</t>
  </si>
  <si>
    <t>0652</t>
  </si>
  <si>
    <t>0637</t>
  </si>
  <si>
    <t>0622</t>
  </si>
  <si>
    <t>0607</t>
  </si>
  <si>
    <t>0552</t>
  </si>
  <si>
    <t>0537</t>
  </si>
  <si>
    <t>0522</t>
  </si>
  <si>
    <t>0507</t>
  </si>
  <si>
    <t>0822</t>
  </si>
  <si>
    <t>0837</t>
  </si>
  <si>
    <t>0852</t>
  </si>
  <si>
    <t>0907</t>
  </si>
  <si>
    <t>Blumenthal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</si>
</sst>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mmm\ dd\,\ yyyy"/>
  </numFmts>
  <fonts count="10" x14ac:knownFonts="1">
    <font>
      <sz val="10"/>
      <name val="Arial"/>
    </font>
    <font>
      <sz val="14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darkUp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3" fillId="0" borderId="12" xfId="0" applyFont="1" applyBorder="1"/>
    <xf numFmtId="0" fontId="3" fillId="0" borderId="10" xfId="0" applyFont="1" applyBorder="1"/>
    <xf numFmtId="0" fontId="3" fillId="0" borderId="3" xfId="0" applyFont="1" applyBorder="1"/>
    <xf numFmtId="0" fontId="3" fillId="0" borderId="6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1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11" xfId="0" applyFont="1" applyBorder="1"/>
    <xf numFmtId="0" fontId="6" fillId="0" borderId="4" xfId="0" applyFont="1" applyBorder="1"/>
    <xf numFmtId="0" fontId="6" fillId="0" borderId="4" xfId="0" quotePrefix="1" applyFont="1" applyBorder="1"/>
    <xf numFmtId="0" fontId="3" fillId="0" borderId="4" xfId="0" applyFont="1" applyBorder="1"/>
    <xf numFmtId="10" fontId="3" fillId="2" borderId="4" xfId="1" applyNumberFormat="1" applyFont="1" applyFill="1" applyBorder="1" applyAlignment="1">
      <alignment horizontal="center"/>
    </xf>
    <xf numFmtId="49" fontId="3" fillId="0" borderId="2" xfId="0" applyNumberFormat="1" applyFont="1" applyBorder="1"/>
    <xf numFmtId="49" fontId="3" fillId="0" borderId="9" xfId="0" applyNumberFormat="1" applyFont="1" applyBorder="1"/>
    <xf numFmtId="49" fontId="4" fillId="2" borderId="2" xfId="0" applyNumberFormat="1" applyFont="1" applyFill="1" applyBorder="1" applyAlignment="1">
      <alignment horizontal="right"/>
    </xf>
    <xf numFmtId="49" fontId="4" fillId="2" borderId="9" xfId="0" applyNumberFormat="1" applyFont="1" applyFill="1" applyBorder="1"/>
    <xf numFmtId="49" fontId="4" fillId="2" borderId="1" xfId="0" applyNumberFormat="1" applyFont="1" applyFill="1" applyBorder="1"/>
    <xf numFmtId="0" fontId="3" fillId="0" borderId="1" xfId="0" applyFont="1" applyBorder="1"/>
    <xf numFmtId="0" fontId="7" fillId="0" borderId="0" xfId="0" applyFont="1"/>
    <xf numFmtId="0" fontId="3" fillId="0" borderId="0" xfId="0" applyFont="1"/>
    <xf numFmtId="0" fontId="7" fillId="0" borderId="0" xfId="0" applyFont="1" applyAlignment="1"/>
    <xf numFmtId="0" fontId="3" fillId="0" borderId="2" xfId="0" applyFont="1" applyBorder="1" applyAlignment="1">
      <alignment horizontal="right"/>
    </xf>
    <xf numFmtId="49" fontId="4" fillId="2" borderId="9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49" fontId="3" fillId="0" borderId="4" xfId="0" applyNumberFormat="1" applyFont="1" applyBorder="1"/>
    <xf numFmtId="0" fontId="3" fillId="3" borderId="4" xfId="0" applyFont="1" applyFill="1" applyBorder="1"/>
    <xf numFmtId="0" fontId="7" fillId="0" borderId="4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'Calculation Sheet'!$D$12:$D$14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Sheet'!$D$17:$D$30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B-4FD6-B93D-47A52EC5CAE7}"/>
            </c:ext>
          </c:extLst>
        </c:ser>
        <c:ser>
          <c:idx val="1"/>
          <c:order val="1"/>
          <c:tx>
            <c:strRef>
              <c:f>'Calculation Sheet'!$E$12:$E$14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Sheet'!$E$17:$E$30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B-4FD6-B93D-47A52EC5CAE7}"/>
            </c:ext>
          </c:extLst>
        </c:ser>
        <c:ser>
          <c:idx val="2"/>
          <c:order val="2"/>
          <c:tx>
            <c:strRef>
              <c:f>'Calculation Sheet'!$F$12:$F$14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Sheet'!$F$17:$F$30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B-4FD6-B93D-47A52EC5CAE7}"/>
            </c:ext>
          </c:extLst>
        </c:ser>
        <c:ser>
          <c:idx val="3"/>
          <c:order val="3"/>
          <c:tx>
            <c:strRef>
              <c:f>'Calculation Sheet'!$G$12:$G$14</c:f>
              <c:strCache>
                <c:ptCount val="3"/>
                <c:pt idx="0">
                  <c:v>Cars on</c:v>
                </c:pt>
                <c:pt idx="1">
                  <c:v>#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Sheet'!$G$17:$G$30</c:f>
              <c:numCache>
                <c:formatCode>General</c:formatCode>
                <c:ptCount val="14"/>
                <c:pt idx="0">
                  <c:v>15</c:v>
                </c:pt>
                <c:pt idx="1">
                  <c:v>10</c:v>
                </c:pt>
                <c:pt idx="2">
                  <c:v>26</c:v>
                </c:pt>
                <c:pt idx="3">
                  <c:v>51</c:v>
                </c:pt>
                <c:pt idx="4">
                  <c:v>59</c:v>
                </c:pt>
                <c:pt idx="5">
                  <c:v>74</c:v>
                </c:pt>
                <c:pt idx="6">
                  <c:v>64</c:v>
                </c:pt>
                <c:pt idx="7">
                  <c:v>47</c:v>
                </c:pt>
                <c:pt idx="8">
                  <c:v>18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AB-4FD6-B93D-47A52EC5CAE7}"/>
            </c:ext>
          </c:extLst>
        </c:ser>
        <c:ser>
          <c:idx val="4"/>
          <c:order val="4"/>
          <c:tx>
            <c:strRef>
              <c:f>'Calculation Sheet'!$H$12:$H$14</c:f>
              <c:strCache>
                <c:ptCount val="3"/>
                <c:pt idx="0">
                  <c:v>Cars on</c:v>
                </c:pt>
                <c:pt idx="1">
                  <c:v>Accum.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Sheet'!$H$17:$H$30</c:f>
              <c:numCache>
                <c:formatCode>General</c:formatCode>
                <c:ptCount val="14"/>
                <c:pt idx="0">
                  <c:v>22</c:v>
                </c:pt>
                <c:pt idx="1">
                  <c:v>32</c:v>
                </c:pt>
                <c:pt idx="2">
                  <c:v>58</c:v>
                </c:pt>
                <c:pt idx="3">
                  <c:v>109</c:v>
                </c:pt>
                <c:pt idx="4">
                  <c:v>168</c:v>
                </c:pt>
                <c:pt idx="5">
                  <c:v>242</c:v>
                </c:pt>
                <c:pt idx="6">
                  <c:v>306</c:v>
                </c:pt>
                <c:pt idx="7">
                  <c:v>353</c:v>
                </c:pt>
                <c:pt idx="8">
                  <c:v>371</c:v>
                </c:pt>
                <c:pt idx="9">
                  <c:v>385</c:v>
                </c:pt>
                <c:pt idx="10">
                  <c:v>399</c:v>
                </c:pt>
                <c:pt idx="11">
                  <c:v>412</c:v>
                </c:pt>
                <c:pt idx="12">
                  <c:v>419</c:v>
                </c:pt>
                <c:pt idx="13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AB-4FD6-B93D-47A52EC5CAE7}"/>
            </c:ext>
          </c:extLst>
        </c:ser>
        <c:ser>
          <c:idx val="5"/>
          <c:order val="5"/>
          <c:tx>
            <c:strRef>
              <c:f>'Calculation Sheet'!$I$12:$I$14</c:f>
              <c:strCache>
                <c:ptCount val="3"/>
                <c:pt idx="0">
                  <c:v>Cars Off</c:v>
                </c:pt>
                <c:pt idx="1">
                  <c:v>#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Sheet'!$I$17:$I$30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17</c:v>
                </c:pt>
                <c:pt idx="7">
                  <c:v>34</c:v>
                </c:pt>
                <c:pt idx="8">
                  <c:v>37</c:v>
                </c:pt>
                <c:pt idx="9">
                  <c:v>49</c:v>
                </c:pt>
                <c:pt idx="10">
                  <c:v>47</c:v>
                </c:pt>
                <c:pt idx="11">
                  <c:v>33</c:v>
                </c:pt>
                <c:pt idx="12">
                  <c:v>54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AB-4FD6-B93D-47A52EC5CAE7}"/>
            </c:ext>
          </c:extLst>
        </c:ser>
        <c:ser>
          <c:idx val="6"/>
          <c:order val="6"/>
          <c:tx>
            <c:strRef>
              <c:f>'Calculation Sheet'!$J$12:$J$14</c:f>
              <c:strCache>
                <c:ptCount val="3"/>
                <c:pt idx="0">
                  <c:v>Cars Off</c:v>
                </c:pt>
                <c:pt idx="1">
                  <c:v>Accum.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Sheet'!$J$17:$J$30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26</c:v>
                </c:pt>
                <c:pt idx="7">
                  <c:v>60</c:v>
                </c:pt>
                <c:pt idx="8">
                  <c:v>97</c:v>
                </c:pt>
                <c:pt idx="9">
                  <c:v>146</c:v>
                </c:pt>
                <c:pt idx="10">
                  <c:v>193</c:v>
                </c:pt>
                <c:pt idx="11">
                  <c:v>226</c:v>
                </c:pt>
                <c:pt idx="12">
                  <c:v>280</c:v>
                </c:pt>
                <c:pt idx="13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AB-4FD6-B93D-47A52EC5CAE7}"/>
            </c:ext>
          </c:extLst>
        </c:ser>
        <c:ser>
          <c:idx val="7"/>
          <c:order val="7"/>
          <c:tx>
            <c:strRef>
              <c:f>'Calculation Sheet'!$K$12:$K$14</c:f>
              <c:strCache>
                <c:ptCount val="3"/>
                <c:pt idx="0">
                  <c:v>Accum.</c:v>
                </c:pt>
                <c:pt idx="1">
                  <c:v>Diff.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Sheet'!$K$17:$K$30</c:f>
              <c:numCache>
                <c:formatCode>General</c:formatCode>
                <c:ptCount val="14"/>
                <c:pt idx="0">
                  <c:v>22</c:v>
                </c:pt>
                <c:pt idx="1">
                  <c:v>31</c:v>
                </c:pt>
                <c:pt idx="2">
                  <c:v>56</c:v>
                </c:pt>
                <c:pt idx="3">
                  <c:v>107</c:v>
                </c:pt>
                <c:pt idx="4">
                  <c:v>163</c:v>
                </c:pt>
                <c:pt idx="5">
                  <c:v>233</c:v>
                </c:pt>
                <c:pt idx="6">
                  <c:v>280</c:v>
                </c:pt>
                <c:pt idx="7">
                  <c:v>293</c:v>
                </c:pt>
                <c:pt idx="8">
                  <c:v>274</c:v>
                </c:pt>
                <c:pt idx="9">
                  <c:v>239</c:v>
                </c:pt>
                <c:pt idx="10">
                  <c:v>206</c:v>
                </c:pt>
                <c:pt idx="11">
                  <c:v>186</c:v>
                </c:pt>
                <c:pt idx="12">
                  <c:v>139</c:v>
                </c:pt>
                <c:pt idx="13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AB-4FD6-B93D-47A52EC5CAE7}"/>
            </c:ext>
          </c:extLst>
        </c:ser>
        <c:ser>
          <c:idx val="8"/>
          <c:order val="8"/>
          <c:tx>
            <c:strRef>
              <c:f>'Calculation Sheet'!$L$12:$L$14</c:f>
              <c:strCache>
                <c:ptCount val="3"/>
                <c:pt idx="0">
                  <c:v>% Available</c:v>
                </c:pt>
                <c:pt idx="1">
                  <c:v>for Beach count</c:v>
                </c:pt>
                <c:pt idx="2">
                  <c:v>0.00%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0552</c:v>
                  </c:pt>
                  <c:pt idx="1">
                    <c:v>0607</c:v>
                  </c:pt>
                  <c:pt idx="2">
                    <c:v>0622</c:v>
                  </c:pt>
                  <c:pt idx="3">
                    <c:v>0637</c:v>
                  </c:pt>
                  <c:pt idx="4">
                    <c:v>0652</c:v>
                  </c:pt>
                  <c:pt idx="5">
                    <c:v>0707</c:v>
                  </c:pt>
                  <c:pt idx="6">
                    <c:v>0722</c:v>
                  </c:pt>
                  <c:pt idx="7">
                    <c:v>0737</c:v>
                  </c:pt>
                  <c:pt idx="8">
                    <c:v>0752</c:v>
                  </c:pt>
                  <c:pt idx="9">
                    <c:v>0807</c:v>
                  </c:pt>
                  <c:pt idx="10">
                    <c:v>0822</c:v>
                  </c:pt>
                  <c:pt idx="11">
                    <c:v>0837</c:v>
                  </c:pt>
                  <c:pt idx="12">
                    <c:v>0852</c:v>
                  </c:pt>
                  <c:pt idx="13">
                    <c:v>0907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0537</c:v>
                  </c:pt>
                  <c:pt idx="1">
                    <c:v>0552</c:v>
                  </c:pt>
                  <c:pt idx="2">
                    <c:v>0607</c:v>
                  </c:pt>
                  <c:pt idx="3">
                    <c:v>0622</c:v>
                  </c:pt>
                  <c:pt idx="4">
                    <c:v>0637</c:v>
                  </c:pt>
                  <c:pt idx="5">
                    <c:v>0652</c:v>
                  </c:pt>
                  <c:pt idx="6">
                    <c:v>0707</c:v>
                  </c:pt>
                  <c:pt idx="7">
                    <c:v>0722</c:v>
                  </c:pt>
                  <c:pt idx="8">
                    <c:v>0737</c:v>
                  </c:pt>
                  <c:pt idx="9">
                    <c:v>0752</c:v>
                  </c:pt>
                  <c:pt idx="10">
                    <c:v>0807</c:v>
                  </c:pt>
                  <c:pt idx="11">
                    <c:v>0822</c:v>
                  </c:pt>
                  <c:pt idx="12">
                    <c:v>0837</c:v>
                  </c:pt>
                  <c:pt idx="13">
                    <c:v>0852</c:v>
                  </c:pt>
                </c:lvl>
              </c:multiLvlStrCache>
            </c:multiLvlStrRef>
          </c:cat>
          <c:val>
            <c:numRef>
              <c:f>'Calculation Sheet'!$L$17:$L$30</c:f>
              <c:numCache>
                <c:formatCode>0.00%</c:formatCode>
                <c:ptCount val="14"/>
                <c:pt idx="0">
                  <c:v>5.1643192488262914E-2</c:v>
                </c:pt>
                <c:pt idx="1">
                  <c:v>7.2769953051643188E-2</c:v>
                </c:pt>
                <c:pt idx="2">
                  <c:v>0.13145539906103287</c:v>
                </c:pt>
                <c:pt idx="3">
                  <c:v>0.25117370892018781</c:v>
                </c:pt>
                <c:pt idx="4">
                  <c:v>0.38262910798122068</c:v>
                </c:pt>
                <c:pt idx="5">
                  <c:v>0.54694835680751175</c:v>
                </c:pt>
                <c:pt idx="6">
                  <c:v>0.65727699530516437</c:v>
                </c:pt>
                <c:pt idx="7">
                  <c:v>0.68779342723004699</c:v>
                </c:pt>
                <c:pt idx="8">
                  <c:v>0.64319248826291076</c:v>
                </c:pt>
                <c:pt idx="9">
                  <c:v>0.56103286384976525</c:v>
                </c:pt>
                <c:pt idx="10">
                  <c:v>0.48356807511737088</c:v>
                </c:pt>
                <c:pt idx="11">
                  <c:v>0.43661971830985913</c:v>
                </c:pt>
                <c:pt idx="12">
                  <c:v>0.32629107981220656</c:v>
                </c:pt>
                <c:pt idx="13">
                  <c:v>0.29342723004694837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AB-4FD6-B93D-47A52EC5C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82432"/>
        <c:axId val="43283968"/>
      </c:barChart>
      <c:catAx>
        <c:axId val="4328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283968"/>
        <c:crosses val="autoZero"/>
        <c:auto val="1"/>
        <c:lblAlgn val="ctr"/>
        <c:lblOffset val="100"/>
        <c:noMultiLvlLbl val="0"/>
      </c:catAx>
      <c:valAx>
        <c:axId val="43283968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43282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8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993077" cy="94395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tabSelected="1" topLeftCell="A4" workbookViewId="0">
      <selection activeCell="G30" sqref="G30"/>
    </sheetView>
  </sheetViews>
  <sheetFormatPr defaultRowHeight="12.5" x14ac:dyDescent="0.25"/>
  <cols>
    <col min="1" max="1" width="7.1796875" customWidth="1"/>
    <col min="2" max="2" width="1.54296875" customWidth="1"/>
    <col min="3" max="3" width="7.1796875" customWidth="1"/>
    <col min="4" max="4" width="6.26953125" customWidth="1"/>
    <col min="5" max="5" width="2.1796875" customWidth="1"/>
    <col min="6" max="6" width="7.1796875" customWidth="1"/>
    <col min="7" max="10" width="10.7265625" customWidth="1"/>
    <col min="11" max="11" width="15.7265625" customWidth="1"/>
    <col min="12" max="12" width="20.7265625" customWidth="1"/>
  </cols>
  <sheetData>
    <row r="1" spans="1:12" ht="23.5" x14ac:dyDescent="0.55000000000000004">
      <c r="A1" s="47" t="s">
        <v>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8.5" x14ac:dyDescent="0.45">
      <c r="A2" s="53" t="s">
        <v>31</v>
      </c>
      <c r="B2" s="53"/>
      <c r="C2" s="53"/>
      <c r="D2" s="53"/>
      <c r="E2" s="53"/>
      <c r="F2" s="53"/>
      <c r="G2" s="53"/>
      <c r="H2" s="31"/>
      <c r="I2" s="31"/>
      <c r="J2" s="31"/>
      <c r="K2" s="32" t="s">
        <v>30</v>
      </c>
      <c r="L2" s="34" t="s">
        <v>52</v>
      </c>
    </row>
    <row r="3" spans="1:12" ht="18.5" x14ac:dyDescent="0.45">
      <c r="A3" s="53" t="s">
        <v>32</v>
      </c>
      <c r="B3" s="53"/>
      <c r="C3" s="53"/>
      <c r="D3" s="53"/>
      <c r="E3" s="53"/>
      <c r="F3" s="53"/>
      <c r="G3" s="53"/>
      <c r="H3" s="3"/>
      <c r="I3" s="3"/>
      <c r="J3" s="3"/>
      <c r="K3" s="3"/>
      <c r="L3" s="3"/>
    </row>
    <row r="4" spans="1:12" ht="18.5" x14ac:dyDescent="0.45">
      <c r="A4" s="52">
        <v>44653</v>
      </c>
      <c r="B4" s="52"/>
      <c r="C4" s="52"/>
      <c r="D4" s="52"/>
      <c r="E4" s="52"/>
      <c r="F4" s="52"/>
      <c r="G4" s="52"/>
      <c r="H4" s="3"/>
      <c r="I4" s="3"/>
      <c r="J4" s="3"/>
    </row>
    <row r="5" spans="1:12" ht="18.5" x14ac:dyDescent="0.45">
      <c r="A5" s="53" t="s">
        <v>33</v>
      </c>
      <c r="B5" s="53"/>
      <c r="C5" s="53"/>
      <c r="D5" s="53"/>
      <c r="E5" s="53"/>
      <c r="F5" s="53"/>
      <c r="G5" s="53"/>
      <c r="H5" s="3"/>
      <c r="I5" s="3"/>
      <c r="J5" s="3"/>
      <c r="K5" s="3"/>
      <c r="L5" s="3"/>
    </row>
    <row r="6" spans="1:12" ht="18.5" x14ac:dyDescent="0.45">
      <c r="A6" s="54" t="s">
        <v>34</v>
      </c>
      <c r="B6" s="54"/>
      <c r="C6" s="54"/>
      <c r="D6" s="54"/>
      <c r="E6" s="54"/>
      <c r="F6" s="54"/>
      <c r="G6" s="54"/>
      <c r="H6" s="3"/>
      <c r="I6" s="3"/>
      <c r="J6" s="3"/>
      <c r="K6" s="3"/>
      <c r="L6" s="3"/>
    </row>
    <row r="7" spans="1:12" ht="15.5" x14ac:dyDescent="0.35">
      <c r="A7" s="29"/>
      <c r="B7" s="29"/>
      <c r="C7" s="29"/>
      <c r="D7" s="29"/>
      <c r="E7" s="29"/>
      <c r="F7" s="29"/>
      <c r="G7" s="3"/>
      <c r="H7" s="3"/>
      <c r="I7" s="3"/>
      <c r="J7" s="3"/>
      <c r="K7" s="3"/>
      <c r="L7" s="3"/>
    </row>
    <row r="8" spans="1:12" ht="15.5" x14ac:dyDescent="0.35">
      <c r="A8" s="48" t="s">
        <v>10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ht="18.5" x14ac:dyDescent="0.45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ht="18.5" x14ac:dyDescent="0.45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t="18.75" customHeight="1" x14ac:dyDescent="0.4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ht="18.5" x14ac:dyDescent="0.45">
      <c r="A12" s="5"/>
      <c r="B12" s="6"/>
      <c r="C12" s="7"/>
      <c r="D12" s="49" t="s">
        <v>14</v>
      </c>
      <c r="E12" s="50"/>
      <c r="F12" s="51"/>
      <c r="G12" s="44" t="s">
        <v>2</v>
      </c>
      <c r="H12" s="45"/>
      <c r="I12" s="46" t="s">
        <v>5</v>
      </c>
      <c r="J12" s="44"/>
      <c r="K12" s="8" t="s">
        <v>4</v>
      </c>
      <c r="L12" s="9" t="s">
        <v>6</v>
      </c>
    </row>
    <row r="13" spans="1:12" ht="18.5" x14ac:dyDescent="0.45">
      <c r="A13" s="10" t="s">
        <v>0</v>
      </c>
      <c r="B13" s="11"/>
      <c r="C13" s="12"/>
      <c r="D13" s="38" t="s">
        <v>29</v>
      </c>
      <c r="E13" s="39"/>
      <c r="F13" s="40"/>
      <c r="G13" s="13" t="s">
        <v>3</v>
      </c>
      <c r="H13" s="14" t="s">
        <v>4</v>
      </c>
      <c r="I13" s="14" t="s">
        <v>3</v>
      </c>
      <c r="J13" s="15" t="s">
        <v>4</v>
      </c>
      <c r="K13" s="16" t="s">
        <v>8</v>
      </c>
      <c r="L13" s="17" t="s">
        <v>7</v>
      </c>
    </row>
    <row r="14" spans="1:12" ht="18.5" x14ac:dyDescent="0.45">
      <c r="A14" s="18" t="s">
        <v>1</v>
      </c>
      <c r="B14" s="18"/>
      <c r="C14" s="18"/>
      <c r="D14" s="41" t="s">
        <v>28</v>
      </c>
      <c r="E14" s="42"/>
      <c r="F14" s="43"/>
      <c r="G14" s="19">
        <v>0</v>
      </c>
      <c r="H14" s="20">
        <f>G14</f>
        <v>0</v>
      </c>
      <c r="I14" s="21">
        <v>0</v>
      </c>
      <c r="J14" s="20">
        <f>I14</f>
        <v>0</v>
      </c>
      <c r="K14" s="21">
        <f>H14-J14</f>
        <v>0</v>
      </c>
      <c r="L14" s="22">
        <f>K14/$H$30</f>
        <v>0</v>
      </c>
    </row>
    <row r="15" spans="1:12" ht="18.5" x14ac:dyDescent="0.45">
      <c r="A15" s="23" t="s">
        <v>47</v>
      </c>
      <c r="B15" s="24" t="s">
        <v>11</v>
      </c>
      <c r="C15" s="23" t="s">
        <v>46</v>
      </c>
      <c r="D15" s="33" t="s">
        <v>15</v>
      </c>
      <c r="E15" s="26" t="s">
        <v>11</v>
      </c>
      <c r="F15" s="27" t="s">
        <v>16</v>
      </c>
      <c r="G15" s="28">
        <v>3</v>
      </c>
      <c r="H15" s="21">
        <f t="shared" ref="H15:H18" si="0">H14+G15</f>
        <v>3</v>
      </c>
      <c r="I15" s="21">
        <v>0</v>
      </c>
      <c r="J15" s="21">
        <f t="shared" ref="J15:J18" si="1">J14+I15</f>
        <v>0</v>
      </c>
      <c r="K15" s="21">
        <f t="shared" ref="K15:K16" si="2">H15-J15</f>
        <v>3</v>
      </c>
      <c r="L15" s="22">
        <f t="shared" ref="L15:L30" si="3">K15/$H$30</f>
        <v>7.0422535211267607E-3</v>
      </c>
    </row>
    <row r="16" spans="1:12" ht="18.5" x14ac:dyDescent="0.45">
      <c r="A16" s="23" t="s">
        <v>46</v>
      </c>
      <c r="B16" s="24" t="s">
        <v>11</v>
      </c>
      <c r="C16" s="23" t="s">
        <v>45</v>
      </c>
      <c r="D16" s="33" t="s">
        <v>16</v>
      </c>
      <c r="E16" s="26" t="s">
        <v>11</v>
      </c>
      <c r="F16" s="27" t="s">
        <v>17</v>
      </c>
      <c r="G16" s="28">
        <v>4</v>
      </c>
      <c r="H16" s="21">
        <f t="shared" si="0"/>
        <v>7</v>
      </c>
      <c r="I16" s="21">
        <v>0</v>
      </c>
      <c r="J16" s="21">
        <f t="shared" si="1"/>
        <v>0</v>
      </c>
      <c r="K16" s="21">
        <f t="shared" si="2"/>
        <v>7</v>
      </c>
      <c r="L16" s="22">
        <f t="shared" si="3"/>
        <v>1.6431924882629109E-2</v>
      </c>
    </row>
    <row r="17" spans="1:12" ht="18.5" x14ac:dyDescent="0.45">
      <c r="A17" s="23" t="s">
        <v>45</v>
      </c>
      <c r="B17" s="24" t="s">
        <v>11</v>
      </c>
      <c r="C17" s="23" t="s">
        <v>44</v>
      </c>
      <c r="D17" s="33" t="s">
        <v>17</v>
      </c>
      <c r="E17" s="26" t="s">
        <v>11</v>
      </c>
      <c r="F17" s="27" t="s">
        <v>18</v>
      </c>
      <c r="G17" s="28">
        <v>15</v>
      </c>
      <c r="H17" s="21">
        <f t="shared" si="0"/>
        <v>22</v>
      </c>
      <c r="I17" s="21">
        <v>0</v>
      </c>
      <c r="J17" s="21">
        <f t="shared" si="1"/>
        <v>0</v>
      </c>
      <c r="K17" s="21">
        <f>H17-J17</f>
        <v>22</v>
      </c>
      <c r="L17" s="22">
        <f t="shared" si="3"/>
        <v>5.1643192488262914E-2</v>
      </c>
    </row>
    <row r="18" spans="1:12" ht="18.5" x14ac:dyDescent="0.45">
      <c r="A18" s="23" t="s">
        <v>44</v>
      </c>
      <c r="B18" s="24" t="s">
        <v>11</v>
      </c>
      <c r="C18" s="23" t="s">
        <v>43</v>
      </c>
      <c r="D18" s="33" t="s">
        <v>18</v>
      </c>
      <c r="E18" s="26" t="s">
        <v>11</v>
      </c>
      <c r="F18" s="27" t="s">
        <v>19</v>
      </c>
      <c r="G18" s="21">
        <v>10</v>
      </c>
      <c r="H18" s="21">
        <f t="shared" si="0"/>
        <v>32</v>
      </c>
      <c r="I18" s="21">
        <v>1</v>
      </c>
      <c r="J18" s="21">
        <f t="shared" si="1"/>
        <v>1</v>
      </c>
      <c r="K18" s="21">
        <f t="shared" ref="K18:K30" si="4">H18-J18</f>
        <v>31</v>
      </c>
      <c r="L18" s="22">
        <f t="shared" si="3"/>
        <v>7.2769953051643188E-2</v>
      </c>
    </row>
    <row r="19" spans="1:12" ht="18.5" x14ac:dyDescent="0.45">
      <c r="A19" s="23" t="s">
        <v>43</v>
      </c>
      <c r="B19" s="24" t="s">
        <v>11</v>
      </c>
      <c r="C19" s="23" t="s">
        <v>42</v>
      </c>
      <c r="D19" s="33" t="s">
        <v>19</v>
      </c>
      <c r="E19" s="26" t="s">
        <v>11</v>
      </c>
      <c r="F19" s="27" t="s">
        <v>20</v>
      </c>
      <c r="G19" s="21">
        <v>26</v>
      </c>
      <c r="H19" s="21">
        <f t="shared" ref="H19:H30" si="5">H18+G19</f>
        <v>58</v>
      </c>
      <c r="I19" s="21">
        <v>1</v>
      </c>
      <c r="J19" s="21">
        <f t="shared" ref="J19:J30" si="6">J18+I19</f>
        <v>2</v>
      </c>
      <c r="K19" s="21">
        <f t="shared" si="4"/>
        <v>56</v>
      </c>
      <c r="L19" s="22">
        <f t="shared" si="3"/>
        <v>0.13145539906103287</v>
      </c>
    </row>
    <row r="20" spans="1:12" ht="18.5" x14ac:dyDescent="0.45">
      <c r="A20" s="23" t="s">
        <v>42</v>
      </c>
      <c r="B20" s="24" t="s">
        <v>11</v>
      </c>
      <c r="C20" s="23" t="s">
        <v>41</v>
      </c>
      <c r="D20" s="33" t="s">
        <v>20</v>
      </c>
      <c r="E20" s="26" t="s">
        <v>11</v>
      </c>
      <c r="F20" s="27" t="s">
        <v>21</v>
      </c>
      <c r="G20" s="21">
        <v>51</v>
      </c>
      <c r="H20" s="21">
        <f t="shared" si="5"/>
        <v>109</v>
      </c>
      <c r="I20" s="21">
        <v>0</v>
      </c>
      <c r="J20" s="21">
        <f t="shared" si="6"/>
        <v>2</v>
      </c>
      <c r="K20" s="21">
        <f t="shared" si="4"/>
        <v>107</v>
      </c>
      <c r="L20" s="22">
        <f t="shared" si="3"/>
        <v>0.25117370892018781</v>
      </c>
    </row>
    <row r="21" spans="1:12" ht="18.5" x14ac:dyDescent="0.45">
      <c r="A21" s="23" t="s">
        <v>41</v>
      </c>
      <c r="B21" s="24" t="s">
        <v>11</v>
      </c>
      <c r="C21" s="23" t="s">
        <v>40</v>
      </c>
      <c r="D21" s="33" t="s">
        <v>21</v>
      </c>
      <c r="E21" s="26" t="s">
        <v>11</v>
      </c>
      <c r="F21" s="27" t="s">
        <v>22</v>
      </c>
      <c r="G21" s="21">
        <v>59</v>
      </c>
      <c r="H21" s="21">
        <f t="shared" si="5"/>
        <v>168</v>
      </c>
      <c r="I21" s="21">
        <v>3</v>
      </c>
      <c r="J21" s="21">
        <f t="shared" si="6"/>
        <v>5</v>
      </c>
      <c r="K21" s="21">
        <f t="shared" si="4"/>
        <v>163</v>
      </c>
      <c r="L21" s="22">
        <f t="shared" si="3"/>
        <v>0.38262910798122068</v>
      </c>
    </row>
    <row r="22" spans="1:12" ht="18.5" x14ac:dyDescent="0.45">
      <c r="A22" s="23" t="s">
        <v>40</v>
      </c>
      <c r="B22" s="24" t="s">
        <v>11</v>
      </c>
      <c r="C22" s="23" t="s">
        <v>39</v>
      </c>
      <c r="D22" s="33" t="s">
        <v>22</v>
      </c>
      <c r="E22" s="26" t="s">
        <v>11</v>
      </c>
      <c r="F22" s="27" t="s">
        <v>23</v>
      </c>
      <c r="G22" s="21">
        <v>74</v>
      </c>
      <c r="H22" s="21">
        <f t="shared" si="5"/>
        <v>242</v>
      </c>
      <c r="I22" s="21">
        <v>4</v>
      </c>
      <c r="J22" s="21">
        <f t="shared" si="6"/>
        <v>9</v>
      </c>
      <c r="K22" s="21">
        <f t="shared" si="4"/>
        <v>233</v>
      </c>
      <c r="L22" s="22">
        <f t="shared" si="3"/>
        <v>0.54694835680751175</v>
      </c>
    </row>
    <row r="23" spans="1:12" ht="18.5" x14ac:dyDescent="0.45">
      <c r="A23" s="23" t="s">
        <v>39</v>
      </c>
      <c r="B23" s="24" t="s">
        <v>11</v>
      </c>
      <c r="C23" s="23" t="s">
        <v>38</v>
      </c>
      <c r="D23" s="33" t="s">
        <v>23</v>
      </c>
      <c r="E23" s="26" t="s">
        <v>11</v>
      </c>
      <c r="F23" s="27" t="s">
        <v>24</v>
      </c>
      <c r="G23" s="21">
        <v>64</v>
      </c>
      <c r="H23" s="21">
        <f t="shared" si="5"/>
        <v>306</v>
      </c>
      <c r="I23" s="21">
        <v>17</v>
      </c>
      <c r="J23" s="21">
        <f t="shared" si="6"/>
        <v>26</v>
      </c>
      <c r="K23" s="21">
        <f t="shared" si="4"/>
        <v>280</v>
      </c>
      <c r="L23" s="22">
        <f t="shared" si="3"/>
        <v>0.65727699530516437</v>
      </c>
    </row>
    <row r="24" spans="1:12" ht="18.5" x14ac:dyDescent="0.45">
      <c r="A24" s="23" t="s">
        <v>38</v>
      </c>
      <c r="B24" s="24" t="s">
        <v>11</v>
      </c>
      <c r="C24" s="23" t="s">
        <v>37</v>
      </c>
      <c r="D24" s="33" t="s">
        <v>24</v>
      </c>
      <c r="E24" s="26" t="s">
        <v>11</v>
      </c>
      <c r="F24" s="27" t="s">
        <v>25</v>
      </c>
      <c r="G24" s="21">
        <v>47</v>
      </c>
      <c r="H24" s="21">
        <f t="shared" si="5"/>
        <v>353</v>
      </c>
      <c r="I24" s="21">
        <v>34</v>
      </c>
      <c r="J24" s="21">
        <f t="shared" si="6"/>
        <v>60</v>
      </c>
      <c r="K24" s="21">
        <f t="shared" si="4"/>
        <v>293</v>
      </c>
      <c r="L24" s="22">
        <f t="shared" si="3"/>
        <v>0.68779342723004699</v>
      </c>
    </row>
    <row r="25" spans="1:12" ht="18.5" x14ac:dyDescent="0.45">
      <c r="A25" s="23" t="s">
        <v>37</v>
      </c>
      <c r="B25" s="24" t="s">
        <v>11</v>
      </c>
      <c r="C25" s="23" t="s">
        <v>36</v>
      </c>
      <c r="D25" s="33" t="s">
        <v>25</v>
      </c>
      <c r="E25" s="26" t="s">
        <v>11</v>
      </c>
      <c r="F25" s="27" t="s">
        <v>26</v>
      </c>
      <c r="G25" s="21">
        <v>18</v>
      </c>
      <c r="H25" s="21">
        <f t="shared" si="5"/>
        <v>371</v>
      </c>
      <c r="I25" s="21">
        <v>37</v>
      </c>
      <c r="J25" s="21">
        <f t="shared" si="6"/>
        <v>97</v>
      </c>
      <c r="K25" s="21">
        <f t="shared" si="4"/>
        <v>274</v>
      </c>
      <c r="L25" s="22">
        <f t="shared" si="3"/>
        <v>0.64319248826291076</v>
      </c>
    </row>
    <row r="26" spans="1:12" ht="18.5" x14ac:dyDescent="0.45">
      <c r="A26" s="23" t="s">
        <v>36</v>
      </c>
      <c r="B26" s="24" t="s">
        <v>11</v>
      </c>
      <c r="C26" s="23" t="s">
        <v>35</v>
      </c>
      <c r="D26" s="33" t="s">
        <v>26</v>
      </c>
      <c r="E26" s="26" t="s">
        <v>11</v>
      </c>
      <c r="F26" s="27" t="s">
        <v>27</v>
      </c>
      <c r="G26" s="21">
        <v>14</v>
      </c>
      <c r="H26" s="21">
        <f t="shared" si="5"/>
        <v>385</v>
      </c>
      <c r="I26" s="21">
        <v>49</v>
      </c>
      <c r="J26" s="21">
        <f t="shared" si="6"/>
        <v>146</v>
      </c>
      <c r="K26" s="21">
        <f t="shared" si="4"/>
        <v>239</v>
      </c>
      <c r="L26" s="22">
        <f t="shared" si="3"/>
        <v>0.56103286384976525</v>
      </c>
    </row>
    <row r="27" spans="1:12" ht="18.5" x14ac:dyDescent="0.45">
      <c r="A27" s="23" t="s">
        <v>35</v>
      </c>
      <c r="B27" s="24" t="s">
        <v>11</v>
      </c>
      <c r="C27" s="23" t="s">
        <v>48</v>
      </c>
      <c r="D27" s="33" t="s">
        <v>27</v>
      </c>
      <c r="E27" s="26" t="s">
        <v>11</v>
      </c>
      <c r="F27" s="27" t="s">
        <v>26</v>
      </c>
      <c r="G27" s="21">
        <v>14</v>
      </c>
      <c r="H27" s="21">
        <f t="shared" si="5"/>
        <v>399</v>
      </c>
      <c r="I27" s="21">
        <v>47</v>
      </c>
      <c r="J27" s="21">
        <f t="shared" si="6"/>
        <v>193</v>
      </c>
      <c r="K27" s="21">
        <f t="shared" si="4"/>
        <v>206</v>
      </c>
      <c r="L27" s="22">
        <f t="shared" si="3"/>
        <v>0.48356807511737088</v>
      </c>
    </row>
    <row r="28" spans="1:12" ht="18.5" x14ac:dyDescent="0.45">
      <c r="A28" s="23" t="s">
        <v>48</v>
      </c>
      <c r="B28" s="24" t="s">
        <v>11</v>
      </c>
      <c r="C28" s="23" t="s">
        <v>49</v>
      </c>
      <c r="D28" s="33" t="s">
        <v>26</v>
      </c>
      <c r="E28" s="26" t="s">
        <v>11</v>
      </c>
      <c r="F28" s="27" t="s">
        <v>25</v>
      </c>
      <c r="G28" s="21">
        <v>13</v>
      </c>
      <c r="H28" s="21">
        <f t="shared" si="5"/>
        <v>412</v>
      </c>
      <c r="I28" s="21">
        <v>33</v>
      </c>
      <c r="J28" s="21">
        <f t="shared" si="6"/>
        <v>226</v>
      </c>
      <c r="K28" s="21">
        <f t="shared" si="4"/>
        <v>186</v>
      </c>
      <c r="L28" s="22">
        <f t="shared" si="3"/>
        <v>0.43661971830985913</v>
      </c>
    </row>
    <row r="29" spans="1:12" ht="18.5" x14ac:dyDescent="0.45">
      <c r="A29" s="23" t="s">
        <v>49</v>
      </c>
      <c r="B29" s="24" t="s">
        <v>11</v>
      </c>
      <c r="C29" s="23" t="s">
        <v>50</v>
      </c>
      <c r="D29" s="33" t="s">
        <v>25</v>
      </c>
      <c r="E29" s="26" t="s">
        <v>11</v>
      </c>
      <c r="F29" s="27" t="s">
        <v>24</v>
      </c>
      <c r="G29" s="21">
        <v>7</v>
      </c>
      <c r="H29" s="21">
        <f t="shared" si="5"/>
        <v>419</v>
      </c>
      <c r="I29" s="21">
        <v>54</v>
      </c>
      <c r="J29" s="21">
        <f t="shared" si="6"/>
        <v>280</v>
      </c>
      <c r="K29" s="21">
        <f t="shared" si="4"/>
        <v>139</v>
      </c>
      <c r="L29" s="22">
        <f t="shared" si="3"/>
        <v>0.32629107981220656</v>
      </c>
    </row>
    <row r="30" spans="1:12" ht="18.5" x14ac:dyDescent="0.45">
      <c r="A30" s="23" t="s">
        <v>50</v>
      </c>
      <c r="B30" s="24" t="s">
        <v>11</v>
      </c>
      <c r="C30" s="35" t="s">
        <v>51</v>
      </c>
      <c r="D30" s="33" t="s">
        <v>24</v>
      </c>
      <c r="E30" s="26" t="s">
        <v>11</v>
      </c>
      <c r="F30" s="27" t="s">
        <v>23</v>
      </c>
      <c r="G30" s="21">
        <v>7</v>
      </c>
      <c r="H30" s="21">
        <f t="shared" si="5"/>
        <v>426</v>
      </c>
      <c r="I30" s="21">
        <v>21</v>
      </c>
      <c r="J30" s="21">
        <f t="shared" si="6"/>
        <v>301</v>
      </c>
      <c r="K30" s="21">
        <f t="shared" si="4"/>
        <v>125</v>
      </c>
      <c r="L30" s="22">
        <f t="shared" si="3"/>
        <v>0.29342723004694837</v>
      </c>
    </row>
    <row r="31" spans="1:12" ht="18.5" x14ac:dyDescent="0.45">
      <c r="A31" s="37" t="s">
        <v>12</v>
      </c>
      <c r="B31" s="37"/>
      <c r="C31" s="37"/>
      <c r="D31" s="37"/>
      <c r="E31" s="37"/>
      <c r="F31" s="37"/>
      <c r="G31" s="21">
        <v>132</v>
      </c>
      <c r="H31" s="2"/>
      <c r="I31" s="30"/>
      <c r="J31" s="4"/>
      <c r="K31" s="30"/>
      <c r="L31" s="30"/>
    </row>
    <row r="32" spans="1:12" ht="18.5" x14ac:dyDescent="0.45">
      <c r="A32" s="37" t="s">
        <v>13</v>
      </c>
      <c r="B32" s="37"/>
      <c r="C32" s="37"/>
      <c r="D32" s="37"/>
      <c r="E32" s="37"/>
      <c r="F32" s="37"/>
      <c r="G32" s="21">
        <f>+G31-K30</f>
        <v>7</v>
      </c>
      <c r="H32" s="2"/>
      <c r="I32" s="30"/>
      <c r="J32" s="30"/>
      <c r="K32" s="30"/>
      <c r="L32" s="30"/>
    </row>
    <row r="33" spans="7:12" ht="17.5" x14ac:dyDescent="0.35">
      <c r="G33" s="1"/>
      <c r="H33" s="1"/>
      <c r="I33" s="1"/>
      <c r="J33" s="1"/>
      <c r="K33" s="1"/>
      <c r="L33" s="1"/>
    </row>
  </sheetData>
  <mergeCells count="17">
    <mergeCell ref="I12:J12"/>
    <mergeCell ref="A1:L1"/>
    <mergeCell ref="A8:L8"/>
    <mergeCell ref="D12:F12"/>
    <mergeCell ref="A4:G4"/>
    <mergeCell ref="A3:G3"/>
    <mergeCell ref="A5:G5"/>
    <mergeCell ref="A6:G6"/>
    <mergeCell ref="A9:L9"/>
    <mergeCell ref="A11:L11"/>
    <mergeCell ref="A10:L10"/>
    <mergeCell ref="A2:G2"/>
    <mergeCell ref="A31:F31"/>
    <mergeCell ref="A32:F32"/>
    <mergeCell ref="D13:F13"/>
    <mergeCell ref="D14:F14"/>
    <mergeCell ref="G12:H12"/>
  </mergeCells>
  <phoneticPr fontId="0" type="noConversion"/>
  <pageMargins left="0.25" right="0.25" top="0.75" bottom="0.75" header="0.3" footer="0.3"/>
  <pageSetup scale="9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A2" sqref="A2:G6"/>
    </sheetView>
  </sheetViews>
  <sheetFormatPr defaultRowHeight="12.5" x14ac:dyDescent="0.25"/>
  <cols>
    <col min="1" max="1" width="7.1796875" customWidth="1"/>
    <col min="2" max="2" width="1.54296875" customWidth="1"/>
    <col min="3" max="3" width="7.1796875" customWidth="1"/>
    <col min="4" max="4" width="6.26953125" customWidth="1"/>
    <col min="5" max="5" width="2.1796875" customWidth="1"/>
    <col min="6" max="6" width="7.1796875" customWidth="1"/>
    <col min="7" max="10" width="10.7265625" customWidth="1"/>
    <col min="11" max="11" width="15.7265625" customWidth="1"/>
  </cols>
  <sheetData>
    <row r="1" spans="1:11" ht="23.5" x14ac:dyDescent="0.55000000000000004">
      <c r="A1" s="47" t="s">
        <v>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8.5" x14ac:dyDescent="0.45">
      <c r="A2" s="53" t="s">
        <v>31</v>
      </c>
      <c r="B2" s="53"/>
      <c r="C2" s="53"/>
      <c r="D2" s="53"/>
      <c r="E2" s="53"/>
      <c r="F2" s="53"/>
      <c r="G2" s="53"/>
      <c r="H2" s="31"/>
      <c r="I2" s="31"/>
      <c r="J2" s="32" t="s">
        <v>30</v>
      </c>
      <c r="K2" s="34"/>
    </row>
    <row r="3" spans="1:11" ht="18.5" x14ac:dyDescent="0.45">
      <c r="A3" s="53" t="s">
        <v>32</v>
      </c>
      <c r="B3" s="53"/>
      <c r="C3" s="53"/>
      <c r="D3" s="53"/>
      <c r="E3" s="53"/>
      <c r="F3" s="53"/>
      <c r="G3" s="53"/>
      <c r="H3" s="3"/>
      <c r="I3" s="3"/>
      <c r="J3" s="3"/>
      <c r="K3" s="3"/>
    </row>
    <row r="4" spans="1:11" ht="18.5" x14ac:dyDescent="0.45">
      <c r="A4" s="52">
        <v>44653</v>
      </c>
      <c r="B4" s="52"/>
      <c r="C4" s="52"/>
      <c r="D4" s="52"/>
      <c r="E4" s="52"/>
      <c r="F4" s="52"/>
      <c r="G4" s="52"/>
      <c r="H4" s="3"/>
      <c r="I4" s="3"/>
      <c r="J4" s="3"/>
    </row>
    <row r="5" spans="1:11" ht="18.5" x14ac:dyDescent="0.45">
      <c r="A5" s="53" t="s">
        <v>33</v>
      </c>
      <c r="B5" s="53"/>
      <c r="C5" s="53"/>
      <c r="D5" s="53"/>
      <c r="E5" s="53"/>
      <c r="F5" s="53"/>
      <c r="G5" s="53"/>
      <c r="H5" s="3"/>
      <c r="I5" s="3"/>
      <c r="J5" s="3"/>
      <c r="K5" s="3"/>
    </row>
    <row r="6" spans="1:11" ht="18.5" x14ac:dyDescent="0.45">
      <c r="A6" s="54" t="s">
        <v>34</v>
      </c>
      <c r="B6" s="54"/>
      <c r="C6" s="54"/>
      <c r="D6" s="54"/>
      <c r="E6" s="54"/>
      <c r="F6" s="54"/>
      <c r="G6" s="54"/>
      <c r="H6" s="3"/>
      <c r="I6" s="3"/>
      <c r="J6" s="3"/>
      <c r="K6" s="3"/>
    </row>
    <row r="7" spans="1:11" ht="15.5" x14ac:dyDescent="0.35">
      <c r="A7" s="29"/>
      <c r="B7" s="29"/>
      <c r="C7" s="29"/>
      <c r="D7" s="29"/>
      <c r="E7" s="29"/>
      <c r="F7" s="29"/>
      <c r="G7" s="3"/>
      <c r="H7" s="3"/>
      <c r="I7" s="3"/>
      <c r="J7" s="3"/>
      <c r="K7" s="3"/>
    </row>
    <row r="8" spans="1:11" ht="15.5" x14ac:dyDescent="0.35">
      <c r="A8" s="48" t="s">
        <v>10</v>
      </c>
      <c r="B8" s="48"/>
      <c r="C8" s="48"/>
      <c r="D8" s="48"/>
      <c r="E8" s="48"/>
      <c r="F8" s="48"/>
      <c r="G8" s="48"/>
      <c r="H8" s="48"/>
      <c r="I8" s="48"/>
      <c r="J8" s="48"/>
      <c r="K8" s="48"/>
    </row>
    <row r="9" spans="1:11" ht="18.5" x14ac:dyDescent="0.45">
      <c r="A9" s="55"/>
      <c r="B9" s="56"/>
      <c r="C9" s="56"/>
      <c r="D9" s="56"/>
      <c r="E9" s="56"/>
      <c r="F9" s="56"/>
      <c r="G9" s="56"/>
      <c r="H9" s="56"/>
      <c r="I9" s="56"/>
      <c r="J9" s="56"/>
      <c r="K9" s="57"/>
    </row>
    <row r="10" spans="1:11" ht="18.5" x14ac:dyDescent="0.45">
      <c r="A10" s="46"/>
      <c r="B10" s="44"/>
      <c r="C10" s="44"/>
      <c r="D10" s="44"/>
      <c r="E10" s="44"/>
      <c r="F10" s="44"/>
      <c r="G10" s="44"/>
      <c r="H10" s="44"/>
      <c r="I10" s="44"/>
      <c r="J10" s="44"/>
      <c r="K10" s="45"/>
    </row>
    <row r="11" spans="1:11" ht="18.5" x14ac:dyDescent="0.4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spans="1:11" ht="18.5" x14ac:dyDescent="0.45">
      <c r="A12" s="5"/>
      <c r="B12" s="6"/>
      <c r="C12" s="7"/>
      <c r="D12" s="49" t="s">
        <v>14</v>
      </c>
      <c r="E12" s="50"/>
      <c r="F12" s="51"/>
      <c r="G12" s="44" t="s">
        <v>2</v>
      </c>
      <c r="H12" s="45"/>
      <c r="I12" s="46" t="s">
        <v>5</v>
      </c>
      <c r="J12" s="44"/>
      <c r="K12" s="8" t="s">
        <v>4</v>
      </c>
    </row>
    <row r="13" spans="1:11" ht="18.5" x14ac:dyDescent="0.45">
      <c r="A13" s="10" t="s">
        <v>0</v>
      </c>
      <c r="B13" s="11"/>
      <c r="C13" s="12"/>
      <c r="D13" s="38" t="s">
        <v>29</v>
      </c>
      <c r="E13" s="39"/>
      <c r="F13" s="40"/>
      <c r="G13" s="13" t="s">
        <v>3</v>
      </c>
      <c r="H13" s="14" t="s">
        <v>4</v>
      </c>
      <c r="I13" s="14" t="s">
        <v>3</v>
      </c>
      <c r="J13" s="15" t="s">
        <v>4</v>
      </c>
      <c r="K13" s="16" t="s">
        <v>8</v>
      </c>
    </row>
    <row r="14" spans="1:11" ht="18.5" x14ac:dyDescent="0.45">
      <c r="A14" s="18" t="s">
        <v>1</v>
      </c>
      <c r="B14" s="18"/>
      <c r="C14" s="18"/>
      <c r="D14" s="41" t="s">
        <v>28</v>
      </c>
      <c r="E14" s="42"/>
      <c r="F14" s="43"/>
      <c r="G14" s="19"/>
      <c r="H14" s="36"/>
      <c r="I14" s="21"/>
      <c r="J14" s="36"/>
      <c r="K14" s="36"/>
    </row>
    <row r="15" spans="1:11" ht="18.5" x14ac:dyDescent="0.45">
      <c r="A15" s="23" t="s">
        <v>47</v>
      </c>
      <c r="B15" s="24" t="s">
        <v>11</v>
      </c>
      <c r="C15" s="23" t="s">
        <v>46</v>
      </c>
      <c r="D15" s="25" t="s">
        <v>15</v>
      </c>
      <c r="E15" s="26" t="s">
        <v>11</v>
      </c>
      <c r="F15" s="27" t="s">
        <v>16</v>
      </c>
      <c r="G15" s="28"/>
      <c r="H15" s="36"/>
      <c r="I15" s="21"/>
      <c r="J15" s="36"/>
      <c r="K15" s="36"/>
    </row>
    <row r="16" spans="1:11" ht="18.5" x14ac:dyDescent="0.45">
      <c r="A16" s="23" t="s">
        <v>46</v>
      </c>
      <c r="B16" s="24" t="s">
        <v>11</v>
      </c>
      <c r="C16" s="23" t="s">
        <v>45</v>
      </c>
      <c r="D16" s="25" t="s">
        <v>16</v>
      </c>
      <c r="E16" s="26" t="s">
        <v>11</v>
      </c>
      <c r="F16" s="27" t="s">
        <v>17</v>
      </c>
      <c r="G16" s="21"/>
      <c r="H16" s="36"/>
      <c r="I16" s="21"/>
      <c r="J16" s="36"/>
      <c r="K16" s="36"/>
    </row>
    <row r="17" spans="1:11" ht="18.5" x14ac:dyDescent="0.45">
      <c r="A17" s="23" t="s">
        <v>45</v>
      </c>
      <c r="B17" s="24" t="s">
        <v>11</v>
      </c>
      <c r="C17" s="23" t="s">
        <v>44</v>
      </c>
      <c r="D17" s="25" t="s">
        <v>17</v>
      </c>
      <c r="E17" s="26" t="s">
        <v>11</v>
      </c>
      <c r="F17" s="27" t="s">
        <v>18</v>
      </c>
      <c r="G17" s="21"/>
      <c r="H17" s="36"/>
      <c r="I17" s="21"/>
      <c r="J17" s="36"/>
      <c r="K17" s="36"/>
    </row>
    <row r="18" spans="1:11" ht="18.5" x14ac:dyDescent="0.45">
      <c r="A18" s="23" t="s">
        <v>44</v>
      </c>
      <c r="B18" s="24" t="s">
        <v>11</v>
      </c>
      <c r="C18" s="23" t="s">
        <v>43</v>
      </c>
      <c r="D18" s="25" t="s">
        <v>18</v>
      </c>
      <c r="E18" s="26" t="s">
        <v>11</v>
      </c>
      <c r="F18" s="27" t="s">
        <v>19</v>
      </c>
      <c r="G18" s="21"/>
      <c r="H18" s="36"/>
      <c r="I18" s="21"/>
      <c r="J18" s="36"/>
      <c r="K18" s="36"/>
    </row>
    <row r="19" spans="1:11" ht="18.5" x14ac:dyDescent="0.45">
      <c r="A19" s="23" t="s">
        <v>43</v>
      </c>
      <c r="B19" s="24" t="s">
        <v>11</v>
      </c>
      <c r="C19" s="23" t="s">
        <v>42</v>
      </c>
      <c r="D19" s="25" t="s">
        <v>19</v>
      </c>
      <c r="E19" s="26" t="s">
        <v>11</v>
      </c>
      <c r="F19" s="27" t="s">
        <v>20</v>
      </c>
      <c r="G19" s="21"/>
      <c r="H19" s="36"/>
      <c r="I19" s="21"/>
      <c r="J19" s="36"/>
      <c r="K19" s="36"/>
    </row>
    <row r="20" spans="1:11" ht="18.5" x14ac:dyDescent="0.45">
      <c r="A20" s="23" t="s">
        <v>42</v>
      </c>
      <c r="B20" s="24" t="s">
        <v>11</v>
      </c>
      <c r="C20" s="23" t="s">
        <v>41</v>
      </c>
      <c r="D20" s="25" t="s">
        <v>20</v>
      </c>
      <c r="E20" s="26" t="s">
        <v>11</v>
      </c>
      <c r="F20" s="27" t="s">
        <v>21</v>
      </c>
      <c r="G20" s="21"/>
      <c r="H20" s="36"/>
      <c r="I20" s="21"/>
      <c r="J20" s="36"/>
      <c r="K20" s="36"/>
    </row>
    <row r="21" spans="1:11" ht="18.5" x14ac:dyDescent="0.45">
      <c r="A21" s="23" t="s">
        <v>41</v>
      </c>
      <c r="B21" s="24" t="s">
        <v>11</v>
      </c>
      <c r="C21" s="23" t="s">
        <v>40</v>
      </c>
      <c r="D21" s="25" t="s">
        <v>21</v>
      </c>
      <c r="E21" s="26" t="s">
        <v>11</v>
      </c>
      <c r="F21" s="27" t="s">
        <v>22</v>
      </c>
      <c r="G21" s="21"/>
      <c r="H21" s="36"/>
      <c r="I21" s="21"/>
      <c r="J21" s="36"/>
      <c r="K21" s="36"/>
    </row>
    <row r="22" spans="1:11" ht="18.5" x14ac:dyDescent="0.45">
      <c r="A22" s="23" t="s">
        <v>40</v>
      </c>
      <c r="B22" s="24" t="s">
        <v>11</v>
      </c>
      <c r="C22" s="23" t="s">
        <v>39</v>
      </c>
      <c r="D22" s="25" t="s">
        <v>22</v>
      </c>
      <c r="E22" s="26" t="s">
        <v>11</v>
      </c>
      <c r="F22" s="27" t="s">
        <v>23</v>
      </c>
      <c r="G22" s="21"/>
      <c r="H22" s="36"/>
      <c r="I22" s="21"/>
      <c r="J22" s="36"/>
      <c r="K22" s="36"/>
    </row>
    <row r="23" spans="1:11" ht="18.5" x14ac:dyDescent="0.45">
      <c r="A23" s="23" t="s">
        <v>39</v>
      </c>
      <c r="B23" s="24" t="s">
        <v>11</v>
      </c>
      <c r="C23" s="23" t="s">
        <v>38</v>
      </c>
      <c r="D23" s="25" t="s">
        <v>23</v>
      </c>
      <c r="E23" s="26" t="s">
        <v>11</v>
      </c>
      <c r="F23" s="27" t="s">
        <v>24</v>
      </c>
      <c r="G23" s="21"/>
      <c r="H23" s="36"/>
      <c r="I23" s="21"/>
      <c r="J23" s="36"/>
      <c r="K23" s="36"/>
    </row>
    <row r="24" spans="1:11" ht="18.5" x14ac:dyDescent="0.45">
      <c r="A24" s="23" t="s">
        <v>38</v>
      </c>
      <c r="B24" s="24" t="s">
        <v>11</v>
      </c>
      <c r="C24" s="23" t="s">
        <v>37</v>
      </c>
      <c r="D24" s="25" t="s">
        <v>24</v>
      </c>
      <c r="E24" s="26" t="s">
        <v>11</v>
      </c>
      <c r="F24" s="27" t="s">
        <v>25</v>
      </c>
      <c r="G24" s="21"/>
      <c r="H24" s="36"/>
      <c r="I24" s="21"/>
      <c r="J24" s="36"/>
      <c r="K24" s="36"/>
    </row>
    <row r="25" spans="1:11" ht="18.5" x14ac:dyDescent="0.45">
      <c r="A25" s="23" t="s">
        <v>37</v>
      </c>
      <c r="B25" s="24" t="s">
        <v>11</v>
      </c>
      <c r="C25" s="23" t="s">
        <v>36</v>
      </c>
      <c r="D25" s="25" t="s">
        <v>25</v>
      </c>
      <c r="E25" s="26" t="s">
        <v>11</v>
      </c>
      <c r="F25" s="27" t="s">
        <v>26</v>
      </c>
      <c r="G25" s="21"/>
      <c r="H25" s="36"/>
      <c r="I25" s="21"/>
      <c r="J25" s="36"/>
      <c r="K25" s="36"/>
    </row>
    <row r="26" spans="1:11" ht="18.5" x14ac:dyDescent="0.45">
      <c r="A26" s="23" t="s">
        <v>36</v>
      </c>
      <c r="B26" s="24" t="s">
        <v>11</v>
      </c>
      <c r="C26" s="23" t="s">
        <v>35</v>
      </c>
      <c r="D26" s="25" t="s">
        <v>26</v>
      </c>
      <c r="E26" s="26" t="s">
        <v>11</v>
      </c>
      <c r="F26" s="27" t="s">
        <v>27</v>
      </c>
      <c r="G26" s="21"/>
      <c r="H26" s="36"/>
      <c r="I26" s="21"/>
      <c r="J26" s="36"/>
      <c r="K26" s="36"/>
    </row>
    <row r="27" spans="1:11" ht="18.5" x14ac:dyDescent="0.45">
      <c r="A27" s="23" t="s">
        <v>35</v>
      </c>
      <c r="B27" s="24" t="s">
        <v>11</v>
      </c>
      <c r="C27" s="23" t="s">
        <v>48</v>
      </c>
      <c r="D27" s="25" t="s">
        <v>27</v>
      </c>
      <c r="E27" s="26" t="s">
        <v>11</v>
      </c>
      <c r="F27" s="27" t="s">
        <v>26</v>
      </c>
      <c r="G27" s="21"/>
      <c r="H27" s="36"/>
      <c r="I27" s="21"/>
      <c r="J27" s="36"/>
      <c r="K27" s="36"/>
    </row>
    <row r="28" spans="1:11" ht="18.5" x14ac:dyDescent="0.45">
      <c r="A28" s="23" t="s">
        <v>48</v>
      </c>
      <c r="B28" s="24" t="s">
        <v>11</v>
      </c>
      <c r="C28" s="23" t="s">
        <v>49</v>
      </c>
      <c r="D28" s="25" t="s">
        <v>26</v>
      </c>
      <c r="E28" s="26" t="s">
        <v>11</v>
      </c>
      <c r="F28" s="27" t="s">
        <v>25</v>
      </c>
      <c r="G28" s="21"/>
      <c r="H28" s="36"/>
      <c r="I28" s="21"/>
      <c r="J28" s="36"/>
      <c r="K28" s="36"/>
    </row>
    <row r="29" spans="1:11" ht="18.5" x14ac:dyDescent="0.45">
      <c r="A29" s="23" t="s">
        <v>49</v>
      </c>
      <c r="B29" s="24" t="s">
        <v>11</v>
      </c>
      <c r="C29" s="23" t="s">
        <v>50</v>
      </c>
      <c r="D29" s="25" t="s">
        <v>25</v>
      </c>
      <c r="E29" s="26" t="s">
        <v>11</v>
      </c>
      <c r="F29" s="27" t="s">
        <v>24</v>
      </c>
      <c r="G29" s="21"/>
      <c r="H29" s="36"/>
      <c r="I29" s="21"/>
      <c r="J29" s="36"/>
      <c r="K29" s="36"/>
    </row>
    <row r="30" spans="1:11" ht="18.5" x14ac:dyDescent="0.45">
      <c r="A30" s="23" t="s">
        <v>50</v>
      </c>
      <c r="B30" s="24" t="s">
        <v>11</v>
      </c>
      <c r="C30" s="35" t="s">
        <v>51</v>
      </c>
      <c r="D30" s="33" t="s">
        <v>24</v>
      </c>
      <c r="E30" s="26" t="s">
        <v>11</v>
      </c>
      <c r="F30" s="27" t="s">
        <v>23</v>
      </c>
      <c r="G30" s="21"/>
      <c r="H30" s="36"/>
      <c r="I30" s="21"/>
      <c r="J30" s="36"/>
      <c r="K30" s="36"/>
    </row>
    <row r="31" spans="1:11" ht="18.5" x14ac:dyDescent="0.45">
      <c r="A31" s="58" t="s">
        <v>12</v>
      </c>
      <c r="B31" s="58"/>
      <c r="C31" s="58"/>
      <c r="D31" s="37"/>
      <c r="E31" s="37"/>
      <c r="F31" s="37"/>
      <c r="G31" s="21"/>
      <c r="H31" s="2"/>
      <c r="I31" s="30"/>
      <c r="J31" s="4"/>
      <c r="K31" s="30"/>
    </row>
    <row r="32" spans="1:11" ht="18.5" x14ac:dyDescent="0.45">
      <c r="A32" s="37" t="s">
        <v>13</v>
      </c>
      <c r="B32" s="37"/>
      <c r="C32" s="37"/>
      <c r="D32" s="37"/>
      <c r="E32" s="37"/>
      <c r="F32" s="37"/>
      <c r="G32" s="21"/>
      <c r="H32" s="2"/>
      <c r="I32" s="30"/>
      <c r="J32" s="30"/>
      <c r="K32" s="30"/>
    </row>
  </sheetData>
  <mergeCells count="17">
    <mergeCell ref="A6:G6"/>
    <mergeCell ref="A1:K1"/>
    <mergeCell ref="A2:G2"/>
    <mergeCell ref="A3:G3"/>
    <mergeCell ref="A4:G4"/>
    <mergeCell ref="A5:G5"/>
    <mergeCell ref="D13:F13"/>
    <mergeCell ref="D14:F14"/>
    <mergeCell ref="A31:F31"/>
    <mergeCell ref="A32:F32"/>
    <mergeCell ref="A8:K8"/>
    <mergeCell ref="A9:K9"/>
    <mergeCell ref="A10:K10"/>
    <mergeCell ref="A11:K11"/>
    <mergeCell ref="D12:F12"/>
    <mergeCell ref="G12:H12"/>
    <mergeCell ref="I12:J12"/>
  </mergeCells>
  <phoneticPr fontId="0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Calculation Sheet</vt:lpstr>
      <vt:lpstr>Field Sheet</vt:lpstr>
      <vt:lpstr>Chart1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R. Deibert</dc:creator>
  <cp:lastModifiedBy>Blumenthal, Bryce W (DFW)</cp:lastModifiedBy>
  <cp:lastPrinted>2011-04-21T20:09:18Z</cp:lastPrinted>
  <dcterms:created xsi:type="dcterms:W3CDTF">2004-04-01T22:48:41Z</dcterms:created>
  <dcterms:modified xsi:type="dcterms:W3CDTF">2022-05-11T17:59:55Z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2022-03-30T20:22:17Z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e435cf7b-7bb1-46d5-8e55-79d6ed4687a5</vt:lpwstr>
  </property>
  <property fmtid="{D5CDD505-2E9C-101B-9397-08002B2CF9AE}" pid="8" name="MSIP_Label_45011977-b912-4387-97a4-f4c94a801377_ContentBits">
    <vt:lpwstr>0</vt:lpwstr>
  </property>
</Properties>
</file>