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esktop/Github/razor-clam-harvest-monitoring/02_data/IE data/"/>
    </mc:Choice>
  </mc:AlternateContent>
  <xr:revisionPtr revIDLastSave="34" documentId="11_62AF00494238597E6E589A8005B04F3BBF13F571" xr6:coauthVersionLast="47" xr6:coauthVersionMax="47" xr10:uidLastSave="{B0620BC6-A8E4-4451-93D0-1045FA7A6693}"/>
  <bookViews>
    <workbookView xWindow="-120" yWindow="-120" windowWidth="29040" windowHeight="15720" xr2:uid="{00000000-000D-0000-FFFF-FFFF00000000}"/>
  </bookViews>
  <sheets>
    <sheet name="Observations" sheetId="1" r:id="rId1"/>
    <sheet name="Datasheet Metadata" sheetId="2" r:id="rId2"/>
    <sheet name="Data Diction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V19" i="1" s="1"/>
  <c r="T4" i="1"/>
  <c r="V4" i="1" s="1"/>
  <c r="S17" i="2"/>
  <c r="R17" i="2"/>
  <c r="T17" i="2" s="1"/>
  <c r="U17" i="2" s="1"/>
  <c r="V17" i="2" s="1"/>
  <c r="S16" i="2"/>
  <c r="R16" i="2"/>
  <c r="T16" i="2" s="1"/>
  <c r="U16" i="2" s="1"/>
  <c r="V16" i="2" s="1"/>
  <c r="S15" i="2"/>
  <c r="R15" i="2"/>
  <c r="T15" i="2" s="1"/>
  <c r="U15" i="2" s="1"/>
  <c r="V15" i="2" s="1"/>
  <c r="S14" i="2"/>
  <c r="R14" i="2"/>
  <c r="T14" i="2" s="1"/>
  <c r="U14" i="2" s="1"/>
  <c r="V14" i="2" s="1"/>
  <c r="S13" i="2"/>
  <c r="R13" i="2"/>
  <c r="T13" i="2" s="1"/>
  <c r="U13" i="2" s="1"/>
  <c r="V13" i="2" s="1"/>
  <c r="T12" i="2"/>
  <c r="U12" i="2" s="1"/>
  <c r="V12" i="2" s="1"/>
  <c r="S12" i="2"/>
  <c r="R12" i="2"/>
  <c r="T11" i="2"/>
  <c r="U11" i="2" s="1"/>
  <c r="V11" i="2" s="1"/>
  <c r="S11" i="2"/>
  <c r="R11" i="2"/>
  <c r="S10" i="2"/>
  <c r="R10" i="2"/>
  <c r="T10" i="2" s="1"/>
  <c r="U10" i="2" s="1"/>
  <c r="V10" i="2" s="1"/>
  <c r="S9" i="2"/>
  <c r="R9" i="2"/>
  <c r="T9" i="2" s="1"/>
  <c r="U9" i="2" s="1"/>
  <c r="V9" i="2" s="1"/>
  <c r="S8" i="2"/>
  <c r="R8" i="2"/>
  <c r="S7" i="2"/>
  <c r="R7" i="2"/>
  <c r="T7" i="2" s="1"/>
  <c r="U7" i="2" s="1"/>
  <c r="V7" i="2" s="1"/>
  <c r="S6" i="2"/>
  <c r="R6" i="2"/>
  <c r="T6" i="2" s="1"/>
  <c r="U6" i="2" s="1"/>
  <c r="V6" i="2" s="1"/>
  <c r="S5" i="2"/>
  <c r="R5" i="2"/>
  <c r="T5" i="2" s="1"/>
  <c r="U5" i="2" s="1"/>
  <c r="V5" i="2" s="1"/>
  <c r="S4" i="2"/>
  <c r="R4" i="2"/>
  <c r="T4" i="2" s="1"/>
  <c r="U4" i="2" s="1"/>
  <c r="V4" i="2" s="1"/>
  <c r="T3" i="2"/>
  <c r="U3" i="2" s="1"/>
  <c r="V3" i="2" s="1"/>
  <c r="S3" i="2"/>
  <c r="R3" i="2"/>
  <c r="U257" i="1"/>
  <c r="T257" i="1"/>
  <c r="U256" i="1"/>
  <c r="T256" i="1"/>
  <c r="V256" i="1" s="1"/>
  <c r="U255" i="1"/>
  <c r="T255" i="1"/>
  <c r="U254" i="1"/>
  <c r="T254" i="1"/>
  <c r="V254" i="1" s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T246" i="1"/>
  <c r="V246" i="1" s="1"/>
  <c r="U245" i="1"/>
  <c r="T245" i="1"/>
  <c r="U244" i="1"/>
  <c r="T244" i="1"/>
  <c r="U243" i="1"/>
  <c r="T243" i="1"/>
  <c r="U242" i="1"/>
  <c r="T242" i="1"/>
  <c r="U241" i="1"/>
  <c r="T241" i="1"/>
  <c r="U240" i="1"/>
  <c r="T240" i="1"/>
  <c r="V240" i="1" s="1"/>
  <c r="U239" i="1"/>
  <c r="T239" i="1"/>
  <c r="U238" i="1"/>
  <c r="T238" i="1"/>
  <c r="V238" i="1" s="1"/>
  <c r="U237" i="1"/>
  <c r="T237" i="1"/>
  <c r="U236" i="1"/>
  <c r="T236" i="1"/>
  <c r="U235" i="1"/>
  <c r="T235" i="1"/>
  <c r="U234" i="1"/>
  <c r="T234" i="1"/>
  <c r="U233" i="1"/>
  <c r="T233" i="1"/>
  <c r="U232" i="1"/>
  <c r="T232" i="1"/>
  <c r="U231" i="1"/>
  <c r="T231" i="1"/>
  <c r="U230" i="1"/>
  <c r="T230" i="1"/>
  <c r="V230" i="1" s="1"/>
  <c r="U229" i="1"/>
  <c r="T229" i="1"/>
  <c r="V229" i="1" s="1"/>
  <c r="U228" i="1"/>
  <c r="T228" i="1"/>
  <c r="V228" i="1" s="1"/>
  <c r="U227" i="1"/>
  <c r="T227" i="1"/>
  <c r="U226" i="1"/>
  <c r="T226" i="1"/>
  <c r="V226" i="1" s="1"/>
  <c r="U225" i="1"/>
  <c r="T225" i="1"/>
  <c r="U224" i="1"/>
  <c r="T224" i="1"/>
  <c r="V224" i="1" s="1"/>
  <c r="V223" i="1"/>
  <c r="U223" i="1"/>
  <c r="T223" i="1"/>
  <c r="U222" i="1"/>
  <c r="T222" i="1"/>
  <c r="U221" i="1"/>
  <c r="T221" i="1"/>
  <c r="U220" i="1"/>
  <c r="T220" i="1"/>
  <c r="U219" i="1"/>
  <c r="T219" i="1"/>
  <c r="V219" i="1" s="1"/>
  <c r="U218" i="1"/>
  <c r="T218" i="1"/>
  <c r="U217" i="1"/>
  <c r="T217" i="1"/>
  <c r="U216" i="1"/>
  <c r="T216" i="1"/>
  <c r="U215" i="1"/>
  <c r="T215" i="1"/>
  <c r="V215" i="1" s="1"/>
  <c r="U214" i="1"/>
  <c r="T214" i="1"/>
  <c r="U213" i="1"/>
  <c r="T213" i="1"/>
  <c r="U212" i="1"/>
  <c r="T212" i="1"/>
  <c r="U211" i="1"/>
  <c r="T211" i="1"/>
  <c r="V211" i="1" s="1"/>
  <c r="U210" i="1"/>
  <c r="T210" i="1"/>
  <c r="V209" i="1"/>
  <c r="U209" i="1"/>
  <c r="T209" i="1"/>
  <c r="V208" i="1"/>
  <c r="U208" i="1"/>
  <c r="T208" i="1"/>
  <c r="U207" i="1"/>
  <c r="T207" i="1"/>
  <c r="V206" i="1"/>
  <c r="U206" i="1"/>
  <c r="T206" i="1"/>
  <c r="V205" i="1"/>
  <c r="U205" i="1"/>
  <c r="T205" i="1"/>
  <c r="V204" i="1"/>
  <c r="U204" i="1"/>
  <c r="T204" i="1"/>
  <c r="U203" i="1"/>
  <c r="T203" i="1"/>
  <c r="U202" i="1"/>
  <c r="T202" i="1"/>
  <c r="U201" i="1"/>
  <c r="T201" i="1"/>
  <c r="U200" i="1"/>
  <c r="T200" i="1"/>
  <c r="U199" i="1"/>
  <c r="T199" i="1"/>
  <c r="U198" i="1"/>
  <c r="T198" i="1"/>
  <c r="U197" i="1"/>
  <c r="T197" i="1"/>
  <c r="V197" i="1" s="1"/>
  <c r="U196" i="1"/>
  <c r="T196" i="1"/>
  <c r="U195" i="1"/>
  <c r="T195" i="1"/>
  <c r="V195" i="1" s="1"/>
  <c r="U194" i="1"/>
  <c r="T194" i="1"/>
  <c r="U193" i="1"/>
  <c r="T193" i="1"/>
  <c r="U192" i="1"/>
  <c r="T192" i="1"/>
  <c r="U191" i="1"/>
  <c r="T191" i="1"/>
  <c r="V191" i="1" s="1"/>
  <c r="U190" i="1"/>
  <c r="T190" i="1"/>
  <c r="U189" i="1"/>
  <c r="T189" i="1"/>
  <c r="U188" i="1"/>
  <c r="T188" i="1"/>
  <c r="U187" i="1"/>
  <c r="T187" i="1"/>
  <c r="V187" i="1" s="1"/>
  <c r="U186" i="1"/>
  <c r="T186" i="1"/>
  <c r="U185" i="1"/>
  <c r="T185" i="1"/>
  <c r="U184" i="1"/>
  <c r="T184" i="1"/>
  <c r="U183" i="1"/>
  <c r="T183" i="1"/>
  <c r="V183" i="1" s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V173" i="1" s="1"/>
  <c r="V172" i="1"/>
  <c r="U172" i="1"/>
  <c r="T172" i="1"/>
  <c r="V171" i="1"/>
  <c r="U171" i="1"/>
  <c r="T171" i="1"/>
  <c r="U170" i="1"/>
  <c r="T170" i="1"/>
  <c r="U169" i="1"/>
  <c r="T169" i="1"/>
  <c r="U168" i="1"/>
  <c r="T168" i="1"/>
  <c r="V168" i="1" s="1"/>
  <c r="U167" i="1"/>
  <c r="T167" i="1"/>
  <c r="U166" i="1"/>
  <c r="T166" i="1"/>
  <c r="V166" i="1" s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U156" i="1"/>
  <c r="T156" i="1"/>
  <c r="V155" i="1"/>
  <c r="U155" i="1"/>
  <c r="T155" i="1"/>
  <c r="V154" i="1"/>
  <c r="U154" i="1"/>
  <c r="T154" i="1"/>
  <c r="V153" i="1"/>
  <c r="U153" i="1"/>
  <c r="T153" i="1"/>
  <c r="U152" i="1"/>
  <c r="T152" i="1"/>
  <c r="V152" i="1" s="1"/>
  <c r="U151" i="1"/>
  <c r="T151" i="1"/>
  <c r="U150" i="1"/>
  <c r="T150" i="1"/>
  <c r="U149" i="1"/>
  <c r="T149" i="1"/>
  <c r="U148" i="1"/>
  <c r="T148" i="1"/>
  <c r="U147" i="1"/>
  <c r="T147" i="1"/>
  <c r="U146" i="1"/>
  <c r="T146" i="1"/>
  <c r="U145" i="1"/>
  <c r="T145" i="1"/>
  <c r="U144" i="1"/>
  <c r="T144" i="1"/>
  <c r="U143" i="1"/>
  <c r="T143" i="1"/>
  <c r="U142" i="1"/>
  <c r="T142" i="1"/>
  <c r="U141" i="1"/>
  <c r="T141" i="1"/>
  <c r="U140" i="1"/>
  <c r="T140" i="1"/>
  <c r="V140" i="1" s="1"/>
  <c r="U139" i="1"/>
  <c r="T139" i="1"/>
  <c r="U138" i="1"/>
  <c r="T138" i="1"/>
  <c r="U137" i="1"/>
  <c r="T137" i="1"/>
  <c r="U136" i="1"/>
  <c r="T136" i="1"/>
  <c r="U135" i="1"/>
  <c r="T135" i="1"/>
  <c r="U134" i="1"/>
  <c r="T134" i="1"/>
  <c r="U133" i="1"/>
  <c r="T133" i="1"/>
  <c r="V133" i="1" s="1"/>
  <c r="U132" i="1"/>
  <c r="T132" i="1"/>
  <c r="U131" i="1"/>
  <c r="T131" i="1"/>
  <c r="U130" i="1"/>
  <c r="T130" i="1"/>
  <c r="U129" i="1"/>
  <c r="T129" i="1"/>
  <c r="U128" i="1"/>
  <c r="T128" i="1"/>
  <c r="U127" i="1"/>
  <c r="T127" i="1"/>
  <c r="U126" i="1"/>
  <c r="T126" i="1"/>
  <c r="U125" i="1"/>
  <c r="T125" i="1"/>
  <c r="U124" i="1"/>
  <c r="T124" i="1"/>
  <c r="V124" i="1" s="1"/>
  <c r="U123" i="1"/>
  <c r="T123" i="1"/>
  <c r="V123" i="1" s="1"/>
  <c r="U122" i="1"/>
  <c r="T122" i="1"/>
  <c r="U121" i="1"/>
  <c r="T121" i="1"/>
  <c r="V121" i="1" s="1"/>
  <c r="U120" i="1"/>
  <c r="T120" i="1"/>
  <c r="V120" i="1" s="1"/>
  <c r="U119" i="1"/>
  <c r="T119" i="1"/>
  <c r="U118" i="1"/>
  <c r="T118" i="1"/>
  <c r="V118" i="1" s="1"/>
  <c r="U117" i="1"/>
  <c r="T117" i="1"/>
  <c r="U116" i="1"/>
  <c r="T116" i="1"/>
  <c r="V116" i="1" s="1"/>
  <c r="U115" i="1"/>
  <c r="T115" i="1"/>
  <c r="U114" i="1"/>
  <c r="T114" i="1"/>
  <c r="V114" i="1" s="1"/>
  <c r="U113" i="1"/>
  <c r="T113" i="1"/>
  <c r="U112" i="1"/>
  <c r="T112" i="1"/>
  <c r="U111" i="1"/>
  <c r="T111" i="1"/>
  <c r="U110" i="1"/>
  <c r="T110" i="1"/>
  <c r="U109" i="1"/>
  <c r="T109" i="1"/>
  <c r="V109" i="1" s="1"/>
  <c r="U108" i="1"/>
  <c r="T108" i="1"/>
  <c r="U107" i="1"/>
  <c r="T107" i="1"/>
  <c r="V107" i="1" s="1"/>
  <c r="U106" i="1"/>
  <c r="T106" i="1"/>
  <c r="V106" i="1" s="1"/>
  <c r="U105" i="1"/>
  <c r="T105" i="1"/>
  <c r="U104" i="1"/>
  <c r="T104" i="1"/>
  <c r="U103" i="1"/>
  <c r="T103" i="1"/>
  <c r="V103" i="1" s="1"/>
  <c r="U102" i="1"/>
  <c r="T102" i="1"/>
  <c r="V102" i="1" s="1"/>
  <c r="U101" i="1"/>
  <c r="T101" i="1"/>
  <c r="U100" i="1"/>
  <c r="T100" i="1"/>
  <c r="V100" i="1" s="1"/>
  <c r="U99" i="1"/>
  <c r="T99" i="1"/>
  <c r="U98" i="1"/>
  <c r="V98" i="1" s="1"/>
  <c r="T98" i="1"/>
  <c r="U97" i="1"/>
  <c r="V97" i="1" s="1"/>
  <c r="T97" i="1"/>
  <c r="U96" i="1"/>
  <c r="T96" i="1"/>
  <c r="V96" i="1" s="1"/>
  <c r="U95" i="1"/>
  <c r="T95" i="1"/>
  <c r="V95" i="1" s="1"/>
  <c r="V94" i="1"/>
  <c r="U94" i="1"/>
  <c r="T94" i="1"/>
  <c r="U93" i="1"/>
  <c r="T93" i="1"/>
  <c r="U92" i="1"/>
  <c r="T92" i="1"/>
  <c r="U91" i="1"/>
  <c r="T91" i="1"/>
  <c r="V91" i="1" s="1"/>
  <c r="V90" i="1"/>
  <c r="U90" i="1"/>
  <c r="T90" i="1"/>
  <c r="U89" i="1"/>
  <c r="T89" i="1"/>
  <c r="U88" i="1"/>
  <c r="T88" i="1"/>
  <c r="V88" i="1" s="1"/>
  <c r="U87" i="1"/>
  <c r="T87" i="1"/>
  <c r="U86" i="1"/>
  <c r="T86" i="1"/>
  <c r="V86" i="1" s="1"/>
  <c r="U85" i="1"/>
  <c r="T85" i="1"/>
  <c r="U84" i="1"/>
  <c r="T84" i="1"/>
  <c r="V84" i="1" s="1"/>
  <c r="U83" i="1"/>
  <c r="T83" i="1"/>
  <c r="U82" i="1"/>
  <c r="T82" i="1"/>
  <c r="V82" i="1" s="1"/>
  <c r="U81" i="1"/>
  <c r="T81" i="1"/>
  <c r="U80" i="1"/>
  <c r="T80" i="1"/>
  <c r="U79" i="1"/>
  <c r="T79" i="1"/>
  <c r="U78" i="1"/>
  <c r="V78" i="1" s="1"/>
  <c r="T78" i="1"/>
  <c r="U77" i="1"/>
  <c r="T77" i="1"/>
  <c r="U76" i="1"/>
  <c r="T76" i="1"/>
  <c r="U75" i="1"/>
  <c r="T75" i="1"/>
  <c r="V75" i="1" s="1"/>
  <c r="U74" i="1"/>
  <c r="T74" i="1"/>
  <c r="V74" i="1" s="1"/>
  <c r="U73" i="1"/>
  <c r="V73" i="1" s="1"/>
  <c r="T73" i="1"/>
  <c r="U72" i="1"/>
  <c r="T72" i="1"/>
  <c r="U71" i="1"/>
  <c r="T71" i="1"/>
  <c r="V71" i="1" s="1"/>
  <c r="U70" i="1"/>
  <c r="T70" i="1"/>
  <c r="V70" i="1" s="1"/>
  <c r="U69" i="1"/>
  <c r="T69" i="1"/>
  <c r="U68" i="1"/>
  <c r="T68" i="1"/>
  <c r="V68" i="1" s="1"/>
  <c r="U67" i="1"/>
  <c r="T67" i="1"/>
  <c r="U66" i="1"/>
  <c r="V66" i="1" s="1"/>
  <c r="T66" i="1"/>
  <c r="U65" i="1"/>
  <c r="V65" i="1" s="1"/>
  <c r="T65" i="1"/>
  <c r="U64" i="1"/>
  <c r="T64" i="1"/>
  <c r="V64" i="1" s="1"/>
  <c r="U63" i="1"/>
  <c r="T63" i="1"/>
  <c r="V63" i="1" s="1"/>
  <c r="V62" i="1"/>
  <c r="U62" i="1"/>
  <c r="T62" i="1"/>
  <c r="U61" i="1"/>
  <c r="T61" i="1"/>
  <c r="V61" i="1" s="1"/>
  <c r="U60" i="1"/>
  <c r="T60" i="1"/>
  <c r="U59" i="1"/>
  <c r="T59" i="1"/>
  <c r="V59" i="1" s="1"/>
  <c r="V58" i="1"/>
  <c r="U58" i="1"/>
  <c r="T58" i="1"/>
  <c r="U57" i="1"/>
  <c r="T57" i="1"/>
  <c r="U56" i="1"/>
  <c r="T56" i="1"/>
  <c r="V56" i="1" s="1"/>
  <c r="V55" i="1"/>
  <c r="U55" i="1"/>
  <c r="T55" i="1"/>
  <c r="U54" i="1"/>
  <c r="V54" i="1" s="1"/>
  <c r="T54" i="1"/>
  <c r="U53" i="1"/>
  <c r="T53" i="1"/>
  <c r="V53" i="1" s="1"/>
  <c r="U52" i="1"/>
  <c r="T52" i="1"/>
  <c r="V52" i="1" s="1"/>
  <c r="U51" i="1"/>
  <c r="T51" i="1"/>
  <c r="V51" i="1" s="1"/>
  <c r="U50" i="1"/>
  <c r="T50" i="1"/>
  <c r="V50" i="1" s="1"/>
  <c r="U49" i="1"/>
  <c r="V49" i="1" s="1"/>
  <c r="T49" i="1"/>
  <c r="U48" i="1"/>
  <c r="T48" i="1"/>
  <c r="V48" i="1" s="1"/>
  <c r="U47" i="1"/>
  <c r="T47" i="1"/>
  <c r="V47" i="1" s="1"/>
  <c r="V46" i="1"/>
  <c r="U46" i="1"/>
  <c r="T46" i="1"/>
  <c r="U45" i="1"/>
  <c r="T45" i="1"/>
  <c r="V45" i="1" s="1"/>
  <c r="U44" i="1"/>
  <c r="T44" i="1"/>
  <c r="V44" i="1" s="1"/>
  <c r="U43" i="1"/>
  <c r="T43" i="1"/>
  <c r="V43" i="1" s="1"/>
  <c r="U42" i="1"/>
  <c r="T42" i="1"/>
  <c r="V42" i="1" s="1"/>
  <c r="U41" i="1"/>
  <c r="V41" i="1" s="1"/>
  <c r="T41" i="1"/>
  <c r="U40" i="1"/>
  <c r="T40" i="1"/>
  <c r="V40" i="1" s="1"/>
  <c r="U39" i="1"/>
  <c r="T39" i="1"/>
  <c r="V39" i="1" s="1"/>
  <c r="V38" i="1"/>
  <c r="U38" i="1"/>
  <c r="T38" i="1"/>
  <c r="U37" i="1"/>
  <c r="T37" i="1"/>
  <c r="V37" i="1" s="1"/>
  <c r="U36" i="1"/>
  <c r="T36" i="1"/>
  <c r="V36" i="1" s="1"/>
  <c r="U35" i="1"/>
  <c r="T35" i="1"/>
  <c r="V35" i="1" s="1"/>
  <c r="U34" i="1"/>
  <c r="T34" i="1"/>
  <c r="V34" i="1" s="1"/>
  <c r="U33" i="1"/>
  <c r="V33" i="1" s="1"/>
  <c r="T33" i="1"/>
  <c r="U32" i="1"/>
  <c r="T32" i="1"/>
  <c r="V32" i="1" s="1"/>
  <c r="U31" i="1"/>
  <c r="T31" i="1"/>
  <c r="V31" i="1" s="1"/>
  <c r="V30" i="1"/>
  <c r="U30" i="1"/>
  <c r="T30" i="1"/>
  <c r="U29" i="1"/>
  <c r="V29" i="1" s="1"/>
  <c r="T29" i="1"/>
  <c r="U28" i="1"/>
  <c r="T28" i="1"/>
  <c r="V28" i="1" s="1"/>
  <c r="U27" i="1"/>
  <c r="T27" i="1"/>
  <c r="V27" i="1" s="1"/>
  <c r="U26" i="1"/>
  <c r="T26" i="1"/>
  <c r="V26" i="1" s="1"/>
  <c r="U25" i="1"/>
  <c r="V25" i="1" s="1"/>
  <c r="T25" i="1"/>
  <c r="U24" i="1"/>
  <c r="T24" i="1"/>
  <c r="V24" i="1" s="1"/>
  <c r="U23" i="1"/>
  <c r="T23" i="1"/>
  <c r="V23" i="1" s="1"/>
  <c r="V22" i="1"/>
  <c r="U22" i="1"/>
  <c r="T22" i="1"/>
  <c r="U21" i="1"/>
  <c r="V21" i="1" s="1"/>
  <c r="T21" i="1"/>
  <c r="U20" i="1"/>
  <c r="T20" i="1"/>
  <c r="V20" i="1" s="1"/>
  <c r="U19" i="1"/>
  <c r="U18" i="1"/>
  <c r="T18" i="1"/>
  <c r="V18" i="1" s="1"/>
  <c r="U17" i="1"/>
  <c r="V17" i="1" s="1"/>
  <c r="T17" i="1"/>
  <c r="U16" i="1"/>
  <c r="T16" i="1"/>
  <c r="V16" i="1" s="1"/>
  <c r="U15" i="1"/>
  <c r="T15" i="1"/>
  <c r="V15" i="1" s="1"/>
  <c r="V14" i="1"/>
  <c r="U14" i="1"/>
  <c r="T14" i="1"/>
  <c r="U13" i="1"/>
  <c r="T13" i="1"/>
  <c r="V13" i="1" s="1"/>
  <c r="U12" i="1"/>
  <c r="T12" i="1"/>
  <c r="V12" i="1" s="1"/>
  <c r="U11" i="1"/>
  <c r="T11" i="1"/>
  <c r="V11" i="1" s="1"/>
  <c r="U10" i="1"/>
  <c r="T10" i="1"/>
  <c r="V10" i="1" s="1"/>
  <c r="U9" i="1"/>
  <c r="V9" i="1" s="1"/>
  <c r="T9" i="1"/>
  <c r="U8" i="1"/>
  <c r="T8" i="1"/>
  <c r="V8" i="1" s="1"/>
  <c r="U7" i="1"/>
  <c r="T7" i="1"/>
  <c r="V7" i="1" s="1"/>
  <c r="V6" i="1"/>
  <c r="U6" i="1"/>
  <c r="T6" i="1"/>
  <c r="U5" i="1"/>
  <c r="T5" i="1"/>
  <c r="V5" i="1" s="1"/>
  <c r="U4" i="1"/>
  <c r="U3" i="1"/>
  <c r="T3" i="1"/>
  <c r="V3" i="1" s="1"/>
  <c r="V126" i="1" l="1"/>
  <c r="V130" i="1"/>
  <c r="V138" i="1"/>
  <c r="V142" i="1"/>
  <c r="V146" i="1"/>
  <c r="V150" i="1"/>
  <c r="V221" i="1"/>
  <c r="V127" i="1"/>
  <c r="V131" i="1"/>
  <c r="V218" i="1"/>
  <c r="V222" i="1"/>
  <c r="V147" i="1"/>
  <c r="V157" i="1"/>
  <c r="V165" i="1"/>
  <c r="V176" i="1"/>
  <c r="V180" i="1"/>
  <c r="V200" i="1"/>
  <c r="V144" i="1"/>
  <c r="V151" i="1"/>
  <c r="V207" i="1"/>
  <c r="V214" i="1"/>
  <c r="V237" i="1"/>
  <c r="V253" i="1"/>
  <c r="V201" i="1"/>
  <c r="V134" i="1"/>
  <c r="V122" i="1"/>
  <c r="V129" i="1"/>
  <c r="V149" i="1"/>
  <c r="V182" i="1"/>
  <c r="V190" i="1"/>
  <c r="V198" i="1"/>
  <c r="V212" i="1"/>
  <c r="V231" i="1"/>
  <c r="V235" i="1"/>
  <c r="V239" i="1"/>
  <c r="V247" i="1"/>
  <c r="V251" i="1"/>
  <c r="V255" i="1"/>
  <c r="V105" i="1"/>
  <c r="V169" i="1"/>
  <c r="V225" i="1"/>
  <c r="T8" i="2"/>
  <c r="U8" i="2" s="1"/>
  <c r="V8" i="2" s="1"/>
  <c r="V110" i="1"/>
  <c r="V158" i="1"/>
  <c r="V177" i="1"/>
  <c r="V181" i="1"/>
  <c r="V185" i="1"/>
  <c r="V189" i="1"/>
  <c r="V241" i="1"/>
  <c r="V174" i="1"/>
  <c r="V194" i="1"/>
  <c r="V242" i="1"/>
  <c r="V243" i="1"/>
  <c r="V217" i="1"/>
  <c r="V249" i="1"/>
  <c r="V60" i="1"/>
  <c r="V67" i="1"/>
  <c r="V81" i="1"/>
  <c r="V85" i="1"/>
  <c r="V92" i="1"/>
  <c r="V99" i="1"/>
  <c r="V113" i="1"/>
  <c r="V117" i="1"/>
  <c r="V137" i="1"/>
  <c r="V141" i="1"/>
  <c r="V148" i="1"/>
  <c r="V161" i="1"/>
  <c r="V175" i="1"/>
  <c r="V179" i="1"/>
  <c r="V186" i="1"/>
  <c r="V210" i="1"/>
  <c r="V232" i="1"/>
  <c r="V236" i="1"/>
  <c r="V250" i="1"/>
  <c r="V257" i="1"/>
  <c r="V77" i="1"/>
  <c r="V162" i="1"/>
  <c r="V57" i="1"/>
  <c r="V89" i="1"/>
  <c r="V145" i="1"/>
  <c r="V72" i="1"/>
  <c r="V79" i="1"/>
  <c r="V93" i="1"/>
  <c r="V104" i="1"/>
  <c r="V111" i="1"/>
  <c r="V128" i="1"/>
  <c r="V135" i="1"/>
  <c r="V159" i="1"/>
  <c r="V163" i="1"/>
  <c r="V170" i="1"/>
  <c r="V184" i="1"/>
  <c r="V188" i="1"/>
  <c r="V202" i="1"/>
  <c r="V233" i="1"/>
  <c r="V244" i="1"/>
  <c r="V178" i="1"/>
  <c r="V193" i="1"/>
  <c r="V69" i="1"/>
  <c r="V76" i="1"/>
  <c r="V83" i="1"/>
  <c r="V101" i="1"/>
  <c r="V108" i="1"/>
  <c r="V115" i="1"/>
  <c r="V125" i="1"/>
  <c r="V132" i="1"/>
  <c r="V139" i="1"/>
  <c r="V156" i="1"/>
  <c r="V167" i="1"/>
  <c r="V192" i="1"/>
  <c r="V196" i="1"/>
  <c r="V199" i="1"/>
  <c r="V203" i="1"/>
  <c r="V216" i="1"/>
  <c r="V220" i="1"/>
  <c r="V234" i="1"/>
  <c r="V248" i="1"/>
  <c r="V80" i="1"/>
  <c r="V87" i="1"/>
  <c r="V112" i="1"/>
  <c r="V119" i="1"/>
  <c r="V136" i="1"/>
  <c r="V143" i="1"/>
  <c r="V160" i="1"/>
  <c r="V164" i="1"/>
  <c r="V213" i="1"/>
  <c r="V227" i="1"/>
  <c r="V245" i="1"/>
  <c r="V252" i="1"/>
</calcChain>
</file>

<file path=xl/sharedStrings.xml><?xml version="1.0" encoding="utf-8"?>
<sst xmlns="http://schemas.openxmlformats.org/spreadsheetml/2006/main" count="3066" uniqueCount="419">
  <si>
    <t>Ingress-Egress Datasheet Transcription - Tidy Observations</t>
  </si>
  <si>
    <t>Source File</t>
  </si>
  <si>
    <t>PDF Page</t>
  </si>
  <si>
    <t>Datasheet ID</t>
  </si>
  <si>
    <t>Beach</t>
  </si>
  <si>
    <t>Access Point</t>
  </si>
  <si>
    <t>Date</t>
  </si>
  <si>
    <t>Sampler</t>
  </si>
  <si>
    <t>Row Number</t>
  </si>
  <si>
    <t>Row Type</t>
  </si>
  <si>
    <t>Time Start</t>
  </si>
  <si>
    <t>Time End</t>
  </si>
  <si>
    <t>Relative Start</t>
  </si>
  <si>
    <t>Relative End</t>
  </si>
  <si>
    <t>Cars On Raw</t>
  </si>
  <si>
    <t>Cars On</t>
  </si>
  <si>
    <t>Cars Off Raw</t>
  </si>
  <si>
    <t>Cars Off</t>
  </si>
  <si>
    <t>Entry Status</t>
  </si>
  <si>
    <t>Transcription Note</t>
  </si>
  <si>
    <t>Cumulative Cars On</t>
  </si>
  <si>
    <t>Cumulative Cars Off</t>
  </si>
  <si>
    <t>Calculated Vehicles in Area</t>
  </si>
  <si>
    <t>2022-2026-Copalis-Mocrocks.pdf</t>
  </si>
  <si>
    <t>P01</t>
  </si>
  <si>
    <t>Copalis Beach</t>
  </si>
  <si>
    <t>Ocean City North</t>
  </si>
  <si>
    <t>Bryce</t>
  </si>
  <si>
    <t>Prior to Start</t>
  </si>
  <si>
    <t>Observed</t>
  </si>
  <si>
    <t>15-minute interval</t>
  </si>
  <si>
    <t>0507</t>
  </si>
  <si>
    <t>0522</t>
  </si>
  <si>
    <t>3:00</t>
  </si>
  <si>
    <t>2:45</t>
  </si>
  <si>
    <t>3</t>
  </si>
  <si>
    <t>0537</t>
  </si>
  <si>
    <t>2:30</t>
  </si>
  <si>
    <t>0552</t>
  </si>
  <si>
    <t>2:15</t>
  </si>
  <si>
    <t>0607</t>
  </si>
  <si>
    <t>2:00</t>
  </si>
  <si>
    <t>0622</t>
  </si>
  <si>
    <t>1:45</t>
  </si>
  <si>
    <t>0637</t>
  </si>
  <si>
    <t>1:30</t>
  </si>
  <si>
    <t>51</t>
  </si>
  <si>
    <t>0652</t>
  </si>
  <si>
    <t>1:15</t>
  </si>
  <si>
    <t>0707</t>
  </si>
  <si>
    <t>1:00</t>
  </si>
  <si>
    <t>0722</t>
  </si>
  <si>
    <t>0:45</t>
  </si>
  <si>
    <t>0737</t>
  </si>
  <si>
    <t>0:30</t>
  </si>
  <si>
    <t>34</t>
  </si>
  <si>
    <t>0752</t>
  </si>
  <si>
    <t>0:15</t>
  </si>
  <si>
    <t>0807</t>
  </si>
  <si>
    <t>0:00</t>
  </si>
  <si>
    <t>14</t>
  </si>
  <si>
    <t>0822</t>
  </si>
  <si>
    <t>0837</t>
  </si>
  <si>
    <t>0852</t>
  </si>
  <si>
    <t>0907</t>
  </si>
  <si>
    <t>P02</t>
  </si>
  <si>
    <t>Mocrocks</t>
  </si>
  <si>
    <t>Roosevelt App. South</t>
  </si>
  <si>
    <t>Clayton</t>
  </si>
  <si>
    <t>2</t>
  </si>
  <si>
    <t>Cars Off source cell blank; treated as 0.</t>
  </si>
  <si>
    <t>0545</t>
  </si>
  <si>
    <t>0600</t>
  </si>
  <si>
    <t>-</t>
  </si>
  <si>
    <t>Dashes interpreted as 0.</t>
  </si>
  <si>
    <t>0615</t>
  </si>
  <si>
    <t>0630</t>
  </si>
  <si>
    <t>0645</t>
  </si>
  <si>
    <t>0700</t>
  </si>
  <si>
    <t>0715</t>
  </si>
  <si>
    <t>0730</t>
  </si>
  <si>
    <t>0745</t>
  </si>
  <si>
    <t>0800</t>
  </si>
  <si>
    <t>28</t>
  </si>
  <si>
    <t>0815</t>
  </si>
  <si>
    <t>23</t>
  </si>
  <si>
    <t>19</t>
  </si>
  <si>
    <t>0830</t>
  </si>
  <si>
    <t>0845</t>
  </si>
  <si>
    <t>0900</t>
  </si>
  <si>
    <t>0915</t>
  </si>
  <si>
    <t>0930</t>
  </si>
  <si>
    <t>0945</t>
  </si>
  <si>
    <t>P03</t>
  </si>
  <si>
    <t>0714</t>
  </si>
  <si>
    <t>0729</t>
  </si>
  <si>
    <t>0744</t>
  </si>
  <si>
    <t>0759</t>
  </si>
  <si>
    <t>0814</t>
  </si>
  <si>
    <t>0829</t>
  </si>
  <si>
    <t>0844</t>
  </si>
  <si>
    <t>0859</t>
  </si>
  <si>
    <t>0914</t>
  </si>
  <si>
    <t>0929</t>
  </si>
  <si>
    <t>0944</t>
  </si>
  <si>
    <t>0959</t>
  </si>
  <si>
    <t>1014</t>
  </si>
  <si>
    <t>1029</t>
  </si>
  <si>
    <t>1044</t>
  </si>
  <si>
    <t>1059</t>
  </si>
  <si>
    <t>1114</t>
  </si>
  <si>
    <t>P04</t>
  </si>
  <si>
    <t>JG</t>
  </si>
  <si>
    <t>Not recorded</t>
  </si>
  <si>
    <t>0801</t>
  </si>
  <si>
    <t>0816</t>
  </si>
  <si>
    <t>0831</t>
  </si>
  <si>
    <t>0846</t>
  </si>
  <si>
    <t>0901</t>
  </si>
  <si>
    <t>0916</t>
  </si>
  <si>
    <t>0931</t>
  </si>
  <si>
    <t>0946</t>
  </si>
  <si>
    <t>1001</t>
  </si>
  <si>
    <t>1016</t>
  </si>
  <si>
    <t>1031</t>
  </si>
  <si>
    <t>1046</t>
  </si>
  <si>
    <t>1101</t>
  </si>
  <si>
    <t>1116</t>
  </si>
  <si>
    <t>1131</t>
  </si>
  <si>
    <t>26*</t>
  </si>
  <si>
    <t>Asterisk in source.</t>
  </si>
  <si>
    <t>1146</t>
  </si>
  <si>
    <t>30*</t>
  </si>
  <si>
    <t>1201</t>
  </si>
  <si>
    <t>P05</t>
  </si>
  <si>
    <t>Chase</t>
  </si>
  <si>
    <t>1023</t>
  </si>
  <si>
    <t>1038</t>
  </si>
  <si>
    <t>1053</t>
  </si>
  <si>
    <t>1108</t>
  </si>
  <si>
    <t>1123</t>
  </si>
  <si>
    <t>1138</t>
  </si>
  <si>
    <t>1153</t>
  </si>
  <si>
    <t>1208</t>
  </si>
  <si>
    <t>1223</t>
  </si>
  <si>
    <t>1238</t>
  </si>
  <si>
    <t>1253</t>
  </si>
  <si>
    <t>1308</t>
  </si>
  <si>
    <t>1323</t>
  </si>
  <si>
    <t>1338</t>
  </si>
  <si>
    <t>1353</t>
  </si>
  <si>
    <t>12</t>
  </si>
  <si>
    <t>1408</t>
  </si>
  <si>
    <t>1423</t>
  </si>
  <si>
    <t>P06</t>
  </si>
  <si>
    <t>1315</t>
  </si>
  <si>
    <t>1330</t>
  </si>
  <si>
    <t>1345</t>
  </si>
  <si>
    <t>1400</t>
  </si>
  <si>
    <t>1415</t>
  </si>
  <si>
    <t>1430</t>
  </si>
  <si>
    <t>1445</t>
  </si>
  <si>
    <t>1500</t>
  </si>
  <si>
    <t>1515</t>
  </si>
  <si>
    <t>1530</t>
  </si>
  <si>
    <t>1545</t>
  </si>
  <si>
    <t>1600</t>
  </si>
  <si>
    <t>1615</t>
  </si>
  <si>
    <t>36</t>
  </si>
  <si>
    <t>1630</t>
  </si>
  <si>
    <t>1645</t>
  </si>
  <si>
    <t>1700</t>
  </si>
  <si>
    <t>1715</t>
  </si>
  <si>
    <t>P07</t>
  </si>
  <si>
    <t>M. Joseph</t>
  </si>
  <si>
    <t>1730</t>
  </si>
  <si>
    <t>43</t>
  </si>
  <si>
    <t>1745</t>
  </si>
  <si>
    <t>1800</t>
  </si>
  <si>
    <t>Dashes; no numeric value recorded.</t>
  </si>
  <si>
    <t>P08</t>
  </si>
  <si>
    <t>BB/CF</t>
  </si>
  <si>
    <t>0808</t>
  </si>
  <si>
    <t>0823</t>
  </si>
  <si>
    <t>Crossed out</t>
  </si>
  <si>
    <t>Both count cells crossed out.</t>
  </si>
  <si>
    <t>0838</t>
  </si>
  <si>
    <t>0853</t>
  </si>
  <si>
    <t>0908</t>
  </si>
  <si>
    <t>0923</t>
  </si>
  <si>
    <t>0938</t>
  </si>
  <si>
    <t>0953</t>
  </si>
  <si>
    <t>1008</t>
  </si>
  <si>
    <t>P09</t>
  </si>
  <si>
    <t>1603</t>
  </si>
  <si>
    <t>1618</t>
  </si>
  <si>
    <t>1633</t>
  </si>
  <si>
    <t>1648</t>
  </si>
  <si>
    <t>1703</t>
  </si>
  <si>
    <t>1718</t>
  </si>
  <si>
    <t>1733</t>
  </si>
  <si>
    <t>1748</t>
  </si>
  <si>
    <t>1803</t>
  </si>
  <si>
    <t>1818</t>
  </si>
  <si>
    <t>1833</t>
  </si>
  <si>
    <t>1848</t>
  </si>
  <si>
    <t>1903</t>
  </si>
  <si>
    <t>1918</t>
  </si>
  <si>
    <t>1933</t>
  </si>
  <si>
    <t>Cars On dash; Cars Off blank.</t>
  </si>
  <si>
    <t>1948</t>
  </si>
  <si>
    <t>2003</t>
  </si>
  <si>
    <t>P10</t>
  </si>
  <si>
    <t>Mocrocks Beach</t>
  </si>
  <si>
    <t>Roosevelt Beach Rd. South</t>
  </si>
  <si>
    <t>1815</t>
  </si>
  <si>
    <t>1830</t>
  </si>
  <si>
    <t>1845</t>
  </si>
  <si>
    <t>1900</t>
  </si>
  <si>
    <t>1915</t>
  </si>
  <si>
    <t>1930</t>
  </si>
  <si>
    <t>1945</t>
  </si>
  <si>
    <t>2000</t>
  </si>
  <si>
    <t>2018</t>
  </si>
  <si>
    <t>P11</t>
  </si>
  <si>
    <t>Bryce B.</t>
  </si>
  <si>
    <t>1539</t>
  </si>
  <si>
    <t>1554</t>
  </si>
  <si>
    <t>1609</t>
  </si>
  <si>
    <t>1624</t>
  </si>
  <si>
    <t>1639</t>
  </si>
  <si>
    <t>1654</t>
  </si>
  <si>
    <t>1709</t>
  </si>
  <si>
    <t>1724</t>
  </si>
  <si>
    <t>1739</t>
  </si>
  <si>
    <t>1754</t>
  </si>
  <si>
    <t>1809</t>
  </si>
  <si>
    <t>1824</t>
  </si>
  <si>
    <t>1839</t>
  </si>
  <si>
    <t>1854</t>
  </si>
  <si>
    <t>1909</t>
  </si>
  <si>
    <t>1924</t>
  </si>
  <si>
    <t>1939</t>
  </si>
  <si>
    <t>P12</t>
  </si>
  <si>
    <t>2015</t>
  </si>
  <si>
    <t>2030</t>
  </si>
  <si>
    <t>P13</t>
  </si>
  <si>
    <t>BB DW</t>
  </si>
  <si>
    <t>1414</t>
  </si>
  <si>
    <t>1429</t>
  </si>
  <si>
    <t>/</t>
  </si>
  <si>
    <t>Cars On cell diagonally crossed; row excluded.</t>
  </si>
  <si>
    <t>1444</t>
  </si>
  <si>
    <t>1459</t>
  </si>
  <si>
    <t>1514</t>
  </si>
  <si>
    <t>1529</t>
  </si>
  <si>
    <t>1544</t>
  </si>
  <si>
    <t>1559</t>
  </si>
  <si>
    <t>1614</t>
  </si>
  <si>
    <t>1629</t>
  </si>
  <si>
    <t>1644</t>
  </si>
  <si>
    <t>1659</t>
  </si>
  <si>
    <t>1714</t>
  </si>
  <si>
    <t>1729</t>
  </si>
  <si>
    <t>1744</t>
  </si>
  <si>
    <t>Source end time appears as "1933"; normalized to 1744.</t>
  </si>
  <si>
    <t>1759</t>
  </si>
  <si>
    <t>Source end time appears as "1948"; normalized to 1759.</t>
  </si>
  <si>
    <t>1814</t>
  </si>
  <si>
    <t>Both count cells diagonally crossed; row excluded.</t>
  </si>
  <si>
    <t>P14</t>
  </si>
  <si>
    <t>BB</t>
  </si>
  <si>
    <t>0543</t>
  </si>
  <si>
    <t>0558</t>
  </si>
  <si>
    <t>0613</t>
  </si>
  <si>
    <t>0628</t>
  </si>
  <si>
    <t>0643</t>
  </si>
  <si>
    <t>0658</t>
  </si>
  <si>
    <t>0713</t>
  </si>
  <si>
    <t>0728</t>
  </si>
  <si>
    <t>0743</t>
  </si>
  <si>
    <t>0758</t>
  </si>
  <si>
    <t>0813</t>
  </si>
  <si>
    <t>0828</t>
  </si>
  <si>
    <t>0843</t>
  </si>
  <si>
    <t>0858</t>
  </si>
  <si>
    <t>0913</t>
  </si>
  <si>
    <t>0928</t>
  </si>
  <si>
    <t>0943</t>
  </si>
  <si>
    <t>P15</t>
  </si>
  <si>
    <t>0508</t>
  </si>
  <si>
    <t>0523</t>
  </si>
  <si>
    <t>0538</t>
  </si>
  <si>
    <t>0553</t>
  </si>
  <si>
    <t>0608</t>
  </si>
  <si>
    <t>0623</t>
  </si>
  <si>
    <t>0638</t>
  </si>
  <si>
    <t>0653</t>
  </si>
  <si>
    <t>0708</t>
  </si>
  <si>
    <t>0723</t>
  </si>
  <si>
    <t>0738</t>
  </si>
  <si>
    <t>0753</t>
  </si>
  <si>
    <t>Datasheet Metadata and Balance Check</t>
  </si>
  <si>
    <t>Tide Height</t>
  </si>
  <si>
    <t>Tide Unit</t>
  </si>
  <si>
    <t>Tide Time (as written)</t>
  </si>
  <si>
    <t>Solar Event</t>
  </si>
  <si>
    <t>Solar Time (as written)</t>
  </si>
  <si>
    <t>Weather / Wind / Surf</t>
  </si>
  <si>
    <t>Count Left Raw</t>
  </si>
  <si>
    <t>Discrepancy Raw</t>
  </si>
  <si>
    <t>Count Left Interpreted</t>
  </si>
  <si>
    <t>Page Notes</t>
  </si>
  <si>
    <t>Total Cars On</t>
  </si>
  <si>
    <t>Total Cars Off</t>
  </si>
  <si>
    <t>Calculated Balance</t>
  </si>
  <si>
    <t>Calculated Absolute Discrepancy</t>
  </si>
  <si>
    <t>Review</t>
  </si>
  <si>
    <t>ft</t>
  </si>
  <si>
    <t>8:07 AM</t>
  </si>
  <si>
    <t>Sunrise</t>
  </si>
  <si>
    <t>6:51 AM</t>
  </si>
  <si>
    <t>132</t>
  </si>
  <si>
    <t>8:45 AM (printed 8:07 AM crossed out)</t>
  </si>
  <si>
    <t>6:49 AM</t>
  </si>
  <si>
    <t>10:14 AM</t>
  </si>
  <si>
    <t>6:13 AM</t>
  </si>
  <si>
    <t>Handwritten page note: "Dan? Hymer (360) 581-9796" (name uncertain).</t>
  </si>
  <si>
    <t>11:01 AM</t>
  </si>
  <si>
    <t>6:11 AM</t>
  </si>
  <si>
    <t>Sunny, low+ surf, northern wind 0-5 mph. Sunny changed to cloudy at low tide.</t>
  </si>
  <si>
    <t>Margin notes: "Plane"; "Few people came up &amp; distracted me. I believe the 3 missing cars belong here." Total Cars On "219" written below table.</t>
  </si>
  <si>
    <t>1:23 PM (1323)</t>
  </si>
  <si>
    <t>7:23 AM</t>
  </si>
  <si>
    <t>Overcast, 49°F, 7 mph NW, low+ to moderate surf conditions.</t>
  </si>
  <si>
    <t>303</t>
  </si>
  <si>
    <t>Notes: "@1010" at left; "5 planes @1434" below table.</t>
  </si>
  <si>
    <t>4:15 PM (1615)</t>
  </si>
  <si>
    <t>Sunset</t>
  </si>
  <si>
    <t>6:11 PM</t>
  </si>
  <si>
    <t>47°F, high 48°F, low 41°F; mostly sunny, precipitation 0%; humidity 58%; wind 7 mph from south; 3-4 ft surf.</t>
  </si>
  <si>
    <t>5:00 PM (1700)</t>
  </si>
  <si>
    <t>6:12 PM</t>
  </si>
  <si>
    <t>Overcast, moderately low surf, west wind 10-15 knots, about 50°F.</t>
  </si>
  <si>
    <t>73</t>
  </si>
  <si>
    <t>Handwritten note above table appears to read "leave @ 1845" (uncertain). The value 73 was entered on the discrepancy line; interpreted as count of cars left because the count line is blank.</t>
  </si>
  <si>
    <t>11:08 AM (1108)</t>
  </si>
  <si>
    <t>7:27 AM</t>
  </si>
  <si>
    <t>149</t>
  </si>
  <si>
    <t>7:03 PM (1903)</t>
  </si>
  <si>
    <t>6:24 PM (1824)</t>
  </si>
  <si>
    <t>Note below table: "@1920".</t>
  </si>
  <si>
    <t>7:15 PM (1915)</t>
  </si>
  <si>
    <t>5:59 PM (1759)</t>
  </si>
  <si>
    <t>6:39 PM (1839)</t>
  </si>
  <si>
    <t>6:00 PM (1800)</t>
  </si>
  <si>
    <t>6 ft W swell, 5 kt E wind, overcast and foggy but still visible.</t>
  </si>
  <si>
    <t>7:30 PM (1930)</t>
  </si>
  <si>
    <t>7:21 PM (1921)</t>
  </si>
  <si>
    <t>45°F, partly cloudy with rain; high 47°F, low 39°F; 15 mph SE; surf 4-5 ft, low+ to moderate swell.</t>
  </si>
  <si>
    <t>Note below table: "@1945-2000".</t>
  </si>
  <si>
    <t>5:14 PM (1714)</t>
  </si>
  <si>
    <t>4:56 PM (1656)</t>
  </si>
  <si>
    <t>5 kt E, 4 ft W, clear and sunny.</t>
  </si>
  <si>
    <t>Two middle interval end times appear malformed on source; normalized to the expected 15-minute sequence.</t>
  </si>
  <si>
    <t>8:43 AM (0843)</t>
  </si>
  <si>
    <t>7:15 AM (0715)</t>
  </si>
  <si>
    <t>7 ft W, 10-second period swell; 5-10 kt WNW; partly cloudy/sunny.</t>
  </si>
  <si>
    <t>129</t>
  </si>
  <si>
    <t>Notes: "@954" below table; right-margin notation appears to read "342/11" (uncertain).</t>
  </si>
  <si>
    <t>8:08 PM (0808) [AM/PM conflicts with 24-hour time and morning intervals]</t>
  </si>
  <si>
    <t>5:57 AM (0557)</t>
  </si>
  <si>
    <t>5-10 kt NE, 5 ft W, sunny and clear.</t>
  </si>
  <si>
    <t>176</t>
  </si>
  <si>
    <t>Tide time contains a source inconsistency: printed PM, but 24-hour value 0808 and intervals indicate morning.</t>
  </si>
  <si>
    <t>Transcription Conventions and Review Notes</t>
  </si>
  <si>
    <t>Field / Topic</t>
  </si>
  <si>
    <t>Meaning</t>
  </si>
  <si>
    <t>Convention Used</t>
  </si>
  <si>
    <t>Review Guidance</t>
  </si>
  <si>
    <t>Raw count fields</t>
  </si>
  <si>
    <t>Exactly what appears in the handwritten count cell.</t>
  </si>
  <si>
    <t>Numbers, blanks, dashes, X marks, and overwritten values are retained as text.</t>
  </si>
  <si>
    <t>Use these fields when auditing against the PDF.</t>
  </si>
  <si>
    <t>Parsed count fields</t>
  </si>
  <si>
    <t>Numeric values used for calculations.</t>
  </si>
  <si>
    <t>Clear numbers are numeric. Blank cells that clearly represented zero are parsed as 0 and noted. Crossed-out or unobserved rows remain blank.</t>
  </si>
  <si>
    <t>Filter Entry Status and Transcription Note before analysis.</t>
  </si>
  <si>
    <t>Whether the interval was usable.</t>
  </si>
  <si>
    <t>Observed, Not recorded, or Crossed out.</t>
  </si>
  <si>
    <t>Only Observed rows contribute to calculated totals.</t>
  </si>
  <si>
    <t>Cumulative columns</t>
  </si>
  <si>
    <t>Running ingress, egress, and vehicle balance.</t>
  </si>
  <si>
    <t>Formula-driven and reset by Datasheet ID.</t>
  </si>
  <si>
    <t>These are calculated fields, not handwritten values.</t>
  </si>
  <si>
    <t>Calculated discrepancy</t>
  </si>
  <si>
    <t>Absolute difference between calculated balance and interpreted final count.</t>
  </si>
  <si>
    <t>Formula-driven in Datasheet Metadata.</t>
  </si>
  <si>
    <t>A nonzero result may reflect counting error, late start, early stop, or an unrecorded interval.</t>
  </si>
  <si>
    <t>Page 6 overwrite</t>
  </si>
  <si>
    <t>Cars On for 1545-1600.</t>
  </si>
  <si>
    <t>Transcribed as 32 from the visible correction and exact balance check.</t>
  </si>
  <si>
    <t>Review PDF page 6 if a different interpretation is preferred.</t>
  </si>
  <si>
    <t>Page 7 final count</t>
  </si>
  <si>
    <t>The number 73 is written on the discrepancy line while the count line is blank.</t>
  </si>
  <si>
    <t>Count Left Interpreted is 73; raw fields preserve the original placement.</t>
  </si>
  <si>
    <t>Review PDF page 7.</t>
  </si>
  <si>
    <t>Page 13 times</t>
  </si>
  <si>
    <t>Two printed/handwritten interval end times appear malformed.</t>
  </si>
  <si>
    <t>Normalized to the expected 15-minute sequence: 1729-1744 and 1744-1759.</t>
  </si>
  <si>
    <t>Source wording is retained in row notes.</t>
  </si>
  <si>
    <t>Page 15 tide time</t>
  </si>
  <si>
    <t>Printed AM/PM conflicts with the 24-hour value and morning intervals.</t>
  </si>
  <si>
    <t>Tide time is retained exactly as written, with the conflict noted.</t>
  </si>
  <si>
    <t>Treat the event as 0808 unless source documentation says otherwise.</t>
  </si>
  <si>
    <t>Source</t>
  </si>
  <si>
    <t>Original scanned datasheets.</t>
  </si>
  <si>
    <t>2022-2026-Copalis-Mocrocks.pdf, pages 1-15.</t>
  </si>
  <si>
    <t>PDF page number is included on every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</si>
</sst>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64E63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 applyNumberFormat="1" applyAlignment="1">
      <alignment vertical="top" wrapText="1"/>
    </xf>
  </cellXfs>
  <cellStyles count="1">
    <cellStyle name="Normal" xfId="0" builtinId="0"/>
  </cellStyles>
  <dxfs count="3">
    <dxf>
      <font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servationsTable" displayName="ObservationsTable" ref="A2:V257">
  <tableColumns count="22">
    <tableColumn id="1" xr3:uid="{00000000-0010-0000-0000-000001000000}" name="Source File"/>
    <tableColumn id="2" xr3:uid="{00000000-0010-0000-0000-000002000000}" name="PDF Page"/>
    <tableColumn id="3" xr3:uid="{00000000-0010-0000-0000-000003000000}" name="Datasheet ID"/>
    <tableColumn id="4" xr3:uid="{00000000-0010-0000-0000-000004000000}" name="Beach"/>
    <tableColumn id="5" xr3:uid="{00000000-0010-0000-0000-000005000000}" name="Access Point"/>
    <tableColumn id="6" xr3:uid="{00000000-0010-0000-0000-000006000000}" name="Date"/>
    <tableColumn id="7" xr3:uid="{00000000-0010-0000-0000-000007000000}" name="Sampler"/>
    <tableColumn id="8" xr3:uid="{00000000-0010-0000-0000-000008000000}" name="Row Number"/>
    <tableColumn id="9" xr3:uid="{00000000-0010-0000-0000-000009000000}" name="Row Type"/>
    <tableColumn id="10" xr3:uid="{00000000-0010-0000-0000-00000A000000}" name="Time Start"/>
    <tableColumn id="11" xr3:uid="{00000000-0010-0000-0000-00000B000000}" name="Time End"/>
    <tableColumn id="12" xr3:uid="{00000000-0010-0000-0000-00000C000000}" name="Relative Start"/>
    <tableColumn id="13" xr3:uid="{00000000-0010-0000-0000-00000D000000}" name="Relative End"/>
    <tableColumn id="14" xr3:uid="{00000000-0010-0000-0000-00000E000000}" name="Cars On Raw"/>
    <tableColumn id="15" xr3:uid="{00000000-0010-0000-0000-00000F000000}" name="Cars On"/>
    <tableColumn id="16" xr3:uid="{00000000-0010-0000-0000-000010000000}" name="Cars Off Raw"/>
    <tableColumn id="17" xr3:uid="{00000000-0010-0000-0000-000011000000}" name="Cars Off"/>
    <tableColumn id="18" xr3:uid="{00000000-0010-0000-0000-000012000000}" name="Entry Status"/>
    <tableColumn id="19" xr3:uid="{00000000-0010-0000-0000-000013000000}" name="Transcription Note"/>
    <tableColumn id="20" xr3:uid="{00000000-0010-0000-0000-000014000000}" name="Cumulative Cars On"/>
    <tableColumn id="21" xr3:uid="{00000000-0010-0000-0000-000015000000}" name="Cumulative Cars Off"/>
    <tableColumn id="22" xr3:uid="{00000000-0010-0000-0000-000016000000}" name="Calculated Vehicles in Are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adataTable" displayName="MetadataTable" ref="A2:V17">
  <tableColumns count="22">
    <tableColumn id="1" xr3:uid="{00000000-0010-0000-0100-000001000000}" name="Source File"/>
    <tableColumn id="2" xr3:uid="{00000000-0010-0000-0100-000002000000}" name="PDF Page"/>
    <tableColumn id="3" xr3:uid="{00000000-0010-0000-0100-000003000000}" name="Datasheet ID"/>
    <tableColumn id="4" xr3:uid="{00000000-0010-0000-0100-000004000000}" name="Beach"/>
    <tableColumn id="5" xr3:uid="{00000000-0010-0000-0100-000005000000}" name="Access Point"/>
    <tableColumn id="6" xr3:uid="{00000000-0010-0000-0100-000006000000}" name="Date"/>
    <tableColumn id="7" xr3:uid="{00000000-0010-0000-0100-000007000000}" name="Sampler"/>
    <tableColumn id="8" xr3:uid="{00000000-0010-0000-0100-000008000000}" name="Tide Height"/>
    <tableColumn id="9" xr3:uid="{00000000-0010-0000-0100-000009000000}" name="Tide Unit"/>
    <tableColumn id="10" xr3:uid="{00000000-0010-0000-0100-00000A000000}" name="Tide Time (as written)"/>
    <tableColumn id="11" xr3:uid="{00000000-0010-0000-0100-00000B000000}" name="Solar Event"/>
    <tableColumn id="12" xr3:uid="{00000000-0010-0000-0100-00000C000000}" name="Solar Time (as written)"/>
    <tableColumn id="13" xr3:uid="{00000000-0010-0000-0100-00000D000000}" name="Weather / Wind / Surf"/>
    <tableColumn id="14" xr3:uid="{00000000-0010-0000-0100-00000E000000}" name="Count Left Raw"/>
    <tableColumn id="15" xr3:uid="{00000000-0010-0000-0100-00000F000000}" name="Discrepancy Raw"/>
    <tableColumn id="16" xr3:uid="{00000000-0010-0000-0100-000010000000}" name="Count Left Interpreted"/>
    <tableColumn id="17" xr3:uid="{00000000-0010-0000-0100-000011000000}" name="Page Notes"/>
    <tableColumn id="18" xr3:uid="{00000000-0010-0000-0100-000012000000}" name="Total Cars On"/>
    <tableColumn id="19" xr3:uid="{00000000-0010-0000-0100-000013000000}" name="Total Cars Off"/>
    <tableColumn id="20" xr3:uid="{00000000-0010-0000-0100-000014000000}" name="Calculated Balance"/>
    <tableColumn id="21" xr3:uid="{00000000-0010-0000-0100-000015000000}" name="Calculated Absolute Discrepancy"/>
    <tableColumn id="22" xr3:uid="{00000000-0010-0000-0100-000016000000}" name="Revie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DictionaryTable" displayName="DataDictionaryTable" ref="A3:D13">
  <tableColumns count="4">
    <tableColumn id="1" xr3:uid="{00000000-0010-0000-0200-000001000000}" name="Field / Topic"/>
    <tableColumn id="2" xr3:uid="{00000000-0010-0000-0200-000002000000}" name="Meaning"/>
    <tableColumn id="3" xr3:uid="{00000000-0010-0000-0200-000003000000}" name="Convention Used"/>
    <tableColumn id="4" xr3:uid="{00000000-0010-0000-0200-000004000000}" name="Review 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7"/>
  <sheetViews>
    <sheetView tabSelected="1" topLeftCell="A85" zoomScale="70" zoomScaleNormal="70" workbookViewId="0">
      <selection activeCell="P122" sqref="A122:P122"/>
    </sheetView>
  </sheetViews>
  <sheetFormatPr defaultRowHeight="14.25"/>
  <cols>
    <col min="1" max="1" width="31" customWidth="1"/>
    <col min="2" max="2" width="9" customWidth="1"/>
    <col min="3" max="3" width="12" customWidth="1"/>
    <col min="4" max="4" width="18" customWidth="1"/>
    <col min="5" max="5" width="24" customWidth="1"/>
    <col min="6" max="6" width="12" customWidth="1"/>
    <col min="7" max="7" width="14" customWidth="1"/>
    <col min="8" max="8" width="10" customWidth="1"/>
    <col min="9" max="9" width="18" customWidth="1"/>
    <col min="10" max="10" width="13" customWidth="1"/>
    <col min="11" max="11" width="11" customWidth="1"/>
    <col min="12" max="12" width="13" customWidth="1"/>
    <col min="13" max="13" width="12" customWidth="1"/>
    <col min="14" max="14" width="15" customWidth="1"/>
    <col min="15" max="15" width="10" customWidth="1"/>
    <col min="16" max="16" width="15" customWidth="1"/>
    <col min="17" max="17" width="10" customWidth="1"/>
    <col min="18" max="18" width="14" customWidth="1"/>
    <col min="19" max="19" width="38" customWidth="1"/>
    <col min="20" max="20" width="18" customWidth="1"/>
    <col min="21" max="21" width="19" customWidth="1"/>
    <col min="22" max="22" width="23" customWidth="1"/>
  </cols>
  <sheetData>
    <row r="1" spans="1:22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33.95000000000000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>
      <c r="A3" s="2" t="s">
        <v>23</v>
      </c>
      <c r="B3" s="4">
        <v>1</v>
      </c>
      <c r="C3" s="2" t="s">
        <v>24</v>
      </c>
      <c r="D3" s="2" t="s">
        <v>25</v>
      </c>
      <c r="E3" s="2" t="s">
        <v>26</v>
      </c>
      <c r="F3" s="3">
        <v>44653</v>
      </c>
      <c r="G3" s="2" t="s">
        <v>27</v>
      </c>
      <c r="H3" s="4">
        <v>1</v>
      </c>
      <c r="I3" s="2" t="s">
        <v>28</v>
      </c>
      <c r="J3" s="2" t="s">
        <v>28</v>
      </c>
      <c r="K3" s="2"/>
      <c r="L3" s="2"/>
      <c r="M3" s="2"/>
      <c r="N3" s="7">
        <v>0</v>
      </c>
      <c r="O3" s="4">
        <v>0</v>
      </c>
      <c r="P3" s="7">
        <v>0</v>
      </c>
      <c r="Q3" s="4">
        <v>0</v>
      </c>
      <c r="R3" s="2" t="s">
        <v>29</v>
      </c>
      <c r="S3" s="2"/>
      <c r="T3" s="4">
        <f>IF(R3&lt;&gt;"Observed","",SUMIFS($O$3:O3,$C$3:C3,C3,$R$3:R3,"Observed"))</f>
        <v>0</v>
      </c>
      <c r="U3" s="4">
        <f>IF(R3&lt;&gt;"Observed","",SUMIFS($Q$3:Q3,$C$3:C3,C3,$R$3:R3,"Observed"))</f>
        <v>0</v>
      </c>
      <c r="V3" s="4">
        <f t="shared" ref="V3:V66" si="0">IF(R3&lt;&gt;"Observed","",T3-U3)</f>
        <v>0</v>
      </c>
    </row>
    <row r="4" spans="1:22">
      <c r="A4" s="2" t="s">
        <v>23</v>
      </c>
      <c r="B4" s="4">
        <v>1</v>
      </c>
      <c r="C4" s="2" t="s">
        <v>24</v>
      </c>
      <c r="D4" s="2" t="s">
        <v>25</v>
      </c>
      <c r="E4" s="2" t="s">
        <v>26</v>
      </c>
      <c r="F4" s="3">
        <v>44653</v>
      </c>
      <c r="G4" s="2" t="s">
        <v>27</v>
      </c>
      <c r="H4" s="4">
        <v>2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34</v>
      </c>
      <c r="N4" s="7">
        <v>3</v>
      </c>
      <c r="O4" s="4">
        <v>3</v>
      </c>
      <c r="P4" s="7">
        <v>0</v>
      </c>
      <c r="Q4" s="4">
        <v>0</v>
      </c>
      <c r="R4" s="2" t="s">
        <v>29</v>
      </c>
      <c r="S4" s="2"/>
      <c r="T4" s="4">
        <f>IF(R4&lt;&gt;"Observed","",SUMIFS($O$3:O4,$C$3:C4,C4,$R$3:R4,"Observed"))</f>
        <v>3</v>
      </c>
      <c r="U4" s="4">
        <f>IF(R4&lt;&gt;"Observed","",SUMIFS($Q$3:Q4,$C$3:C4,C4,$R$3:R4,"Observed"))</f>
        <v>0</v>
      </c>
      <c r="V4" s="4">
        <f t="shared" si="0"/>
        <v>3</v>
      </c>
    </row>
    <row r="5" spans="1:22">
      <c r="A5" s="2" t="s">
        <v>23</v>
      </c>
      <c r="B5" s="4">
        <v>1</v>
      </c>
      <c r="C5" s="2" t="s">
        <v>24</v>
      </c>
      <c r="D5" s="2" t="s">
        <v>25</v>
      </c>
      <c r="E5" s="2" t="s">
        <v>26</v>
      </c>
      <c r="F5" s="3">
        <v>44653</v>
      </c>
      <c r="G5" s="2" t="s">
        <v>27</v>
      </c>
      <c r="H5" s="4">
        <v>3</v>
      </c>
      <c r="I5" s="2" t="s">
        <v>30</v>
      </c>
      <c r="J5" s="2" t="s">
        <v>32</v>
      </c>
      <c r="K5" s="2" t="s">
        <v>36</v>
      </c>
      <c r="L5" s="2" t="s">
        <v>34</v>
      </c>
      <c r="M5" s="2" t="s">
        <v>37</v>
      </c>
      <c r="N5" s="7">
        <v>4</v>
      </c>
      <c r="O5" s="4">
        <v>4</v>
      </c>
      <c r="P5" s="7">
        <v>0</v>
      </c>
      <c r="Q5" s="4">
        <v>0</v>
      </c>
      <c r="R5" s="2" t="s">
        <v>29</v>
      </c>
      <c r="S5" s="2"/>
      <c r="T5" s="4">
        <f>IF(R5&lt;&gt;"Observed","",SUMIFS($O$3:O5,$C$3:C5,C5,$R$3:R5,"Observed"))</f>
        <v>7</v>
      </c>
      <c r="U5" s="4">
        <f>IF(R5&lt;&gt;"Observed","",SUMIFS($Q$3:Q5,$C$3:C5,C5,$R$3:R5,"Observed"))</f>
        <v>0</v>
      </c>
      <c r="V5" s="4">
        <f t="shared" si="0"/>
        <v>7</v>
      </c>
    </row>
    <row r="6" spans="1:22">
      <c r="A6" s="2" t="s">
        <v>23</v>
      </c>
      <c r="B6" s="4">
        <v>1</v>
      </c>
      <c r="C6" s="2" t="s">
        <v>24</v>
      </c>
      <c r="D6" s="2" t="s">
        <v>25</v>
      </c>
      <c r="E6" s="2" t="s">
        <v>26</v>
      </c>
      <c r="F6" s="3">
        <v>44653</v>
      </c>
      <c r="G6" s="2" t="s">
        <v>27</v>
      </c>
      <c r="H6" s="4">
        <v>4</v>
      </c>
      <c r="I6" s="2" t="s">
        <v>30</v>
      </c>
      <c r="J6" s="2" t="s">
        <v>36</v>
      </c>
      <c r="K6" s="2" t="s">
        <v>38</v>
      </c>
      <c r="L6" s="2" t="s">
        <v>37</v>
      </c>
      <c r="M6" s="2" t="s">
        <v>39</v>
      </c>
      <c r="N6" s="7">
        <v>15</v>
      </c>
      <c r="O6" s="4">
        <v>15</v>
      </c>
      <c r="P6" s="7">
        <v>0</v>
      </c>
      <c r="Q6" s="4">
        <v>0</v>
      </c>
      <c r="R6" s="2" t="s">
        <v>29</v>
      </c>
      <c r="S6" s="2"/>
      <c r="T6" s="4">
        <f>IF(R6&lt;&gt;"Observed","",SUMIFS($O$3:O6,$C$3:C6,C6,$R$3:R6,"Observed"))</f>
        <v>22</v>
      </c>
      <c r="U6" s="4">
        <f>IF(R6&lt;&gt;"Observed","",SUMIFS($Q$3:Q6,$C$3:C6,C6,$R$3:R6,"Observed"))</f>
        <v>0</v>
      </c>
      <c r="V6" s="4">
        <f t="shared" si="0"/>
        <v>22</v>
      </c>
    </row>
    <row r="7" spans="1:22">
      <c r="A7" s="2" t="s">
        <v>23</v>
      </c>
      <c r="B7" s="4">
        <v>1</v>
      </c>
      <c r="C7" s="2" t="s">
        <v>24</v>
      </c>
      <c r="D7" s="2" t="s">
        <v>25</v>
      </c>
      <c r="E7" s="2" t="s">
        <v>26</v>
      </c>
      <c r="F7" s="3">
        <v>44653</v>
      </c>
      <c r="G7" s="2" t="s">
        <v>27</v>
      </c>
      <c r="H7" s="4">
        <v>5</v>
      </c>
      <c r="I7" s="2" t="s">
        <v>30</v>
      </c>
      <c r="J7" s="2" t="s">
        <v>38</v>
      </c>
      <c r="K7" s="2" t="s">
        <v>40</v>
      </c>
      <c r="L7" s="2" t="s">
        <v>39</v>
      </c>
      <c r="M7" s="2" t="s">
        <v>41</v>
      </c>
      <c r="N7" s="7">
        <v>10</v>
      </c>
      <c r="O7" s="4">
        <v>10</v>
      </c>
      <c r="P7" s="7">
        <v>1</v>
      </c>
      <c r="Q7" s="4">
        <v>1</v>
      </c>
      <c r="R7" s="2" t="s">
        <v>29</v>
      </c>
      <c r="S7" s="2"/>
      <c r="T7" s="4">
        <f>IF(R7&lt;&gt;"Observed","",SUMIFS($O$3:O7,$C$3:C7,C7,$R$3:R7,"Observed"))</f>
        <v>32</v>
      </c>
      <c r="U7" s="4">
        <f>IF(R7&lt;&gt;"Observed","",SUMIFS($Q$3:Q7,$C$3:C7,C7,$R$3:R7,"Observed"))</f>
        <v>1</v>
      </c>
      <c r="V7" s="4">
        <f t="shared" si="0"/>
        <v>31</v>
      </c>
    </row>
    <row r="8" spans="1:22">
      <c r="A8" s="2" t="s">
        <v>23</v>
      </c>
      <c r="B8" s="4">
        <v>1</v>
      </c>
      <c r="C8" s="2" t="s">
        <v>24</v>
      </c>
      <c r="D8" s="2" t="s">
        <v>25</v>
      </c>
      <c r="E8" s="2" t="s">
        <v>26</v>
      </c>
      <c r="F8" s="3">
        <v>44653</v>
      </c>
      <c r="G8" s="2" t="s">
        <v>27</v>
      </c>
      <c r="H8" s="4">
        <v>6</v>
      </c>
      <c r="I8" s="2" t="s">
        <v>30</v>
      </c>
      <c r="J8" s="2" t="s">
        <v>40</v>
      </c>
      <c r="K8" s="2" t="s">
        <v>42</v>
      </c>
      <c r="L8" s="2" t="s">
        <v>41</v>
      </c>
      <c r="M8" s="2" t="s">
        <v>43</v>
      </c>
      <c r="N8" s="7">
        <v>26</v>
      </c>
      <c r="O8" s="4">
        <v>26</v>
      </c>
      <c r="P8" s="7">
        <v>1</v>
      </c>
      <c r="Q8" s="4">
        <v>1</v>
      </c>
      <c r="R8" s="2" t="s">
        <v>29</v>
      </c>
      <c r="S8" s="2"/>
      <c r="T8" s="4">
        <f>IF(R8&lt;&gt;"Observed","",SUMIFS($O$3:O8,$C$3:C8,C8,$R$3:R8,"Observed"))</f>
        <v>58</v>
      </c>
      <c r="U8" s="4">
        <f>IF(R8&lt;&gt;"Observed","",SUMIFS($Q$3:Q8,$C$3:C8,C8,$R$3:R8,"Observed"))</f>
        <v>2</v>
      </c>
      <c r="V8" s="4">
        <f t="shared" si="0"/>
        <v>56</v>
      </c>
    </row>
    <row r="9" spans="1:22">
      <c r="A9" s="2" t="s">
        <v>23</v>
      </c>
      <c r="B9" s="4">
        <v>1</v>
      </c>
      <c r="C9" s="2" t="s">
        <v>24</v>
      </c>
      <c r="D9" s="2" t="s">
        <v>25</v>
      </c>
      <c r="E9" s="2" t="s">
        <v>26</v>
      </c>
      <c r="F9" s="3">
        <v>44653</v>
      </c>
      <c r="G9" s="2" t="s">
        <v>27</v>
      </c>
      <c r="H9" s="4">
        <v>7</v>
      </c>
      <c r="I9" s="2" t="s">
        <v>30</v>
      </c>
      <c r="J9" s="2" t="s">
        <v>42</v>
      </c>
      <c r="K9" s="2" t="s">
        <v>44</v>
      </c>
      <c r="L9" s="2" t="s">
        <v>43</v>
      </c>
      <c r="M9" s="2" t="s">
        <v>45</v>
      </c>
      <c r="N9" s="7">
        <v>51</v>
      </c>
      <c r="O9" s="4">
        <v>51</v>
      </c>
      <c r="P9" s="7">
        <v>0</v>
      </c>
      <c r="Q9" s="4">
        <v>0</v>
      </c>
      <c r="R9" s="2" t="s">
        <v>29</v>
      </c>
      <c r="S9" s="2"/>
      <c r="T9" s="4">
        <f>IF(R9&lt;&gt;"Observed","",SUMIFS($O$3:O9,$C$3:C9,C9,$R$3:R9,"Observed"))</f>
        <v>109</v>
      </c>
      <c r="U9" s="4">
        <f>IF(R9&lt;&gt;"Observed","",SUMIFS($Q$3:Q9,$C$3:C9,C9,$R$3:R9,"Observed"))</f>
        <v>2</v>
      </c>
      <c r="V9" s="4">
        <f t="shared" si="0"/>
        <v>107</v>
      </c>
    </row>
    <row r="10" spans="1:22">
      <c r="A10" s="2" t="s">
        <v>23</v>
      </c>
      <c r="B10" s="4">
        <v>1</v>
      </c>
      <c r="C10" s="2" t="s">
        <v>24</v>
      </c>
      <c r="D10" s="2" t="s">
        <v>25</v>
      </c>
      <c r="E10" s="2" t="s">
        <v>26</v>
      </c>
      <c r="F10" s="3">
        <v>44653</v>
      </c>
      <c r="G10" s="2" t="s">
        <v>27</v>
      </c>
      <c r="H10" s="4">
        <v>8</v>
      </c>
      <c r="I10" s="2" t="s">
        <v>30</v>
      </c>
      <c r="J10" s="2" t="s">
        <v>44</v>
      </c>
      <c r="K10" s="2" t="s">
        <v>47</v>
      </c>
      <c r="L10" s="2" t="s">
        <v>45</v>
      </c>
      <c r="M10" s="2" t="s">
        <v>48</v>
      </c>
      <c r="N10" s="7">
        <v>59</v>
      </c>
      <c r="O10" s="4">
        <v>59</v>
      </c>
      <c r="P10" s="7">
        <v>3</v>
      </c>
      <c r="Q10" s="4">
        <v>3</v>
      </c>
      <c r="R10" s="2" t="s">
        <v>29</v>
      </c>
      <c r="S10" s="2"/>
      <c r="T10" s="4">
        <f>IF(R10&lt;&gt;"Observed","",SUMIFS($O$3:O10,$C$3:C10,C10,$R$3:R10,"Observed"))</f>
        <v>168</v>
      </c>
      <c r="U10" s="4">
        <f>IF(R10&lt;&gt;"Observed","",SUMIFS($Q$3:Q10,$C$3:C10,C10,$R$3:R10,"Observed"))</f>
        <v>5</v>
      </c>
      <c r="V10" s="4">
        <f t="shared" si="0"/>
        <v>163</v>
      </c>
    </row>
    <row r="11" spans="1:22">
      <c r="A11" s="2" t="s">
        <v>23</v>
      </c>
      <c r="B11" s="4">
        <v>1</v>
      </c>
      <c r="C11" s="2" t="s">
        <v>24</v>
      </c>
      <c r="D11" s="2" t="s">
        <v>25</v>
      </c>
      <c r="E11" s="2" t="s">
        <v>26</v>
      </c>
      <c r="F11" s="3">
        <v>44653</v>
      </c>
      <c r="G11" s="2" t="s">
        <v>27</v>
      </c>
      <c r="H11" s="4">
        <v>9</v>
      </c>
      <c r="I11" s="2" t="s">
        <v>30</v>
      </c>
      <c r="J11" s="2" t="s">
        <v>47</v>
      </c>
      <c r="K11" s="2" t="s">
        <v>49</v>
      </c>
      <c r="L11" s="2" t="s">
        <v>48</v>
      </c>
      <c r="M11" s="2" t="s">
        <v>50</v>
      </c>
      <c r="N11" s="7">
        <v>74</v>
      </c>
      <c r="O11" s="4">
        <v>74</v>
      </c>
      <c r="P11" s="7">
        <v>4</v>
      </c>
      <c r="Q11" s="4">
        <v>4</v>
      </c>
      <c r="R11" s="2" t="s">
        <v>29</v>
      </c>
      <c r="S11" s="2"/>
      <c r="T11" s="4">
        <f>IF(R11&lt;&gt;"Observed","",SUMIFS($O$3:O11,$C$3:C11,C11,$R$3:R11,"Observed"))</f>
        <v>242</v>
      </c>
      <c r="U11" s="4">
        <f>IF(R11&lt;&gt;"Observed","",SUMIFS($Q$3:Q11,$C$3:C11,C11,$R$3:R11,"Observed"))</f>
        <v>9</v>
      </c>
      <c r="V11" s="4">
        <f t="shared" si="0"/>
        <v>233</v>
      </c>
    </row>
    <row r="12" spans="1:22">
      <c r="A12" s="2" t="s">
        <v>23</v>
      </c>
      <c r="B12" s="4">
        <v>1</v>
      </c>
      <c r="C12" s="2" t="s">
        <v>24</v>
      </c>
      <c r="D12" s="2" t="s">
        <v>25</v>
      </c>
      <c r="E12" s="2" t="s">
        <v>26</v>
      </c>
      <c r="F12" s="3">
        <v>44653</v>
      </c>
      <c r="G12" s="2" t="s">
        <v>27</v>
      </c>
      <c r="H12" s="4">
        <v>10</v>
      </c>
      <c r="I12" s="2" t="s">
        <v>30</v>
      </c>
      <c r="J12" s="2" t="s">
        <v>49</v>
      </c>
      <c r="K12" s="2" t="s">
        <v>51</v>
      </c>
      <c r="L12" s="2" t="s">
        <v>50</v>
      </c>
      <c r="M12" s="2" t="s">
        <v>52</v>
      </c>
      <c r="N12" s="7">
        <v>64</v>
      </c>
      <c r="O12" s="4">
        <v>64</v>
      </c>
      <c r="P12" s="7">
        <v>17</v>
      </c>
      <c r="Q12" s="4">
        <v>17</v>
      </c>
      <c r="R12" s="2" t="s">
        <v>29</v>
      </c>
      <c r="S12" s="2"/>
      <c r="T12" s="4">
        <f>IF(R12&lt;&gt;"Observed","",SUMIFS($O$3:O12,$C$3:C12,C12,$R$3:R12,"Observed"))</f>
        <v>306</v>
      </c>
      <c r="U12" s="4">
        <f>IF(R12&lt;&gt;"Observed","",SUMIFS($Q$3:Q12,$C$3:C12,C12,$R$3:R12,"Observed"))</f>
        <v>26</v>
      </c>
      <c r="V12" s="4">
        <f t="shared" si="0"/>
        <v>280</v>
      </c>
    </row>
    <row r="13" spans="1:22">
      <c r="A13" s="2" t="s">
        <v>23</v>
      </c>
      <c r="B13" s="4">
        <v>1</v>
      </c>
      <c r="C13" s="2" t="s">
        <v>24</v>
      </c>
      <c r="D13" s="2" t="s">
        <v>25</v>
      </c>
      <c r="E13" s="2" t="s">
        <v>26</v>
      </c>
      <c r="F13" s="3">
        <v>44653</v>
      </c>
      <c r="G13" s="2" t="s">
        <v>27</v>
      </c>
      <c r="H13" s="4">
        <v>11</v>
      </c>
      <c r="I13" s="2" t="s">
        <v>30</v>
      </c>
      <c r="J13" s="2" t="s">
        <v>51</v>
      </c>
      <c r="K13" s="2" t="s">
        <v>53</v>
      </c>
      <c r="L13" s="2" t="s">
        <v>52</v>
      </c>
      <c r="M13" s="2" t="s">
        <v>54</v>
      </c>
      <c r="N13" s="7">
        <v>47</v>
      </c>
      <c r="O13" s="4">
        <v>47</v>
      </c>
      <c r="P13" s="7">
        <v>34</v>
      </c>
      <c r="Q13" s="4">
        <v>34</v>
      </c>
      <c r="R13" s="2" t="s">
        <v>29</v>
      </c>
      <c r="S13" s="2"/>
      <c r="T13" s="4">
        <f>IF(R13&lt;&gt;"Observed","",SUMIFS($O$3:O13,$C$3:C13,C13,$R$3:R13,"Observed"))</f>
        <v>353</v>
      </c>
      <c r="U13" s="4">
        <f>IF(R13&lt;&gt;"Observed","",SUMIFS($Q$3:Q13,$C$3:C13,C13,$R$3:R13,"Observed"))</f>
        <v>60</v>
      </c>
      <c r="V13" s="4">
        <f t="shared" si="0"/>
        <v>293</v>
      </c>
    </row>
    <row r="14" spans="1:22">
      <c r="A14" s="2" t="s">
        <v>23</v>
      </c>
      <c r="B14" s="4">
        <v>1</v>
      </c>
      <c r="C14" s="2" t="s">
        <v>24</v>
      </c>
      <c r="D14" s="2" t="s">
        <v>25</v>
      </c>
      <c r="E14" s="2" t="s">
        <v>26</v>
      </c>
      <c r="F14" s="3">
        <v>44653</v>
      </c>
      <c r="G14" s="2" t="s">
        <v>27</v>
      </c>
      <c r="H14" s="4">
        <v>12</v>
      </c>
      <c r="I14" s="2" t="s">
        <v>30</v>
      </c>
      <c r="J14" s="2" t="s">
        <v>53</v>
      </c>
      <c r="K14" s="2" t="s">
        <v>56</v>
      </c>
      <c r="L14" s="2" t="s">
        <v>54</v>
      </c>
      <c r="M14" s="2" t="s">
        <v>57</v>
      </c>
      <c r="N14" s="7">
        <v>18</v>
      </c>
      <c r="O14" s="4">
        <v>18</v>
      </c>
      <c r="P14" s="7">
        <v>37</v>
      </c>
      <c r="Q14" s="4">
        <v>37</v>
      </c>
      <c r="R14" s="2" t="s">
        <v>29</v>
      </c>
      <c r="S14" s="2"/>
      <c r="T14" s="4">
        <f>IF(R14&lt;&gt;"Observed","",SUMIFS($O$3:O14,$C$3:C14,C14,$R$3:R14,"Observed"))</f>
        <v>371</v>
      </c>
      <c r="U14" s="4">
        <f>IF(R14&lt;&gt;"Observed","",SUMIFS($Q$3:Q14,$C$3:C14,C14,$R$3:R14,"Observed"))</f>
        <v>97</v>
      </c>
      <c r="V14" s="4">
        <f t="shared" si="0"/>
        <v>274</v>
      </c>
    </row>
    <row r="15" spans="1:22">
      <c r="A15" s="2" t="s">
        <v>23</v>
      </c>
      <c r="B15" s="4">
        <v>1</v>
      </c>
      <c r="C15" s="2" t="s">
        <v>24</v>
      </c>
      <c r="D15" s="2" t="s">
        <v>25</v>
      </c>
      <c r="E15" s="2" t="s">
        <v>26</v>
      </c>
      <c r="F15" s="3">
        <v>44653</v>
      </c>
      <c r="G15" s="2" t="s">
        <v>27</v>
      </c>
      <c r="H15" s="4">
        <v>13</v>
      </c>
      <c r="I15" s="2" t="s">
        <v>30</v>
      </c>
      <c r="J15" s="2" t="s">
        <v>56</v>
      </c>
      <c r="K15" s="2" t="s">
        <v>58</v>
      </c>
      <c r="L15" s="2" t="s">
        <v>57</v>
      </c>
      <c r="M15" s="2" t="s">
        <v>59</v>
      </c>
      <c r="N15" s="7">
        <v>14</v>
      </c>
      <c r="O15" s="4">
        <v>14</v>
      </c>
      <c r="P15" s="7">
        <v>49</v>
      </c>
      <c r="Q15" s="4">
        <v>49</v>
      </c>
      <c r="R15" s="2" t="s">
        <v>29</v>
      </c>
      <c r="S15" s="2"/>
      <c r="T15" s="4">
        <f>IF(R15&lt;&gt;"Observed","",SUMIFS($O$3:O15,$C$3:C15,C15,$R$3:R15,"Observed"))</f>
        <v>385</v>
      </c>
      <c r="U15" s="4">
        <f>IF(R15&lt;&gt;"Observed","",SUMIFS($Q$3:Q15,$C$3:C15,C15,$R$3:R15,"Observed"))</f>
        <v>146</v>
      </c>
      <c r="V15" s="4">
        <f t="shared" si="0"/>
        <v>239</v>
      </c>
    </row>
    <row r="16" spans="1:22">
      <c r="A16" s="2" t="s">
        <v>23</v>
      </c>
      <c r="B16" s="4">
        <v>1</v>
      </c>
      <c r="C16" s="2" t="s">
        <v>24</v>
      </c>
      <c r="D16" s="2" t="s">
        <v>25</v>
      </c>
      <c r="E16" s="2" t="s">
        <v>26</v>
      </c>
      <c r="F16" s="3">
        <v>44653</v>
      </c>
      <c r="G16" s="2" t="s">
        <v>27</v>
      </c>
      <c r="H16" s="4">
        <v>14</v>
      </c>
      <c r="I16" s="2" t="s">
        <v>30</v>
      </c>
      <c r="J16" s="2" t="s">
        <v>58</v>
      </c>
      <c r="K16" s="2" t="s">
        <v>61</v>
      </c>
      <c r="L16" s="2" t="s">
        <v>59</v>
      </c>
      <c r="M16" s="2" t="s">
        <v>57</v>
      </c>
      <c r="N16" s="7">
        <v>14</v>
      </c>
      <c r="O16" s="4">
        <v>14</v>
      </c>
      <c r="P16" s="7">
        <v>47</v>
      </c>
      <c r="Q16" s="4">
        <v>47</v>
      </c>
      <c r="R16" s="2" t="s">
        <v>29</v>
      </c>
      <c r="S16" s="2"/>
      <c r="T16" s="4">
        <f>IF(R16&lt;&gt;"Observed","",SUMIFS($O$3:O16,$C$3:C16,C16,$R$3:R16,"Observed"))</f>
        <v>399</v>
      </c>
      <c r="U16" s="4">
        <f>IF(R16&lt;&gt;"Observed","",SUMIFS($Q$3:Q16,$C$3:C16,C16,$R$3:R16,"Observed"))</f>
        <v>193</v>
      </c>
      <c r="V16" s="4">
        <f t="shared" si="0"/>
        <v>206</v>
      </c>
    </row>
    <row r="17" spans="1:22">
      <c r="A17" s="2" t="s">
        <v>23</v>
      </c>
      <c r="B17" s="4">
        <v>1</v>
      </c>
      <c r="C17" s="2" t="s">
        <v>24</v>
      </c>
      <c r="D17" s="2" t="s">
        <v>25</v>
      </c>
      <c r="E17" s="2" t="s">
        <v>26</v>
      </c>
      <c r="F17" s="3">
        <v>44653</v>
      </c>
      <c r="G17" s="2" t="s">
        <v>27</v>
      </c>
      <c r="H17" s="4">
        <v>15</v>
      </c>
      <c r="I17" s="2" t="s">
        <v>30</v>
      </c>
      <c r="J17" s="2" t="s">
        <v>61</v>
      </c>
      <c r="K17" s="2" t="s">
        <v>62</v>
      </c>
      <c r="L17" s="2" t="s">
        <v>57</v>
      </c>
      <c r="M17" s="2" t="s">
        <v>54</v>
      </c>
      <c r="N17" s="7">
        <v>13</v>
      </c>
      <c r="O17" s="4">
        <v>13</v>
      </c>
      <c r="P17" s="7">
        <v>33</v>
      </c>
      <c r="Q17" s="4">
        <v>33</v>
      </c>
      <c r="R17" s="2" t="s">
        <v>29</v>
      </c>
      <c r="S17" s="2"/>
      <c r="T17" s="4">
        <f>IF(R17&lt;&gt;"Observed","",SUMIFS($O$3:O17,$C$3:C17,C17,$R$3:R17,"Observed"))</f>
        <v>412</v>
      </c>
      <c r="U17" s="4">
        <f>IF(R17&lt;&gt;"Observed","",SUMIFS($Q$3:Q17,$C$3:C17,C17,$R$3:R17,"Observed"))</f>
        <v>226</v>
      </c>
      <c r="V17" s="4">
        <f t="shared" si="0"/>
        <v>186</v>
      </c>
    </row>
    <row r="18" spans="1:22">
      <c r="A18" s="2" t="s">
        <v>23</v>
      </c>
      <c r="B18" s="4">
        <v>1</v>
      </c>
      <c r="C18" s="2" t="s">
        <v>24</v>
      </c>
      <c r="D18" s="2" t="s">
        <v>25</v>
      </c>
      <c r="E18" s="2" t="s">
        <v>26</v>
      </c>
      <c r="F18" s="3">
        <v>44653</v>
      </c>
      <c r="G18" s="2" t="s">
        <v>27</v>
      </c>
      <c r="H18" s="4">
        <v>16</v>
      </c>
      <c r="I18" s="2" t="s">
        <v>30</v>
      </c>
      <c r="J18" s="2" t="s">
        <v>62</v>
      </c>
      <c r="K18" s="2" t="s">
        <v>63</v>
      </c>
      <c r="L18" s="2" t="s">
        <v>54</v>
      </c>
      <c r="M18" s="2" t="s">
        <v>52</v>
      </c>
      <c r="N18" s="7">
        <v>7</v>
      </c>
      <c r="O18" s="4">
        <v>7</v>
      </c>
      <c r="P18" s="7">
        <v>54</v>
      </c>
      <c r="Q18" s="4">
        <v>54</v>
      </c>
      <c r="R18" s="2" t="s">
        <v>29</v>
      </c>
      <c r="S18" s="2"/>
      <c r="T18" s="4">
        <f>IF(R18&lt;&gt;"Observed","",SUMIFS($O$3:O18,$C$3:C18,C18,$R$3:R18,"Observed"))</f>
        <v>419</v>
      </c>
      <c r="U18" s="4">
        <f>IF(R18&lt;&gt;"Observed","",SUMIFS($Q$3:Q18,$C$3:C18,C18,$R$3:R18,"Observed"))</f>
        <v>280</v>
      </c>
      <c r="V18" s="4">
        <f t="shared" si="0"/>
        <v>139</v>
      </c>
    </row>
    <row r="19" spans="1:22">
      <c r="A19" s="2" t="s">
        <v>23</v>
      </c>
      <c r="B19" s="4">
        <v>1</v>
      </c>
      <c r="C19" s="2" t="s">
        <v>24</v>
      </c>
      <c r="D19" s="2" t="s">
        <v>25</v>
      </c>
      <c r="E19" s="2" t="s">
        <v>26</v>
      </c>
      <c r="F19" s="3">
        <v>44653</v>
      </c>
      <c r="G19" s="2" t="s">
        <v>27</v>
      </c>
      <c r="H19" s="4">
        <v>17</v>
      </c>
      <c r="I19" s="2" t="s">
        <v>30</v>
      </c>
      <c r="J19" s="2" t="s">
        <v>63</v>
      </c>
      <c r="K19" s="2" t="s">
        <v>64</v>
      </c>
      <c r="L19" s="2" t="s">
        <v>52</v>
      </c>
      <c r="M19" s="2" t="s">
        <v>50</v>
      </c>
      <c r="N19" s="7">
        <v>7</v>
      </c>
      <c r="O19" s="4">
        <v>7</v>
      </c>
      <c r="P19" s="7">
        <v>21</v>
      </c>
      <c r="Q19" s="4">
        <v>21</v>
      </c>
      <c r="R19" s="2" t="s">
        <v>29</v>
      </c>
      <c r="S19" s="2"/>
      <c r="T19" s="4">
        <f>IF(R19&lt;&gt;"Observed","",SUMIFS($O$3:O19,$C$3:C19,C19,$R$3:R19,"Observed"))</f>
        <v>426</v>
      </c>
      <c r="U19" s="4">
        <f>IF(R19&lt;&gt;"Observed","",SUMIFS($Q$3:Q19,$C$3:C19,C19,$R$3:R19,"Observed"))</f>
        <v>301</v>
      </c>
      <c r="V19" s="4">
        <f t="shared" si="0"/>
        <v>125</v>
      </c>
    </row>
    <row r="20" spans="1:22">
      <c r="A20" s="2" t="s">
        <v>23</v>
      </c>
      <c r="B20" s="4">
        <v>2</v>
      </c>
      <c r="C20" s="2" t="s">
        <v>65</v>
      </c>
      <c r="D20" s="2" t="s">
        <v>66</v>
      </c>
      <c r="E20" s="2" t="s">
        <v>67</v>
      </c>
      <c r="F20" s="3">
        <v>44654</v>
      </c>
      <c r="G20" s="2" t="s">
        <v>68</v>
      </c>
      <c r="H20" s="4">
        <v>1</v>
      </c>
      <c r="I20" s="2" t="s">
        <v>28</v>
      </c>
      <c r="J20" s="2" t="s">
        <v>28</v>
      </c>
      <c r="K20" s="2"/>
      <c r="L20" s="2"/>
      <c r="M20" s="2"/>
      <c r="N20" s="7">
        <v>2</v>
      </c>
      <c r="O20" s="4">
        <v>2</v>
      </c>
      <c r="P20" s="2"/>
      <c r="Q20" s="4">
        <v>0</v>
      </c>
      <c r="R20" s="2" t="s">
        <v>29</v>
      </c>
      <c r="S20" s="2" t="s">
        <v>70</v>
      </c>
      <c r="T20" s="4">
        <f>IF(R20&lt;&gt;"Observed","",SUMIFS($O$3:O20,$C$3:C20,C20,$R$3:R20,"Observed"))</f>
        <v>2</v>
      </c>
      <c r="U20" s="4">
        <f>IF(R20&lt;&gt;"Observed","",SUMIFS($Q$3:Q20,$C$3:C20,C20,$R$3:R20,"Observed"))</f>
        <v>0</v>
      </c>
      <c r="V20" s="4">
        <f t="shared" si="0"/>
        <v>2</v>
      </c>
    </row>
    <row r="21" spans="1:22">
      <c r="A21" s="2" t="s">
        <v>23</v>
      </c>
      <c r="B21" s="4">
        <v>2</v>
      </c>
      <c r="C21" s="2" t="s">
        <v>65</v>
      </c>
      <c r="D21" s="2" t="s">
        <v>66</v>
      </c>
      <c r="E21" s="2" t="s">
        <v>67</v>
      </c>
      <c r="F21" s="3">
        <v>44654</v>
      </c>
      <c r="G21" s="2" t="s">
        <v>68</v>
      </c>
      <c r="H21" s="4">
        <v>2</v>
      </c>
      <c r="I21" s="2" t="s">
        <v>30</v>
      </c>
      <c r="J21" s="2" t="s">
        <v>71</v>
      </c>
      <c r="K21" s="2" t="s">
        <v>72</v>
      </c>
      <c r="L21" s="2" t="s">
        <v>33</v>
      </c>
      <c r="M21" s="2" t="s">
        <v>34</v>
      </c>
      <c r="N21" s="2">
        <v>0</v>
      </c>
      <c r="O21" s="4">
        <v>0</v>
      </c>
      <c r="P21" s="2">
        <v>0</v>
      </c>
      <c r="Q21" s="4">
        <v>0</v>
      </c>
      <c r="R21" s="2" t="s">
        <v>29</v>
      </c>
      <c r="S21" s="2" t="s">
        <v>74</v>
      </c>
      <c r="T21" s="4">
        <f>IF(R21&lt;&gt;"Observed","",SUMIFS($O$3:O21,$C$3:C21,C21,$R$3:R21,"Observed"))</f>
        <v>2</v>
      </c>
      <c r="U21" s="4">
        <f>IF(R21&lt;&gt;"Observed","",SUMIFS($Q$3:Q21,$C$3:C21,C21,$R$3:R21,"Observed"))</f>
        <v>0</v>
      </c>
      <c r="V21" s="4">
        <f t="shared" si="0"/>
        <v>2</v>
      </c>
    </row>
    <row r="22" spans="1:22">
      <c r="A22" s="2" t="s">
        <v>23</v>
      </c>
      <c r="B22" s="4">
        <v>2</v>
      </c>
      <c r="C22" s="2" t="s">
        <v>65</v>
      </c>
      <c r="D22" s="2" t="s">
        <v>66</v>
      </c>
      <c r="E22" s="2" t="s">
        <v>67</v>
      </c>
      <c r="F22" s="3">
        <v>44654</v>
      </c>
      <c r="G22" s="2" t="s">
        <v>68</v>
      </c>
      <c r="H22" s="4">
        <v>3</v>
      </c>
      <c r="I22" s="2" t="s">
        <v>30</v>
      </c>
      <c r="J22" s="2" t="s">
        <v>72</v>
      </c>
      <c r="K22" s="2" t="s">
        <v>75</v>
      </c>
      <c r="L22" s="2" t="s">
        <v>34</v>
      </c>
      <c r="M22" s="2" t="s">
        <v>37</v>
      </c>
      <c r="N22" s="7">
        <v>1</v>
      </c>
      <c r="O22" s="4">
        <v>1</v>
      </c>
      <c r="P22" s="7">
        <v>0</v>
      </c>
      <c r="Q22" s="4">
        <v>0</v>
      </c>
      <c r="R22" s="2" t="s">
        <v>29</v>
      </c>
      <c r="S22" s="2"/>
      <c r="T22" s="4">
        <f>IF(R22&lt;&gt;"Observed","",SUMIFS($O$3:O22,$C$3:C22,C22,$R$3:R22,"Observed"))</f>
        <v>3</v>
      </c>
      <c r="U22" s="4">
        <f>IF(R22&lt;&gt;"Observed","",SUMIFS($Q$3:Q22,$C$3:C22,C22,$R$3:R22,"Observed"))</f>
        <v>0</v>
      </c>
      <c r="V22" s="4">
        <f t="shared" si="0"/>
        <v>3</v>
      </c>
    </row>
    <row r="23" spans="1:22">
      <c r="A23" s="2" t="s">
        <v>23</v>
      </c>
      <c r="B23" s="4">
        <v>2</v>
      </c>
      <c r="C23" s="2" t="s">
        <v>65</v>
      </c>
      <c r="D23" s="2" t="s">
        <v>66</v>
      </c>
      <c r="E23" s="2" t="s">
        <v>67</v>
      </c>
      <c r="F23" s="3">
        <v>44654</v>
      </c>
      <c r="G23" s="2" t="s">
        <v>68</v>
      </c>
      <c r="H23" s="4">
        <v>4</v>
      </c>
      <c r="I23" s="2" t="s">
        <v>30</v>
      </c>
      <c r="J23" s="2" t="s">
        <v>75</v>
      </c>
      <c r="K23" s="2" t="s">
        <v>76</v>
      </c>
      <c r="L23" s="2" t="s">
        <v>37</v>
      </c>
      <c r="M23" s="2" t="s">
        <v>39</v>
      </c>
      <c r="N23" s="7">
        <v>6</v>
      </c>
      <c r="O23" s="4">
        <v>6</v>
      </c>
      <c r="P23" s="7">
        <v>0</v>
      </c>
      <c r="Q23" s="4">
        <v>0</v>
      </c>
      <c r="R23" s="2" t="s">
        <v>29</v>
      </c>
      <c r="S23" s="2"/>
      <c r="T23" s="4">
        <f>IF(R23&lt;&gt;"Observed","",SUMIFS($O$3:O23,$C$3:C23,C23,$R$3:R23,"Observed"))</f>
        <v>9</v>
      </c>
      <c r="U23" s="4">
        <f>IF(R23&lt;&gt;"Observed","",SUMIFS($Q$3:Q23,$C$3:C23,C23,$R$3:R23,"Observed"))</f>
        <v>0</v>
      </c>
      <c r="V23" s="4">
        <f t="shared" si="0"/>
        <v>9</v>
      </c>
    </row>
    <row r="24" spans="1:22">
      <c r="A24" s="2" t="s">
        <v>23</v>
      </c>
      <c r="B24" s="4">
        <v>2</v>
      </c>
      <c r="C24" s="2" t="s">
        <v>65</v>
      </c>
      <c r="D24" s="2" t="s">
        <v>66</v>
      </c>
      <c r="E24" s="2" t="s">
        <v>67</v>
      </c>
      <c r="F24" s="3">
        <v>44654</v>
      </c>
      <c r="G24" s="2" t="s">
        <v>68</v>
      </c>
      <c r="H24" s="4">
        <v>5</v>
      </c>
      <c r="I24" s="2" t="s">
        <v>30</v>
      </c>
      <c r="J24" s="2" t="s">
        <v>76</v>
      </c>
      <c r="K24" s="2" t="s">
        <v>77</v>
      </c>
      <c r="L24" s="2" t="s">
        <v>39</v>
      </c>
      <c r="M24" s="2" t="s">
        <v>41</v>
      </c>
      <c r="N24" s="7">
        <v>15</v>
      </c>
      <c r="O24" s="4">
        <v>15</v>
      </c>
      <c r="P24" s="7">
        <v>1</v>
      </c>
      <c r="Q24" s="4">
        <v>1</v>
      </c>
      <c r="R24" s="2" t="s">
        <v>29</v>
      </c>
      <c r="S24" s="2"/>
      <c r="T24" s="4">
        <f>IF(R24&lt;&gt;"Observed","",SUMIFS($O$3:O24,$C$3:C24,C24,$R$3:R24,"Observed"))</f>
        <v>24</v>
      </c>
      <c r="U24" s="4">
        <f>IF(R24&lt;&gt;"Observed","",SUMIFS($Q$3:Q24,$C$3:C24,C24,$R$3:R24,"Observed"))</f>
        <v>1</v>
      </c>
      <c r="V24" s="4">
        <f t="shared" si="0"/>
        <v>23</v>
      </c>
    </row>
    <row r="25" spans="1:22">
      <c r="A25" s="2" t="s">
        <v>23</v>
      </c>
      <c r="B25" s="4">
        <v>2</v>
      </c>
      <c r="C25" s="2" t="s">
        <v>65</v>
      </c>
      <c r="D25" s="2" t="s">
        <v>66</v>
      </c>
      <c r="E25" s="2" t="s">
        <v>67</v>
      </c>
      <c r="F25" s="3">
        <v>44654</v>
      </c>
      <c r="G25" s="2" t="s">
        <v>68</v>
      </c>
      <c r="H25" s="4">
        <v>6</v>
      </c>
      <c r="I25" s="2" t="s">
        <v>30</v>
      </c>
      <c r="J25" s="2" t="s">
        <v>77</v>
      </c>
      <c r="K25" s="2" t="s">
        <v>78</v>
      </c>
      <c r="L25" s="2" t="s">
        <v>41</v>
      </c>
      <c r="M25" s="2" t="s">
        <v>43</v>
      </c>
      <c r="N25" s="7">
        <v>25</v>
      </c>
      <c r="O25" s="4">
        <v>25</v>
      </c>
      <c r="P25" s="7">
        <v>0</v>
      </c>
      <c r="Q25" s="4">
        <v>0</v>
      </c>
      <c r="R25" s="2" t="s">
        <v>29</v>
      </c>
      <c r="S25" s="2"/>
      <c r="T25" s="4">
        <f>IF(R25&lt;&gt;"Observed","",SUMIFS($O$3:O25,$C$3:C25,C25,$R$3:R25,"Observed"))</f>
        <v>49</v>
      </c>
      <c r="U25" s="4">
        <f>IF(R25&lt;&gt;"Observed","",SUMIFS($Q$3:Q25,$C$3:C25,C25,$R$3:R25,"Observed"))</f>
        <v>1</v>
      </c>
      <c r="V25" s="4">
        <f t="shared" si="0"/>
        <v>48</v>
      </c>
    </row>
    <row r="26" spans="1:22">
      <c r="A26" s="2" t="s">
        <v>23</v>
      </c>
      <c r="B26" s="4">
        <v>2</v>
      </c>
      <c r="C26" s="2" t="s">
        <v>65</v>
      </c>
      <c r="D26" s="2" t="s">
        <v>66</v>
      </c>
      <c r="E26" s="2" t="s">
        <v>67</v>
      </c>
      <c r="F26" s="3">
        <v>44654</v>
      </c>
      <c r="G26" s="2" t="s">
        <v>68</v>
      </c>
      <c r="H26" s="4">
        <v>7</v>
      </c>
      <c r="I26" s="2" t="s">
        <v>30</v>
      </c>
      <c r="J26" s="2" t="s">
        <v>78</v>
      </c>
      <c r="K26" s="2" t="s">
        <v>79</v>
      </c>
      <c r="L26" s="2" t="s">
        <v>43</v>
      </c>
      <c r="M26" s="2" t="s">
        <v>45</v>
      </c>
      <c r="N26" s="7">
        <v>31</v>
      </c>
      <c r="O26" s="4">
        <v>31</v>
      </c>
      <c r="P26" s="7">
        <v>0</v>
      </c>
      <c r="Q26" s="4">
        <v>0</v>
      </c>
      <c r="R26" s="2" t="s">
        <v>29</v>
      </c>
      <c r="S26" s="2"/>
      <c r="T26" s="4">
        <f>IF(R26&lt;&gt;"Observed","",SUMIFS($O$3:O26,$C$3:C26,C26,$R$3:R26,"Observed"))</f>
        <v>80</v>
      </c>
      <c r="U26" s="4">
        <f>IF(R26&lt;&gt;"Observed","",SUMIFS($Q$3:Q26,$C$3:C26,C26,$R$3:R26,"Observed"))</f>
        <v>1</v>
      </c>
      <c r="V26" s="4">
        <f t="shared" si="0"/>
        <v>79</v>
      </c>
    </row>
    <row r="27" spans="1:22">
      <c r="A27" s="2" t="s">
        <v>23</v>
      </c>
      <c r="B27" s="4">
        <v>2</v>
      </c>
      <c r="C27" s="2" t="s">
        <v>65</v>
      </c>
      <c r="D27" s="2" t="s">
        <v>66</v>
      </c>
      <c r="E27" s="2" t="s">
        <v>67</v>
      </c>
      <c r="F27" s="3">
        <v>44654</v>
      </c>
      <c r="G27" s="2" t="s">
        <v>68</v>
      </c>
      <c r="H27" s="4">
        <v>8</v>
      </c>
      <c r="I27" s="2" t="s">
        <v>30</v>
      </c>
      <c r="J27" s="2" t="s">
        <v>79</v>
      </c>
      <c r="K27" s="2" t="s">
        <v>80</v>
      </c>
      <c r="L27" s="2" t="s">
        <v>45</v>
      </c>
      <c r="M27" s="2" t="s">
        <v>48</v>
      </c>
      <c r="N27" s="7">
        <v>38</v>
      </c>
      <c r="O27" s="4">
        <v>38</v>
      </c>
      <c r="P27" s="7">
        <v>1</v>
      </c>
      <c r="Q27" s="4">
        <v>1</v>
      </c>
      <c r="R27" s="2" t="s">
        <v>29</v>
      </c>
      <c r="S27" s="2"/>
      <c r="T27" s="4">
        <f>IF(R27&lt;&gt;"Observed","",SUMIFS($O$3:O27,$C$3:C27,C27,$R$3:R27,"Observed"))</f>
        <v>118</v>
      </c>
      <c r="U27" s="4">
        <f>IF(R27&lt;&gt;"Observed","",SUMIFS($Q$3:Q27,$C$3:C27,C27,$R$3:R27,"Observed"))</f>
        <v>2</v>
      </c>
      <c r="V27" s="4">
        <f t="shared" si="0"/>
        <v>116</v>
      </c>
    </row>
    <row r="28" spans="1:22">
      <c r="A28" s="2" t="s">
        <v>23</v>
      </c>
      <c r="B28" s="4">
        <v>2</v>
      </c>
      <c r="C28" s="2" t="s">
        <v>65</v>
      </c>
      <c r="D28" s="2" t="s">
        <v>66</v>
      </c>
      <c r="E28" s="2" t="s">
        <v>67</v>
      </c>
      <c r="F28" s="3">
        <v>44654</v>
      </c>
      <c r="G28" s="2" t="s">
        <v>68</v>
      </c>
      <c r="H28" s="4">
        <v>9</v>
      </c>
      <c r="I28" s="2" t="s">
        <v>30</v>
      </c>
      <c r="J28" s="2" t="s">
        <v>80</v>
      </c>
      <c r="K28" s="2" t="s">
        <v>81</v>
      </c>
      <c r="L28" s="2" t="s">
        <v>48</v>
      </c>
      <c r="M28" s="2" t="s">
        <v>50</v>
      </c>
      <c r="N28" s="7">
        <v>27</v>
      </c>
      <c r="O28" s="4">
        <v>27</v>
      </c>
      <c r="P28" s="7">
        <v>8</v>
      </c>
      <c r="Q28" s="4">
        <v>8</v>
      </c>
      <c r="R28" s="2" t="s">
        <v>29</v>
      </c>
      <c r="S28" s="2"/>
      <c r="T28" s="4">
        <f>IF(R28&lt;&gt;"Observed","",SUMIFS($O$3:O28,$C$3:C28,C28,$R$3:R28,"Observed"))</f>
        <v>145</v>
      </c>
      <c r="U28" s="4">
        <f>IF(R28&lt;&gt;"Observed","",SUMIFS($Q$3:Q28,$C$3:C28,C28,$R$3:R28,"Observed"))</f>
        <v>10</v>
      </c>
      <c r="V28" s="4">
        <f t="shared" si="0"/>
        <v>135</v>
      </c>
    </row>
    <row r="29" spans="1:22">
      <c r="A29" s="2" t="s">
        <v>23</v>
      </c>
      <c r="B29" s="4">
        <v>2</v>
      </c>
      <c r="C29" s="2" t="s">
        <v>65</v>
      </c>
      <c r="D29" s="2" t="s">
        <v>66</v>
      </c>
      <c r="E29" s="2" t="s">
        <v>67</v>
      </c>
      <c r="F29" s="3">
        <v>44654</v>
      </c>
      <c r="G29" s="2" t="s">
        <v>68</v>
      </c>
      <c r="H29" s="4">
        <v>10</v>
      </c>
      <c r="I29" s="2" t="s">
        <v>30</v>
      </c>
      <c r="J29" s="2" t="s">
        <v>81</v>
      </c>
      <c r="K29" s="2" t="s">
        <v>82</v>
      </c>
      <c r="L29" s="2" t="s">
        <v>50</v>
      </c>
      <c r="M29" s="2" t="s">
        <v>52</v>
      </c>
      <c r="N29" s="7">
        <v>28</v>
      </c>
      <c r="O29" s="4">
        <v>28</v>
      </c>
      <c r="P29" s="7">
        <v>10</v>
      </c>
      <c r="Q29" s="4">
        <v>10</v>
      </c>
      <c r="R29" s="2" t="s">
        <v>29</v>
      </c>
      <c r="S29" s="2"/>
      <c r="T29" s="4">
        <f>IF(R29&lt;&gt;"Observed","",SUMIFS($O$3:O29,$C$3:C29,C29,$R$3:R29,"Observed"))</f>
        <v>173</v>
      </c>
      <c r="U29" s="4">
        <f>IF(R29&lt;&gt;"Observed","",SUMIFS($Q$3:Q29,$C$3:C29,C29,$R$3:R29,"Observed"))</f>
        <v>20</v>
      </c>
      <c r="V29" s="4">
        <f t="shared" si="0"/>
        <v>153</v>
      </c>
    </row>
    <row r="30" spans="1:22">
      <c r="A30" s="2" t="s">
        <v>23</v>
      </c>
      <c r="B30" s="4">
        <v>2</v>
      </c>
      <c r="C30" s="2" t="s">
        <v>65</v>
      </c>
      <c r="D30" s="2" t="s">
        <v>66</v>
      </c>
      <c r="E30" s="2" t="s">
        <v>67</v>
      </c>
      <c r="F30" s="3">
        <v>44654</v>
      </c>
      <c r="G30" s="2" t="s">
        <v>68</v>
      </c>
      <c r="H30" s="4">
        <v>11</v>
      </c>
      <c r="I30" s="2" t="s">
        <v>30</v>
      </c>
      <c r="J30" s="2" t="s">
        <v>82</v>
      </c>
      <c r="K30" s="2" t="s">
        <v>84</v>
      </c>
      <c r="L30" s="2" t="s">
        <v>52</v>
      </c>
      <c r="M30" s="2" t="s">
        <v>54</v>
      </c>
      <c r="N30" s="7">
        <v>23</v>
      </c>
      <c r="O30" s="4">
        <v>23</v>
      </c>
      <c r="P30" s="7">
        <v>19</v>
      </c>
      <c r="Q30" s="4">
        <v>19</v>
      </c>
      <c r="R30" s="2" t="s">
        <v>29</v>
      </c>
      <c r="S30" s="2"/>
      <c r="T30" s="4">
        <f>IF(R30&lt;&gt;"Observed","",SUMIFS($O$3:O30,$C$3:C30,C30,$R$3:R30,"Observed"))</f>
        <v>196</v>
      </c>
      <c r="U30" s="4">
        <f>IF(R30&lt;&gt;"Observed","",SUMIFS($Q$3:Q30,$C$3:C30,C30,$R$3:R30,"Observed"))</f>
        <v>39</v>
      </c>
      <c r="V30" s="4">
        <f t="shared" si="0"/>
        <v>157</v>
      </c>
    </row>
    <row r="31" spans="1:22">
      <c r="A31" s="2" t="s">
        <v>23</v>
      </c>
      <c r="B31" s="4">
        <v>2</v>
      </c>
      <c r="C31" s="2" t="s">
        <v>65</v>
      </c>
      <c r="D31" s="2" t="s">
        <v>66</v>
      </c>
      <c r="E31" s="2" t="s">
        <v>67</v>
      </c>
      <c r="F31" s="3">
        <v>44654</v>
      </c>
      <c r="G31" s="2" t="s">
        <v>68</v>
      </c>
      <c r="H31" s="4">
        <v>12</v>
      </c>
      <c r="I31" s="2" t="s">
        <v>30</v>
      </c>
      <c r="J31" s="2" t="s">
        <v>84</v>
      </c>
      <c r="K31" s="2" t="s">
        <v>87</v>
      </c>
      <c r="L31" s="2" t="s">
        <v>54</v>
      </c>
      <c r="M31" s="2" t="s">
        <v>57</v>
      </c>
      <c r="N31" s="7">
        <v>20</v>
      </c>
      <c r="O31" s="4">
        <v>20</v>
      </c>
      <c r="P31" s="7">
        <v>22</v>
      </c>
      <c r="Q31" s="4">
        <v>22</v>
      </c>
      <c r="R31" s="2" t="s">
        <v>29</v>
      </c>
      <c r="S31" s="2"/>
      <c r="T31" s="4">
        <f>IF(R31&lt;&gt;"Observed","",SUMIFS($O$3:O31,$C$3:C31,C31,$R$3:R31,"Observed"))</f>
        <v>216</v>
      </c>
      <c r="U31" s="4">
        <f>IF(R31&lt;&gt;"Observed","",SUMIFS($Q$3:Q31,$C$3:C31,C31,$R$3:R31,"Observed"))</f>
        <v>61</v>
      </c>
      <c r="V31" s="4">
        <f t="shared" si="0"/>
        <v>155</v>
      </c>
    </row>
    <row r="32" spans="1:22">
      <c r="A32" s="2" t="s">
        <v>23</v>
      </c>
      <c r="B32" s="4">
        <v>2</v>
      </c>
      <c r="C32" s="2" t="s">
        <v>65</v>
      </c>
      <c r="D32" s="2" t="s">
        <v>66</v>
      </c>
      <c r="E32" s="2" t="s">
        <v>67</v>
      </c>
      <c r="F32" s="3">
        <v>44654</v>
      </c>
      <c r="G32" s="2" t="s">
        <v>68</v>
      </c>
      <c r="H32" s="4">
        <v>13</v>
      </c>
      <c r="I32" s="2" t="s">
        <v>30</v>
      </c>
      <c r="J32" s="2" t="s">
        <v>87</v>
      </c>
      <c r="K32" s="2" t="s">
        <v>88</v>
      </c>
      <c r="L32" s="2" t="s">
        <v>57</v>
      </c>
      <c r="M32" s="2" t="s">
        <v>59</v>
      </c>
      <c r="N32" s="7">
        <v>6</v>
      </c>
      <c r="O32" s="4">
        <v>6</v>
      </c>
      <c r="P32" s="7">
        <v>17</v>
      </c>
      <c r="Q32" s="4">
        <v>17</v>
      </c>
      <c r="R32" s="2" t="s">
        <v>29</v>
      </c>
      <c r="S32" s="2"/>
      <c r="T32" s="4">
        <f>IF(R32&lt;&gt;"Observed","",SUMIFS($O$3:O32,$C$3:C32,C32,$R$3:R32,"Observed"))</f>
        <v>222</v>
      </c>
      <c r="U32" s="4">
        <f>IF(R32&lt;&gt;"Observed","",SUMIFS($Q$3:Q32,$C$3:C32,C32,$R$3:R32,"Observed"))</f>
        <v>78</v>
      </c>
      <c r="V32" s="4">
        <f t="shared" si="0"/>
        <v>144</v>
      </c>
    </row>
    <row r="33" spans="1:22">
      <c r="A33" s="2" t="s">
        <v>23</v>
      </c>
      <c r="B33" s="4">
        <v>2</v>
      </c>
      <c r="C33" s="2" t="s">
        <v>65</v>
      </c>
      <c r="D33" s="2" t="s">
        <v>66</v>
      </c>
      <c r="E33" s="2" t="s">
        <v>67</v>
      </c>
      <c r="F33" s="3">
        <v>44654</v>
      </c>
      <c r="G33" s="2" t="s">
        <v>68</v>
      </c>
      <c r="H33" s="4">
        <v>14</v>
      </c>
      <c r="I33" s="2" t="s">
        <v>30</v>
      </c>
      <c r="J33" s="2" t="s">
        <v>88</v>
      </c>
      <c r="K33" s="2" t="s">
        <v>89</v>
      </c>
      <c r="L33" s="2" t="s">
        <v>59</v>
      </c>
      <c r="M33" s="2" t="s">
        <v>57</v>
      </c>
      <c r="N33" s="7">
        <v>5</v>
      </c>
      <c r="O33" s="4">
        <v>5</v>
      </c>
      <c r="P33" s="7">
        <v>34</v>
      </c>
      <c r="Q33" s="4">
        <v>34</v>
      </c>
      <c r="R33" s="2" t="s">
        <v>29</v>
      </c>
      <c r="S33" s="2"/>
      <c r="T33" s="4">
        <f>IF(R33&lt;&gt;"Observed","",SUMIFS($O$3:O33,$C$3:C33,C33,$R$3:R33,"Observed"))</f>
        <v>227</v>
      </c>
      <c r="U33" s="4">
        <f>IF(R33&lt;&gt;"Observed","",SUMIFS($Q$3:Q33,$C$3:C33,C33,$R$3:R33,"Observed"))</f>
        <v>112</v>
      </c>
      <c r="V33" s="4">
        <f t="shared" si="0"/>
        <v>115</v>
      </c>
    </row>
    <row r="34" spans="1:22">
      <c r="A34" s="2" t="s">
        <v>23</v>
      </c>
      <c r="B34" s="4">
        <v>2</v>
      </c>
      <c r="C34" s="2" t="s">
        <v>65</v>
      </c>
      <c r="D34" s="2" t="s">
        <v>66</v>
      </c>
      <c r="E34" s="2" t="s">
        <v>67</v>
      </c>
      <c r="F34" s="3">
        <v>44654</v>
      </c>
      <c r="G34" s="2" t="s">
        <v>68</v>
      </c>
      <c r="H34" s="4">
        <v>15</v>
      </c>
      <c r="I34" s="2" t="s">
        <v>30</v>
      </c>
      <c r="J34" s="2" t="s">
        <v>89</v>
      </c>
      <c r="K34" s="2" t="s">
        <v>90</v>
      </c>
      <c r="L34" s="2" t="s">
        <v>57</v>
      </c>
      <c r="M34" s="2" t="s">
        <v>54</v>
      </c>
      <c r="N34" s="7">
        <v>6</v>
      </c>
      <c r="O34" s="4">
        <v>6</v>
      </c>
      <c r="P34" s="7">
        <v>44</v>
      </c>
      <c r="Q34" s="4">
        <v>44</v>
      </c>
      <c r="R34" s="2" t="s">
        <v>29</v>
      </c>
      <c r="S34" s="2"/>
      <c r="T34" s="4">
        <f>IF(R34&lt;&gt;"Observed","",SUMIFS($O$3:O34,$C$3:C34,C34,$R$3:R34,"Observed"))</f>
        <v>233</v>
      </c>
      <c r="U34" s="4">
        <f>IF(R34&lt;&gt;"Observed","",SUMIFS($Q$3:Q34,$C$3:C34,C34,$R$3:R34,"Observed"))</f>
        <v>156</v>
      </c>
      <c r="V34" s="4">
        <f t="shared" si="0"/>
        <v>77</v>
      </c>
    </row>
    <row r="35" spans="1:22">
      <c r="A35" s="2" t="s">
        <v>23</v>
      </c>
      <c r="B35" s="4">
        <v>2</v>
      </c>
      <c r="C35" s="2" t="s">
        <v>65</v>
      </c>
      <c r="D35" s="2" t="s">
        <v>66</v>
      </c>
      <c r="E35" s="2" t="s">
        <v>67</v>
      </c>
      <c r="F35" s="3">
        <v>44654</v>
      </c>
      <c r="G35" s="2" t="s">
        <v>68</v>
      </c>
      <c r="H35" s="4">
        <v>16</v>
      </c>
      <c r="I35" s="2" t="s">
        <v>30</v>
      </c>
      <c r="J35" s="2" t="s">
        <v>90</v>
      </c>
      <c r="K35" s="2" t="s">
        <v>91</v>
      </c>
      <c r="L35" s="2" t="s">
        <v>54</v>
      </c>
      <c r="M35" s="2" t="s">
        <v>52</v>
      </c>
      <c r="N35" s="7">
        <v>6</v>
      </c>
      <c r="O35" s="4">
        <v>6</v>
      </c>
      <c r="P35" s="7">
        <v>21</v>
      </c>
      <c r="Q35" s="4">
        <v>21</v>
      </c>
      <c r="R35" s="2" t="s">
        <v>29</v>
      </c>
      <c r="S35" s="2"/>
      <c r="T35" s="4">
        <f>IF(R35&lt;&gt;"Observed","",SUMIFS($O$3:O35,$C$3:C35,C35,$R$3:R35,"Observed"))</f>
        <v>239</v>
      </c>
      <c r="U35" s="4">
        <f>IF(R35&lt;&gt;"Observed","",SUMIFS($Q$3:Q35,$C$3:C35,C35,$R$3:R35,"Observed"))</f>
        <v>177</v>
      </c>
      <c r="V35" s="4">
        <f t="shared" si="0"/>
        <v>62</v>
      </c>
    </row>
    <row r="36" spans="1:22">
      <c r="A36" s="2" t="s">
        <v>23</v>
      </c>
      <c r="B36" s="4">
        <v>2</v>
      </c>
      <c r="C36" s="2" t="s">
        <v>65</v>
      </c>
      <c r="D36" s="2" t="s">
        <v>66</v>
      </c>
      <c r="E36" s="2" t="s">
        <v>67</v>
      </c>
      <c r="F36" s="3">
        <v>44654</v>
      </c>
      <c r="G36" s="2" t="s">
        <v>68</v>
      </c>
      <c r="H36" s="4">
        <v>17</v>
      </c>
      <c r="I36" s="2" t="s">
        <v>30</v>
      </c>
      <c r="J36" s="2" t="s">
        <v>91</v>
      </c>
      <c r="K36" s="2" t="s">
        <v>92</v>
      </c>
      <c r="L36" s="2" t="s">
        <v>52</v>
      </c>
      <c r="M36" s="2" t="s">
        <v>50</v>
      </c>
      <c r="N36" s="7">
        <v>0</v>
      </c>
      <c r="O36" s="4">
        <v>0</v>
      </c>
      <c r="P36" s="7">
        <v>21</v>
      </c>
      <c r="Q36" s="4">
        <v>21</v>
      </c>
      <c r="R36" s="2" t="s">
        <v>29</v>
      </c>
      <c r="S36" s="2"/>
      <c r="T36" s="4">
        <f>IF(R36&lt;&gt;"Observed","",SUMIFS($O$3:O36,$C$3:C36,C36,$R$3:R36,"Observed"))</f>
        <v>239</v>
      </c>
      <c r="U36" s="4">
        <f>IF(R36&lt;&gt;"Observed","",SUMIFS($Q$3:Q36,$C$3:C36,C36,$R$3:R36,"Observed"))</f>
        <v>198</v>
      </c>
      <c r="V36" s="4">
        <f t="shared" si="0"/>
        <v>41</v>
      </c>
    </row>
    <row r="37" spans="1:22">
      <c r="A37" s="2" t="s">
        <v>23</v>
      </c>
      <c r="B37" s="4">
        <v>3</v>
      </c>
      <c r="C37" s="2" t="s">
        <v>93</v>
      </c>
      <c r="D37" s="2" t="s">
        <v>25</v>
      </c>
      <c r="E37" s="2" t="s">
        <v>26</v>
      </c>
      <c r="F37" s="3">
        <v>45040</v>
      </c>
      <c r="G37" s="2" t="s">
        <v>27</v>
      </c>
      <c r="H37" s="4">
        <v>1</v>
      </c>
      <c r="I37" s="2" t="s">
        <v>28</v>
      </c>
      <c r="J37" s="2" t="s">
        <v>28</v>
      </c>
      <c r="K37" s="2"/>
      <c r="L37" s="2"/>
      <c r="M37" s="2"/>
      <c r="N37" s="7">
        <v>3</v>
      </c>
      <c r="O37" s="4">
        <v>3</v>
      </c>
      <c r="P37" s="2"/>
      <c r="Q37" s="4">
        <v>0</v>
      </c>
      <c r="R37" s="2" t="s">
        <v>29</v>
      </c>
      <c r="S37" s="2" t="s">
        <v>70</v>
      </c>
      <c r="T37" s="4">
        <f>IF(R37&lt;&gt;"Observed","",SUMIFS($O$3:O37,$C$3:C37,C37,$R$3:R37,"Observed"))</f>
        <v>3</v>
      </c>
      <c r="U37" s="4">
        <f>IF(R37&lt;&gt;"Observed","",SUMIFS($Q$3:Q37,$C$3:C37,C37,$R$3:R37,"Observed"))</f>
        <v>0</v>
      </c>
      <c r="V37" s="4">
        <f t="shared" si="0"/>
        <v>3</v>
      </c>
    </row>
    <row r="38" spans="1:22">
      <c r="A38" s="2" t="s">
        <v>23</v>
      </c>
      <c r="B38" s="4">
        <v>3</v>
      </c>
      <c r="C38" s="2" t="s">
        <v>93</v>
      </c>
      <c r="D38" s="2" t="s">
        <v>25</v>
      </c>
      <c r="E38" s="2" t="s">
        <v>26</v>
      </c>
      <c r="F38" s="3">
        <v>45040</v>
      </c>
      <c r="G38" s="2" t="s">
        <v>27</v>
      </c>
      <c r="H38" s="4">
        <v>2</v>
      </c>
      <c r="I38" s="2" t="s">
        <v>30</v>
      </c>
      <c r="J38" s="2" t="s">
        <v>94</v>
      </c>
      <c r="K38" s="2" t="s">
        <v>95</v>
      </c>
      <c r="L38" s="2" t="s">
        <v>33</v>
      </c>
      <c r="M38" s="2" t="s">
        <v>34</v>
      </c>
      <c r="N38" s="7">
        <v>5</v>
      </c>
      <c r="O38" s="4">
        <v>5</v>
      </c>
      <c r="P38" s="2"/>
      <c r="Q38" s="4">
        <v>0</v>
      </c>
      <c r="R38" s="2" t="s">
        <v>29</v>
      </c>
      <c r="S38" s="2" t="s">
        <v>70</v>
      </c>
      <c r="T38" s="4">
        <f>IF(R38&lt;&gt;"Observed","",SUMIFS($O$3:O38,$C$3:C38,C38,$R$3:R38,"Observed"))</f>
        <v>8</v>
      </c>
      <c r="U38" s="4">
        <f>IF(R38&lt;&gt;"Observed","",SUMIFS($Q$3:Q38,$C$3:C38,C38,$R$3:R38,"Observed"))</f>
        <v>0</v>
      </c>
      <c r="V38" s="4">
        <f t="shared" si="0"/>
        <v>8</v>
      </c>
    </row>
    <row r="39" spans="1:22">
      <c r="A39" s="2" t="s">
        <v>23</v>
      </c>
      <c r="B39" s="4">
        <v>3</v>
      </c>
      <c r="C39" s="2" t="s">
        <v>93</v>
      </c>
      <c r="D39" s="2" t="s">
        <v>25</v>
      </c>
      <c r="E39" s="2" t="s">
        <v>26</v>
      </c>
      <c r="F39" s="3">
        <v>45040</v>
      </c>
      <c r="G39" s="2" t="s">
        <v>27</v>
      </c>
      <c r="H39" s="4">
        <v>3</v>
      </c>
      <c r="I39" s="2" t="s">
        <v>30</v>
      </c>
      <c r="J39" s="2" t="s">
        <v>95</v>
      </c>
      <c r="K39" s="2" t="s">
        <v>96</v>
      </c>
      <c r="L39" s="2" t="s">
        <v>34</v>
      </c>
      <c r="M39" s="2" t="s">
        <v>37</v>
      </c>
      <c r="N39" s="7">
        <v>4</v>
      </c>
      <c r="O39" s="4">
        <v>4</v>
      </c>
      <c r="P39" s="2"/>
      <c r="Q39" s="4">
        <v>0</v>
      </c>
      <c r="R39" s="2" t="s">
        <v>29</v>
      </c>
      <c r="S39" s="2" t="s">
        <v>70</v>
      </c>
      <c r="T39" s="4">
        <f>IF(R39&lt;&gt;"Observed","",SUMIFS($O$3:O39,$C$3:C39,C39,$R$3:R39,"Observed"))</f>
        <v>12</v>
      </c>
      <c r="U39" s="4">
        <f>IF(R39&lt;&gt;"Observed","",SUMIFS($Q$3:Q39,$C$3:C39,C39,$R$3:R39,"Observed"))</f>
        <v>0</v>
      </c>
      <c r="V39" s="4">
        <f t="shared" si="0"/>
        <v>12</v>
      </c>
    </row>
    <row r="40" spans="1:22">
      <c r="A40" s="2" t="s">
        <v>23</v>
      </c>
      <c r="B40" s="4">
        <v>3</v>
      </c>
      <c r="C40" s="2" t="s">
        <v>93</v>
      </c>
      <c r="D40" s="2" t="s">
        <v>25</v>
      </c>
      <c r="E40" s="2" t="s">
        <v>26</v>
      </c>
      <c r="F40" s="3">
        <v>45040</v>
      </c>
      <c r="G40" s="2" t="s">
        <v>27</v>
      </c>
      <c r="H40" s="4">
        <v>4</v>
      </c>
      <c r="I40" s="2" t="s">
        <v>30</v>
      </c>
      <c r="J40" s="2" t="s">
        <v>96</v>
      </c>
      <c r="K40" s="2" t="s">
        <v>97</v>
      </c>
      <c r="L40" s="2" t="s">
        <v>37</v>
      </c>
      <c r="M40" s="2" t="s">
        <v>39</v>
      </c>
      <c r="N40" s="7">
        <v>6</v>
      </c>
      <c r="O40" s="4">
        <v>6</v>
      </c>
      <c r="P40" s="2"/>
      <c r="Q40" s="4">
        <v>0</v>
      </c>
      <c r="R40" s="2" t="s">
        <v>29</v>
      </c>
      <c r="S40" s="2" t="s">
        <v>70</v>
      </c>
      <c r="T40" s="4">
        <f>IF(R40&lt;&gt;"Observed","",SUMIFS($O$3:O40,$C$3:C40,C40,$R$3:R40,"Observed"))</f>
        <v>18</v>
      </c>
      <c r="U40" s="4">
        <f>IF(R40&lt;&gt;"Observed","",SUMIFS($Q$3:Q40,$C$3:C40,C40,$R$3:R40,"Observed"))</f>
        <v>0</v>
      </c>
      <c r="V40" s="4">
        <f t="shared" si="0"/>
        <v>18</v>
      </c>
    </row>
    <row r="41" spans="1:22">
      <c r="A41" s="2" t="s">
        <v>23</v>
      </c>
      <c r="B41" s="4">
        <v>3</v>
      </c>
      <c r="C41" s="2" t="s">
        <v>93</v>
      </c>
      <c r="D41" s="2" t="s">
        <v>25</v>
      </c>
      <c r="E41" s="2" t="s">
        <v>26</v>
      </c>
      <c r="F41" s="3">
        <v>45040</v>
      </c>
      <c r="G41" s="2" t="s">
        <v>27</v>
      </c>
      <c r="H41" s="4">
        <v>5</v>
      </c>
      <c r="I41" s="2" t="s">
        <v>30</v>
      </c>
      <c r="J41" s="2" t="s">
        <v>97</v>
      </c>
      <c r="K41" s="2" t="s">
        <v>98</v>
      </c>
      <c r="L41" s="2" t="s">
        <v>39</v>
      </c>
      <c r="M41" s="2" t="s">
        <v>41</v>
      </c>
      <c r="N41" s="7">
        <v>22</v>
      </c>
      <c r="O41" s="4">
        <v>22</v>
      </c>
      <c r="P41" s="2"/>
      <c r="Q41" s="4">
        <v>0</v>
      </c>
      <c r="R41" s="2" t="s">
        <v>29</v>
      </c>
      <c r="S41" s="2" t="s">
        <v>70</v>
      </c>
      <c r="T41" s="4">
        <f>IF(R41&lt;&gt;"Observed","",SUMIFS($O$3:O41,$C$3:C41,C41,$R$3:R41,"Observed"))</f>
        <v>40</v>
      </c>
      <c r="U41" s="4">
        <f>IF(R41&lt;&gt;"Observed","",SUMIFS($Q$3:Q41,$C$3:C41,C41,$R$3:R41,"Observed"))</f>
        <v>0</v>
      </c>
      <c r="V41" s="4">
        <f t="shared" si="0"/>
        <v>40</v>
      </c>
    </row>
    <row r="42" spans="1:22">
      <c r="A42" s="2" t="s">
        <v>23</v>
      </c>
      <c r="B42" s="4">
        <v>3</v>
      </c>
      <c r="C42" s="2" t="s">
        <v>93</v>
      </c>
      <c r="D42" s="2" t="s">
        <v>25</v>
      </c>
      <c r="E42" s="2" t="s">
        <v>26</v>
      </c>
      <c r="F42" s="3">
        <v>45040</v>
      </c>
      <c r="G42" s="2" t="s">
        <v>27</v>
      </c>
      <c r="H42" s="4">
        <v>6</v>
      </c>
      <c r="I42" s="2" t="s">
        <v>30</v>
      </c>
      <c r="J42" s="2" t="s">
        <v>98</v>
      </c>
      <c r="K42" s="2" t="s">
        <v>99</v>
      </c>
      <c r="L42" s="2" t="s">
        <v>41</v>
      </c>
      <c r="M42" s="2" t="s">
        <v>43</v>
      </c>
      <c r="N42" s="7">
        <v>39</v>
      </c>
      <c r="O42" s="4">
        <v>39</v>
      </c>
      <c r="P42" s="7">
        <v>1</v>
      </c>
      <c r="Q42" s="4">
        <v>1</v>
      </c>
      <c r="R42" s="2" t="s">
        <v>29</v>
      </c>
      <c r="S42" s="2"/>
      <c r="T42" s="4">
        <f>IF(R42&lt;&gt;"Observed","",SUMIFS($O$3:O42,$C$3:C42,C42,$R$3:R42,"Observed"))</f>
        <v>79</v>
      </c>
      <c r="U42" s="4">
        <f>IF(R42&lt;&gt;"Observed","",SUMIFS($Q$3:Q42,$C$3:C42,C42,$R$3:R42,"Observed"))</f>
        <v>1</v>
      </c>
      <c r="V42" s="4">
        <f t="shared" si="0"/>
        <v>78</v>
      </c>
    </row>
    <row r="43" spans="1:22">
      <c r="A43" s="2" t="s">
        <v>23</v>
      </c>
      <c r="B43" s="4">
        <v>3</v>
      </c>
      <c r="C43" s="2" t="s">
        <v>93</v>
      </c>
      <c r="D43" s="2" t="s">
        <v>25</v>
      </c>
      <c r="E43" s="2" t="s">
        <v>26</v>
      </c>
      <c r="F43" s="3">
        <v>45040</v>
      </c>
      <c r="G43" s="2" t="s">
        <v>27</v>
      </c>
      <c r="H43" s="4">
        <v>7</v>
      </c>
      <c r="I43" s="2" t="s">
        <v>30</v>
      </c>
      <c r="J43" s="2" t="s">
        <v>99</v>
      </c>
      <c r="K43" s="2" t="s">
        <v>100</v>
      </c>
      <c r="L43" s="2" t="s">
        <v>43</v>
      </c>
      <c r="M43" s="2" t="s">
        <v>45</v>
      </c>
      <c r="N43" s="7">
        <v>35</v>
      </c>
      <c r="O43" s="4">
        <v>35</v>
      </c>
      <c r="P43" s="7">
        <v>0</v>
      </c>
      <c r="Q43" s="4">
        <v>0</v>
      </c>
      <c r="R43" s="2" t="s">
        <v>29</v>
      </c>
      <c r="S43" s="2"/>
      <c r="T43" s="4">
        <f>IF(R43&lt;&gt;"Observed","",SUMIFS($O$3:O43,$C$3:C43,C43,$R$3:R43,"Observed"))</f>
        <v>114</v>
      </c>
      <c r="U43" s="4">
        <f>IF(R43&lt;&gt;"Observed","",SUMIFS($Q$3:Q43,$C$3:C43,C43,$R$3:R43,"Observed"))</f>
        <v>1</v>
      </c>
      <c r="V43" s="4">
        <f t="shared" si="0"/>
        <v>113</v>
      </c>
    </row>
    <row r="44" spans="1:22">
      <c r="A44" s="2" t="s">
        <v>23</v>
      </c>
      <c r="B44" s="4">
        <v>3</v>
      </c>
      <c r="C44" s="2" t="s">
        <v>93</v>
      </c>
      <c r="D44" s="2" t="s">
        <v>25</v>
      </c>
      <c r="E44" s="2" t="s">
        <v>26</v>
      </c>
      <c r="F44" s="3">
        <v>45040</v>
      </c>
      <c r="G44" s="2" t="s">
        <v>27</v>
      </c>
      <c r="H44" s="4">
        <v>8</v>
      </c>
      <c r="I44" s="2" t="s">
        <v>30</v>
      </c>
      <c r="J44" s="2" t="s">
        <v>100</v>
      </c>
      <c r="K44" s="2" t="s">
        <v>101</v>
      </c>
      <c r="L44" s="2" t="s">
        <v>45</v>
      </c>
      <c r="M44" s="2" t="s">
        <v>48</v>
      </c>
      <c r="N44" s="7">
        <v>25</v>
      </c>
      <c r="O44" s="4">
        <v>25</v>
      </c>
      <c r="P44" s="7">
        <v>2</v>
      </c>
      <c r="Q44" s="4">
        <v>2</v>
      </c>
      <c r="R44" s="2" t="s">
        <v>29</v>
      </c>
      <c r="S44" s="2"/>
      <c r="T44" s="4">
        <f>IF(R44&lt;&gt;"Observed","",SUMIFS($O$3:O44,$C$3:C44,C44,$R$3:R44,"Observed"))</f>
        <v>139</v>
      </c>
      <c r="U44" s="4">
        <f>IF(R44&lt;&gt;"Observed","",SUMIFS($Q$3:Q44,$C$3:C44,C44,$R$3:R44,"Observed"))</f>
        <v>3</v>
      </c>
      <c r="V44" s="4">
        <f t="shared" si="0"/>
        <v>136</v>
      </c>
    </row>
    <row r="45" spans="1:22">
      <c r="A45" s="2" t="s">
        <v>23</v>
      </c>
      <c r="B45" s="4">
        <v>3</v>
      </c>
      <c r="C45" s="2" t="s">
        <v>93</v>
      </c>
      <c r="D45" s="2" t="s">
        <v>25</v>
      </c>
      <c r="E45" s="2" t="s">
        <v>26</v>
      </c>
      <c r="F45" s="3">
        <v>45040</v>
      </c>
      <c r="G45" s="2" t="s">
        <v>27</v>
      </c>
      <c r="H45" s="4">
        <v>9</v>
      </c>
      <c r="I45" s="2" t="s">
        <v>30</v>
      </c>
      <c r="J45" s="2" t="s">
        <v>101</v>
      </c>
      <c r="K45" s="2" t="s">
        <v>102</v>
      </c>
      <c r="L45" s="2" t="s">
        <v>48</v>
      </c>
      <c r="M45" s="2" t="s">
        <v>50</v>
      </c>
      <c r="N45" s="7">
        <v>23</v>
      </c>
      <c r="O45" s="4">
        <v>23</v>
      </c>
      <c r="P45" s="7">
        <v>2</v>
      </c>
      <c r="Q45" s="4">
        <v>2</v>
      </c>
      <c r="R45" s="2" t="s">
        <v>29</v>
      </c>
      <c r="S45" s="2"/>
      <c r="T45" s="4">
        <f>IF(R45&lt;&gt;"Observed","",SUMIFS($O$3:O45,$C$3:C45,C45,$R$3:R45,"Observed"))</f>
        <v>162</v>
      </c>
      <c r="U45" s="4">
        <f>IF(R45&lt;&gt;"Observed","",SUMIFS($Q$3:Q45,$C$3:C45,C45,$R$3:R45,"Observed"))</f>
        <v>5</v>
      </c>
      <c r="V45" s="4">
        <f t="shared" si="0"/>
        <v>157</v>
      </c>
    </row>
    <row r="46" spans="1:22">
      <c r="A46" s="2" t="s">
        <v>23</v>
      </c>
      <c r="B46" s="4">
        <v>3</v>
      </c>
      <c r="C46" s="2" t="s">
        <v>93</v>
      </c>
      <c r="D46" s="2" t="s">
        <v>25</v>
      </c>
      <c r="E46" s="2" t="s">
        <v>26</v>
      </c>
      <c r="F46" s="3">
        <v>45040</v>
      </c>
      <c r="G46" s="2" t="s">
        <v>27</v>
      </c>
      <c r="H46" s="4">
        <v>10</v>
      </c>
      <c r="I46" s="2" t="s">
        <v>30</v>
      </c>
      <c r="J46" s="2" t="s">
        <v>102</v>
      </c>
      <c r="K46" s="2" t="s">
        <v>103</v>
      </c>
      <c r="L46" s="2" t="s">
        <v>50</v>
      </c>
      <c r="M46" s="2" t="s">
        <v>52</v>
      </c>
      <c r="N46" s="7">
        <v>17</v>
      </c>
      <c r="O46" s="4">
        <v>17</v>
      </c>
      <c r="P46" s="7">
        <v>6</v>
      </c>
      <c r="Q46" s="4">
        <v>6</v>
      </c>
      <c r="R46" s="2" t="s">
        <v>29</v>
      </c>
      <c r="S46" s="2"/>
      <c r="T46" s="4">
        <f>IF(R46&lt;&gt;"Observed","",SUMIFS($O$3:O46,$C$3:C46,C46,$R$3:R46,"Observed"))</f>
        <v>179</v>
      </c>
      <c r="U46" s="4">
        <f>IF(R46&lt;&gt;"Observed","",SUMIFS($Q$3:Q46,$C$3:C46,C46,$R$3:R46,"Observed"))</f>
        <v>11</v>
      </c>
      <c r="V46" s="4">
        <f t="shared" si="0"/>
        <v>168</v>
      </c>
    </row>
    <row r="47" spans="1:22">
      <c r="A47" s="2" t="s">
        <v>23</v>
      </c>
      <c r="B47" s="4">
        <v>3</v>
      </c>
      <c r="C47" s="2" t="s">
        <v>93</v>
      </c>
      <c r="D47" s="2" t="s">
        <v>25</v>
      </c>
      <c r="E47" s="2" t="s">
        <v>26</v>
      </c>
      <c r="F47" s="3">
        <v>45040</v>
      </c>
      <c r="G47" s="2" t="s">
        <v>27</v>
      </c>
      <c r="H47" s="4">
        <v>11</v>
      </c>
      <c r="I47" s="2" t="s">
        <v>30</v>
      </c>
      <c r="J47" s="2" t="s">
        <v>103</v>
      </c>
      <c r="K47" s="2" t="s">
        <v>104</v>
      </c>
      <c r="L47" s="2" t="s">
        <v>52</v>
      </c>
      <c r="M47" s="2" t="s">
        <v>54</v>
      </c>
      <c r="N47" s="7">
        <v>15</v>
      </c>
      <c r="O47" s="4">
        <v>15</v>
      </c>
      <c r="P47" s="7">
        <v>11</v>
      </c>
      <c r="Q47" s="4">
        <v>11</v>
      </c>
      <c r="R47" s="2" t="s">
        <v>29</v>
      </c>
      <c r="S47" s="2"/>
      <c r="T47" s="4">
        <f>IF(R47&lt;&gt;"Observed","",SUMIFS($O$3:O47,$C$3:C47,C47,$R$3:R47,"Observed"))</f>
        <v>194</v>
      </c>
      <c r="U47" s="4">
        <f>IF(R47&lt;&gt;"Observed","",SUMIFS($Q$3:Q47,$C$3:C47,C47,$R$3:R47,"Observed"))</f>
        <v>22</v>
      </c>
      <c r="V47" s="4">
        <f t="shared" si="0"/>
        <v>172</v>
      </c>
    </row>
    <row r="48" spans="1:22">
      <c r="A48" s="2" t="s">
        <v>23</v>
      </c>
      <c r="B48" s="4">
        <v>3</v>
      </c>
      <c r="C48" s="2" t="s">
        <v>93</v>
      </c>
      <c r="D48" s="2" t="s">
        <v>25</v>
      </c>
      <c r="E48" s="2" t="s">
        <v>26</v>
      </c>
      <c r="F48" s="3">
        <v>45040</v>
      </c>
      <c r="G48" s="2" t="s">
        <v>27</v>
      </c>
      <c r="H48" s="4">
        <v>12</v>
      </c>
      <c r="I48" s="2" t="s">
        <v>30</v>
      </c>
      <c r="J48" s="2" t="s">
        <v>104</v>
      </c>
      <c r="K48" s="2" t="s">
        <v>105</v>
      </c>
      <c r="L48" s="2" t="s">
        <v>54</v>
      </c>
      <c r="M48" s="2" t="s">
        <v>57</v>
      </c>
      <c r="N48" s="7">
        <v>7</v>
      </c>
      <c r="O48" s="4">
        <v>7</v>
      </c>
      <c r="P48" s="7">
        <v>24</v>
      </c>
      <c r="Q48" s="4">
        <v>24</v>
      </c>
      <c r="R48" s="2" t="s">
        <v>29</v>
      </c>
      <c r="S48" s="2"/>
      <c r="T48" s="4">
        <f>IF(R48&lt;&gt;"Observed","",SUMIFS($O$3:O48,$C$3:C48,C48,$R$3:R48,"Observed"))</f>
        <v>201</v>
      </c>
      <c r="U48" s="4">
        <f>IF(R48&lt;&gt;"Observed","",SUMIFS($Q$3:Q48,$C$3:C48,C48,$R$3:R48,"Observed"))</f>
        <v>46</v>
      </c>
      <c r="V48" s="4">
        <f t="shared" si="0"/>
        <v>155</v>
      </c>
    </row>
    <row r="49" spans="1:22">
      <c r="A49" s="2" t="s">
        <v>23</v>
      </c>
      <c r="B49" s="4">
        <v>3</v>
      </c>
      <c r="C49" s="2" t="s">
        <v>93</v>
      </c>
      <c r="D49" s="2" t="s">
        <v>25</v>
      </c>
      <c r="E49" s="2" t="s">
        <v>26</v>
      </c>
      <c r="F49" s="3">
        <v>45040</v>
      </c>
      <c r="G49" s="2" t="s">
        <v>27</v>
      </c>
      <c r="H49" s="4">
        <v>13</v>
      </c>
      <c r="I49" s="2" t="s">
        <v>30</v>
      </c>
      <c r="J49" s="2" t="s">
        <v>105</v>
      </c>
      <c r="K49" s="2" t="s">
        <v>106</v>
      </c>
      <c r="L49" s="2" t="s">
        <v>57</v>
      </c>
      <c r="M49" s="2" t="s">
        <v>59</v>
      </c>
      <c r="N49" s="7">
        <v>4</v>
      </c>
      <c r="O49" s="4">
        <v>4</v>
      </c>
      <c r="P49" s="7">
        <v>27</v>
      </c>
      <c r="Q49" s="4">
        <v>27</v>
      </c>
      <c r="R49" s="2" t="s">
        <v>29</v>
      </c>
      <c r="S49" s="2"/>
      <c r="T49" s="4">
        <f>IF(R49&lt;&gt;"Observed","",SUMIFS($O$3:O49,$C$3:C49,C49,$R$3:R49,"Observed"))</f>
        <v>205</v>
      </c>
      <c r="U49" s="4">
        <f>IF(R49&lt;&gt;"Observed","",SUMIFS($Q$3:Q49,$C$3:C49,C49,$R$3:R49,"Observed"))</f>
        <v>73</v>
      </c>
      <c r="V49" s="4">
        <f t="shared" si="0"/>
        <v>132</v>
      </c>
    </row>
    <row r="50" spans="1:22">
      <c r="A50" s="2" t="s">
        <v>23</v>
      </c>
      <c r="B50" s="4">
        <v>3</v>
      </c>
      <c r="C50" s="2" t="s">
        <v>93</v>
      </c>
      <c r="D50" s="2" t="s">
        <v>25</v>
      </c>
      <c r="E50" s="2" t="s">
        <v>26</v>
      </c>
      <c r="F50" s="3">
        <v>45040</v>
      </c>
      <c r="G50" s="2" t="s">
        <v>27</v>
      </c>
      <c r="H50" s="4">
        <v>14</v>
      </c>
      <c r="I50" s="2" t="s">
        <v>30</v>
      </c>
      <c r="J50" s="2" t="s">
        <v>106</v>
      </c>
      <c r="K50" s="2" t="s">
        <v>107</v>
      </c>
      <c r="L50" s="2" t="s">
        <v>59</v>
      </c>
      <c r="M50" s="2" t="s">
        <v>57</v>
      </c>
      <c r="N50" s="7">
        <v>3</v>
      </c>
      <c r="O50" s="4">
        <v>3</v>
      </c>
      <c r="P50" s="7">
        <v>28</v>
      </c>
      <c r="Q50" s="4">
        <v>28</v>
      </c>
      <c r="R50" s="2" t="s">
        <v>29</v>
      </c>
      <c r="S50" s="2"/>
      <c r="T50" s="4">
        <f>IF(R50&lt;&gt;"Observed","",SUMIFS($O$3:O50,$C$3:C50,C50,$R$3:R50,"Observed"))</f>
        <v>208</v>
      </c>
      <c r="U50" s="4">
        <f>IF(R50&lt;&gt;"Observed","",SUMIFS($Q$3:Q50,$C$3:C50,C50,$R$3:R50,"Observed"))</f>
        <v>101</v>
      </c>
      <c r="V50" s="4">
        <f t="shared" si="0"/>
        <v>107</v>
      </c>
    </row>
    <row r="51" spans="1:22">
      <c r="A51" s="2" t="s">
        <v>23</v>
      </c>
      <c r="B51" s="4">
        <v>3</v>
      </c>
      <c r="C51" s="2" t="s">
        <v>93</v>
      </c>
      <c r="D51" s="2" t="s">
        <v>25</v>
      </c>
      <c r="E51" s="2" t="s">
        <v>26</v>
      </c>
      <c r="F51" s="3">
        <v>45040</v>
      </c>
      <c r="G51" s="2" t="s">
        <v>27</v>
      </c>
      <c r="H51" s="4">
        <v>15</v>
      </c>
      <c r="I51" s="2" t="s">
        <v>30</v>
      </c>
      <c r="J51" s="2" t="s">
        <v>107</v>
      </c>
      <c r="K51" s="2" t="s">
        <v>108</v>
      </c>
      <c r="L51" s="2" t="s">
        <v>57</v>
      </c>
      <c r="M51" s="2" t="s">
        <v>54</v>
      </c>
      <c r="N51" s="7">
        <v>0</v>
      </c>
      <c r="O51" s="4">
        <v>0</v>
      </c>
      <c r="P51" s="7">
        <v>26</v>
      </c>
      <c r="Q51" s="4">
        <v>26</v>
      </c>
      <c r="R51" s="2" t="s">
        <v>29</v>
      </c>
      <c r="S51" s="2"/>
      <c r="T51" s="4">
        <f>IF(R51&lt;&gt;"Observed","",SUMIFS($O$3:O51,$C$3:C51,C51,$R$3:R51,"Observed"))</f>
        <v>208</v>
      </c>
      <c r="U51" s="4">
        <f>IF(R51&lt;&gt;"Observed","",SUMIFS($Q$3:Q51,$C$3:C51,C51,$R$3:R51,"Observed"))</f>
        <v>127</v>
      </c>
      <c r="V51" s="4">
        <f t="shared" si="0"/>
        <v>81</v>
      </c>
    </row>
    <row r="52" spans="1:22">
      <c r="A52" s="2" t="s">
        <v>23</v>
      </c>
      <c r="B52" s="4">
        <v>3</v>
      </c>
      <c r="C52" s="2" t="s">
        <v>93</v>
      </c>
      <c r="D52" s="2" t="s">
        <v>25</v>
      </c>
      <c r="E52" s="2" t="s">
        <v>26</v>
      </c>
      <c r="F52" s="3">
        <v>45040</v>
      </c>
      <c r="G52" s="2" t="s">
        <v>27</v>
      </c>
      <c r="H52" s="4">
        <v>16</v>
      </c>
      <c r="I52" s="2" t="s">
        <v>30</v>
      </c>
      <c r="J52" s="2" t="s">
        <v>108</v>
      </c>
      <c r="K52" s="2" t="s">
        <v>109</v>
      </c>
      <c r="L52" s="2" t="s">
        <v>54</v>
      </c>
      <c r="M52" s="2" t="s">
        <v>52</v>
      </c>
      <c r="N52" s="7">
        <v>1</v>
      </c>
      <c r="O52" s="4">
        <v>1</v>
      </c>
      <c r="P52" s="7">
        <v>22</v>
      </c>
      <c r="Q52" s="4">
        <v>22</v>
      </c>
      <c r="R52" s="2" t="s">
        <v>29</v>
      </c>
      <c r="S52" s="2"/>
      <c r="T52" s="4">
        <f>IF(R52&lt;&gt;"Observed","",SUMIFS($O$3:O52,$C$3:C52,C52,$R$3:R52,"Observed"))</f>
        <v>209</v>
      </c>
      <c r="U52" s="4">
        <f>IF(R52&lt;&gt;"Observed","",SUMIFS($Q$3:Q52,$C$3:C52,C52,$R$3:R52,"Observed"))</f>
        <v>149</v>
      </c>
      <c r="V52" s="4">
        <f t="shared" si="0"/>
        <v>60</v>
      </c>
    </row>
    <row r="53" spans="1:22">
      <c r="A53" s="2" t="s">
        <v>23</v>
      </c>
      <c r="B53" s="4">
        <v>3</v>
      </c>
      <c r="C53" s="2" t="s">
        <v>93</v>
      </c>
      <c r="D53" s="2" t="s">
        <v>25</v>
      </c>
      <c r="E53" s="2" t="s">
        <v>26</v>
      </c>
      <c r="F53" s="3">
        <v>45040</v>
      </c>
      <c r="G53" s="2" t="s">
        <v>27</v>
      </c>
      <c r="H53" s="4">
        <v>17</v>
      </c>
      <c r="I53" s="2" t="s">
        <v>30</v>
      </c>
      <c r="J53" s="2" t="s">
        <v>109</v>
      </c>
      <c r="K53" s="2" t="s">
        <v>110</v>
      </c>
      <c r="L53" s="2" t="s">
        <v>52</v>
      </c>
      <c r="M53" s="2" t="s">
        <v>50</v>
      </c>
      <c r="N53" s="7">
        <v>3</v>
      </c>
      <c r="O53" s="4">
        <v>3</v>
      </c>
      <c r="P53" s="7">
        <v>22</v>
      </c>
      <c r="Q53" s="4">
        <v>22</v>
      </c>
      <c r="R53" s="2" t="s">
        <v>29</v>
      </c>
      <c r="S53" s="2"/>
      <c r="T53" s="4">
        <f>IF(R53&lt;&gt;"Observed","",SUMIFS($O$3:O53,$C$3:C53,C53,$R$3:R53,"Observed"))</f>
        <v>212</v>
      </c>
      <c r="U53" s="4">
        <f>IF(R53&lt;&gt;"Observed","",SUMIFS($Q$3:Q53,$C$3:C53,C53,$R$3:R53,"Observed"))</f>
        <v>171</v>
      </c>
      <c r="V53" s="4">
        <f t="shared" si="0"/>
        <v>41</v>
      </c>
    </row>
    <row r="54" spans="1:22">
      <c r="A54" s="2" t="s">
        <v>23</v>
      </c>
      <c r="B54" s="4">
        <v>4</v>
      </c>
      <c r="C54" s="2" t="s">
        <v>111</v>
      </c>
      <c r="D54" s="2" t="s">
        <v>66</v>
      </c>
      <c r="E54" s="2" t="s">
        <v>67</v>
      </c>
      <c r="F54" s="3">
        <v>45041</v>
      </c>
      <c r="G54" s="2" t="s">
        <v>112</v>
      </c>
      <c r="H54" s="4">
        <v>1</v>
      </c>
      <c r="I54" s="2" t="s">
        <v>28</v>
      </c>
      <c r="J54" s="2" t="s">
        <v>28</v>
      </c>
      <c r="K54" s="2"/>
      <c r="L54" s="2"/>
      <c r="M54" s="2"/>
      <c r="N54" s="2"/>
      <c r="O54" s="4"/>
      <c r="P54" s="2"/>
      <c r="Q54" s="4"/>
      <c r="R54" s="2" t="s">
        <v>29</v>
      </c>
      <c r="S54" s="2"/>
      <c r="T54" s="4">
        <f>IF(R54&lt;&gt;"Observed","",SUMIFS($O$3:O54,$C$3:C54,C54,$R$3:R54,"Observed"))</f>
        <v>0</v>
      </c>
      <c r="U54" s="4">
        <f>IF(R54&lt;&gt;"Observed","",SUMIFS($Q$3:Q54,$C$3:C54,C54,$R$3:R54,"Observed"))</f>
        <v>0</v>
      </c>
      <c r="V54" s="4">
        <f t="shared" si="0"/>
        <v>0</v>
      </c>
    </row>
    <row r="55" spans="1:22">
      <c r="A55" s="2" t="s">
        <v>23</v>
      </c>
      <c r="B55" s="4">
        <v>4</v>
      </c>
      <c r="C55" s="2" t="s">
        <v>111</v>
      </c>
      <c r="D55" s="2" t="s">
        <v>66</v>
      </c>
      <c r="E55" s="2" t="s">
        <v>67</v>
      </c>
      <c r="F55" s="3">
        <v>45041</v>
      </c>
      <c r="G55" s="2" t="s">
        <v>112</v>
      </c>
      <c r="H55" s="4">
        <v>2</v>
      </c>
      <c r="I55" s="2" t="s">
        <v>30</v>
      </c>
      <c r="J55" s="2" t="s">
        <v>114</v>
      </c>
      <c r="K55" s="2" t="s">
        <v>115</v>
      </c>
      <c r="L55" s="2" t="s">
        <v>33</v>
      </c>
      <c r="M55" s="2" t="s">
        <v>34</v>
      </c>
      <c r="N55" s="2"/>
      <c r="O55" s="4"/>
      <c r="P55" s="2"/>
      <c r="Q55" s="4"/>
      <c r="R55" s="2" t="s">
        <v>29</v>
      </c>
      <c r="S55" s="2"/>
      <c r="T55" s="4">
        <f>IF(R55&lt;&gt;"Observed","",SUMIFS($O$3:O55,$C$3:C55,C55,$R$3:R55,"Observed"))</f>
        <v>0</v>
      </c>
      <c r="U55" s="4">
        <f>IF(R55&lt;&gt;"Observed","",SUMIFS($Q$3:Q55,$C$3:C55,C55,$R$3:R55,"Observed"))</f>
        <v>0</v>
      </c>
      <c r="V55" s="4">
        <f t="shared" si="0"/>
        <v>0</v>
      </c>
    </row>
    <row r="56" spans="1:22">
      <c r="A56" s="2" t="s">
        <v>23</v>
      </c>
      <c r="B56" s="4">
        <v>4</v>
      </c>
      <c r="C56" s="2" t="s">
        <v>111</v>
      </c>
      <c r="D56" s="2" t="s">
        <v>66</v>
      </c>
      <c r="E56" s="2" t="s">
        <v>67</v>
      </c>
      <c r="F56" s="3">
        <v>45041</v>
      </c>
      <c r="G56" s="2" t="s">
        <v>112</v>
      </c>
      <c r="H56" s="4">
        <v>3</v>
      </c>
      <c r="I56" s="2" t="s">
        <v>30</v>
      </c>
      <c r="J56" s="2" t="s">
        <v>115</v>
      </c>
      <c r="K56" s="2" t="s">
        <v>116</v>
      </c>
      <c r="L56" s="2" t="s">
        <v>34</v>
      </c>
      <c r="M56" s="2" t="s">
        <v>37</v>
      </c>
      <c r="N56" s="2"/>
      <c r="O56" s="4"/>
      <c r="P56" s="2"/>
      <c r="Q56" s="4"/>
      <c r="R56" s="2" t="s">
        <v>29</v>
      </c>
      <c r="S56" s="2"/>
      <c r="T56" s="4">
        <f>IF(R56&lt;&gt;"Observed","",SUMIFS($O$3:O56,$C$3:C56,C56,$R$3:R56,"Observed"))</f>
        <v>0</v>
      </c>
      <c r="U56" s="4">
        <f>IF(R56&lt;&gt;"Observed","",SUMIFS($Q$3:Q56,$C$3:C56,C56,$R$3:R56,"Observed"))</f>
        <v>0</v>
      </c>
      <c r="V56" s="4">
        <f t="shared" si="0"/>
        <v>0</v>
      </c>
    </row>
    <row r="57" spans="1:22">
      <c r="A57" s="2" t="s">
        <v>23</v>
      </c>
      <c r="B57" s="4">
        <v>4</v>
      </c>
      <c r="C57" s="2" t="s">
        <v>111</v>
      </c>
      <c r="D57" s="2" t="s">
        <v>66</v>
      </c>
      <c r="E57" s="2" t="s">
        <v>67</v>
      </c>
      <c r="F57" s="3">
        <v>45041</v>
      </c>
      <c r="G57" s="2" t="s">
        <v>112</v>
      </c>
      <c r="H57" s="4">
        <v>4</v>
      </c>
      <c r="I57" s="2" t="s">
        <v>30</v>
      </c>
      <c r="J57" s="2" t="s">
        <v>116</v>
      </c>
      <c r="K57" s="2" t="s">
        <v>117</v>
      </c>
      <c r="L57" s="2" t="s">
        <v>37</v>
      </c>
      <c r="M57" s="2" t="s">
        <v>39</v>
      </c>
      <c r="N57" s="7">
        <v>19</v>
      </c>
      <c r="O57" s="4">
        <v>19</v>
      </c>
      <c r="P57" s="2"/>
      <c r="Q57" s="4">
        <v>0</v>
      </c>
      <c r="R57" s="2" t="s">
        <v>29</v>
      </c>
      <c r="S57" s="2" t="s">
        <v>70</v>
      </c>
      <c r="T57" s="4">
        <f>IF(R57&lt;&gt;"Observed","",SUMIFS($O$3:O57,$C$3:C57,C57,$R$3:R57,"Observed"))</f>
        <v>19</v>
      </c>
      <c r="U57" s="4">
        <f>IF(R57&lt;&gt;"Observed","",SUMIFS($Q$3:Q57,$C$3:C57,C57,$R$3:R57,"Observed"))</f>
        <v>0</v>
      </c>
      <c r="V57" s="4">
        <f t="shared" si="0"/>
        <v>19</v>
      </c>
    </row>
    <row r="58" spans="1:22">
      <c r="A58" s="2" t="s">
        <v>23</v>
      </c>
      <c r="B58" s="4">
        <v>4</v>
      </c>
      <c r="C58" s="2" t="s">
        <v>111</v>
      </c>
      <c r="D58" s="2" t="s">
        <v>66</v>
      </c>
      <c r="E58" s="2" t="s">
        <v>67</v>
      </c>
      <c r="F58" s="3">
        <v>45041</v>
      </c>
      <c r="G58" s="2" t="s">
        <v>112</v>
      </c>
      <c r="H58" s="4">
        <v>5</v>
      </c>
      <c r="I58" s="2" t="s">
        <v>30</v>
      </c>
      <c r="J58" s="2" t="s">
        <v>117</v>
      </c>
      <c r="K58" s="2" t="s">
        <v>118</v>
      </c>
      <c r="L58" s="2" t="s">
        <v>39</v>
      </c>
      <c r="M58" s="2" t="s">
        <v>41</v>
      </c>
      <c r="N58" s="7">
        <v>17</v>
      </c>
      <c r="O58" s="4">
        <v>17</v>
      </c>
      <c r="P58" s="7">
        <v>1</v>
      </c>
      <c r="Q58" s="4">
        <v>1</v>
      </c>
      <c r="R58" s="2" t="s">
        <v>29</v>
      </c>
      <c r="S58" s="2"/>
      <c r="T58" s="4">
        <f>IF(R58&lt;&gt;"Observed","",SUMIFS($O$3:O58,$C$3:C58,C58,$R$3:R58,"Observed"))</f>
        <v>36</v>
      </c>
      <c r="U58" s="4">
        <f>IF(R58&lt;&gt;"Observed","",SUMIFS($Q$3:Q58,$C$3:C58,C58,$R$3:R58,"Observed"))</f>
        <v>1</v>
      </c>
      <c r="V58" s="4">
        <f t="shared" si="0"/>
        <v>35</v>
      </c>
    </row>
    <row r="59" spans="1:22">
      <c r="A59" s="2" t="s">
        <v>23</v>
      </c>
      <c r="B59" s="4">
        <v>4</v>
      </c>
      <c r="C59" s="2" t="s">
        <v>111</v>
      </c>
      <c r="D59" s="2" t="s">
        <v>66</v>
      </c>
      <c r="E59" s="2" t="s">
        <v>67</v>
      </c>
      <c r="F59" s="3">
        <v>45041</v>
      </c>
      <c r="G59" s="2" t="s">
        <v>112</v>
      </c>
      <c r="H59" s="4">
        <v>6</v>
      </c>
      <c r="I59" s="2" t="s">
        <v>30</v>
      </c>
      <c r="J59" s="2" t="s">
        <v>118</v>
      </c>
      <c r="K59" s="2" t="s">
        <v>119</v>
      </c>
      <c r="L59" s="2" t="s">
        <v>41</v>
      </c>
      <c r="M59" s="2" t="s">
        <v>43</v>
      </c>
      <c r="N59" s="7">
        <v>33</v>
      </c>
      <c r="O59" s="4">
        <v>33</v>
      </c>
      <c r="P59" s="7">
        <v>0</v>
      </c>
      <c r="Q59" s="4">
        <v>0</v>
      </c>
      <c r="R59" s="2" t="s">
        <v>29</v>
      </c>
      <c r="S59" s="2"/>
      <c r="T59" s="4">
        <f>IF(R59&lt;&gt;"Observed","",SUMIFS($O$3:O59,$C$3:C59,C59,$R$3:R59,"Observed"))</f>
        <v>69</v>
      </c>
      <c r="U59" s="4">
        <f>IF(R59&lt;&gt;"Observed","",SUMIFS($Q$3:Q59,$C$3:C59,C59,$R$3:R59,"Observed"))</f>
        <v>1</v>
      </c>
      <c r="V59" s="4">
        <f t="shared" si="0"/>
        <v>68</v>
      </c>
    </row>
    <row r="60" spans="1:22">
      <c r="A60" s="2" t="s">
        <v>23</v>
      </c>
      <c r="B60" s="4">
        <v>4</v>
      </c>
      <c r="C60" s="2" t="s">
        <v>111</v>
      </c>
      <c r="D60" s="2" t="s">
        <v>66</v>
      </c>
      <c r="E60" s="2" t="s">
        <v>67</v>
      </c>
      <c r="F60" s="3">
        <v>45041</v>
      </c>
      <c r="G60" s="2" t="s">
        <v>112</v>
      </c>
      <c r="H60" s="4">
        <v>7</v>
      </c>
      <c r="I60" s="2" t="s">
        <v>30</v>
      </c>
      <c r="J60" s="2" t="s">
        <v>119</v>
      </c>
      <c r="K60" s="2" t="s">
        <v>120</v>
      </c>
      <c r="L60" s="2" t="s">
        <v>43</v>
      </c>
      <c r="M60" s="2" t="s">
        <v>45</v>
      </c>
      <c r="N60" s="7">
        <v>34</v>
      </c>
      <c r="O60" s="4">
        <v>34</v>
      </c>
      <c r="P60" s="7">
        <v>3</v>
      </c>
      <c r="Q60" s="4">
        <v>3</v>
      </c>
      <c r="R60" s="2" t="s">
        <v>29</v>
      </c>
      <c r="S60" s="2"/>
      <c r="T60" s="4">
        <f>IF(R60&lt;&gt;"Observed","",SUMIFS($O$3:O60,$C$3:C60,C60,$R$3:R60,"Observed"))</f>
        <v>103</v>
      </c>
      <c r="U60" s="4">
        <f>IF(R60&lt;&gt;"Observed","",SUMIFS($Q$3:Q60,$C$3:C60,C60,$R$3:R60,"Observed"))</f>
        <v>4</v>
      </c>
      <c r="V60" s="4">
        <f t="shared" si="0"/>
        <v>99</v>
      </c>
    </row>
    <row r="61" spans="1:22">
      <c r="A61" s="2" t="s">
        <v>23</v>
      </c>
      <c r="B61" s="4">
        <v>4</v>
      </c>
      <c r="C61" s="2" t="s">
        <v>111</v>
      </c>
      <c r="D61" s="2" t="s">
        <v>66</v>
      </c>
      <c r="E61" s="2" t="s">
        <v>67</v>
      </c>
      <c r="F61" s="3">
        <v>45041</v>
      </c>
      <c r="G61" s="2" t="s">
        <v>112</v>
      </c>
      <c r="H61" s="4">
        <v>8</v>
      </c>
      <c r="I61" s="2" t="s">
        <v>30</v>
      </c>
      <c r="J61" s="2" t="s">
        <v>120</v>
      </c>
      <c r="K61" s="2" t="s">
        <v>121</v>
      </c>
      <c r="L61" s="2" t="s">
        <v>45</v>
      </c>
      <c r="M61" s="2" t="s">
        <v>48</v>
      </c>
      <c r="N61" s="7">
        <v>38</v>
      </c>
      <c r="O61" s="4">
        <v>38</v>
      </c>
      <c r="P61" s="7">
        <v>5</v>
      </c>
      <c r="Q61" s="4">
        <v>5</v>
      </c>
      <c r="R61" s="2" t="s">
        <v>29</v>
      </c>
      <c r="S61" s="2"/>
      <c r="T61" s="4">
        <f>IF(R61&lt;&gt;"Observed","",SUMIFS($O$3:O61,$C$3:C61,C61,$R$3:R61,"Observed"))</f>
        <v>141</v>
      </c>
      <c r="U61" s="4">
        <f>IF(R61&lt;&gt;"Observed","",SUMIFS($Q$3:Q61,$C$3:C61,C61,$R$3:R61,"Observed"))</f>
        <v>9</v>
      </c>
      <c r="V61" s="4">
        <f t="shared" si="0"/>
        <v>132</v>
      </c>
    </row>
    <row r="62" spans="1:22">
      <c r="A62" s="2" t="s">
        <v>23</v>
      </c>
      <c r="B62" s="4">
        <v>4</v>
      </c>
      <c r="C62" s="2" t="s">
        <v>111</v>
      </c>
      <c r="D62" s="2" t="s">
        <v>66</v>
      </c>
      <c r="E62" s="2" t="s">
        <v>67</v>
      </c>
      <c r="F62" s="3">
        <v>45041</v>
      </c>
      <c r="G62" s="2" t="s">
        <v>112</v>
      </c>
      <c r="H62" s="4">
        <v>9</v>
      </c>
      <c r="I62" s="2" t="s">
        <v>30</v>
      </c>
      <c r="J62" s="2" t="s">
        <v>121</v>
      </c>
      <c r="K62" s="2" t="s">
        <v>122</v>
      </c>
      <c r="L62" s="2" t="s">
        <v>48</v>
      </c>
      <c r="M62" s="2" t="s">
        <v>50</v>
      </c>
      <c r="N62" s="7">
        <v>26</v>
      </c>
      <c r="O62" s="4">
        <v>26</v>
      </c>
      <c r="P62" s="7">
        <v>5</v>
      </c>
      <c r="Q62" s="4">
        <v>5</v>
      </c>
      <c r="R62" s="2" t="s">
        <v>29</v>
      </c>
      <c r="S62" s="2"/>
      <c r="T62" s="4">
        <f>IF(R62&lt;&gt;"Observed","",SUMIFS($O$3:O62,$C$3:C62,C62,$R$3:R62,"Observed"))</f>
        <v>167</v>
      </c>
      <c r="U62" s="4">
        <f>IF(R62&lt;&gt;"Observed","",SUMIFS($Q$3:Q62,$C$3:C62,C62,$R$3:R62,"Observed"))</f>
        <v>14</v>
      </c>
      <c r="V62" s="4">
        <f t="shared" si="0"/>
        <v>153</v>
      </c>
    </row>
    <row r="63" spans="1:22">
      <c r="A63" s="2" t="s">
        <v>23</v>
      </c>
      <c r="B63" s="4">
        <v>4</v>
      </c>
      <c r="C63" s="2" t="s">
        <v>111</v>
      </c>
      <c r="D63" s="2" t="s">
        <v>66</v>
      </c>
      <c r="E63" s="2" t="s">
        <v>67</v>
      </c>
      <c r="F63" s="3">
        <v>45041</v>
      </c>
      <c r="G63" s="2" t="s">
        <v>112</v>
      </c>
      <c r="H63" s="4">
        <v>10</v>
      </c>
      <c r="I63" s="2" t="s">
        <v>30</v>
      </c>
      <c r="J63" s="2" t="s">
        <v>122</v>
      </c>
      <c r="K63" s="2" t="s">
        <v>123</v>
      </c>
      <c r="L63" s="2" t="s">
        <v>50</v>
      </c>
      <c r="M63" s="2" t="s">
        <v>52</v>
      </c>
      <c r="N63" s="7">
        <v>23</v>
      </c>
      <c r="O63" s="4">
        <v>23</v>
      </c>
      <c r="P63" s="7">
        <v>15</v>
      </c>
      <c r="Q63" s="4">
        <v>15</v>
      </c>
      <c r="R63" s="2" t="s">
        <v>29</v>
      </c>
      <c r="S63" s="2"/>
      <c r="T63" s="4">
        <f>IF(R63&lt;&gt;"Observed","",SUMIFS($O$3:O63,$C$3:C63,C63,$R$3:R63,"Observed"))</f>
        <v>190</v>
      </c>
      <c r="U63" s="4">
        <f>IF(R63&lt;&gt;"Observed","",SUMIFS($Q$3:Q63,$C$3:C63,C63,$R$3:R63,"Observed"))</f>
        <v>29</v>
      </c>
      <c r="V63" s="4">
        <f t="shared" si="0"/>
        <v>161</v>
      </c>
    </row>
    <row r="64" spans="1:22">
      <c r="A64" s="2" t="s">
        <v>23</v>
      </c>
      <c r="B64" s="4">
        <v>4</v>
      </c>
      <c r="C64" s="2" t="s">
        <v>111</v>
      </c>
      <c r="D64" s="2" t="s">
        <v>66</v>
      </c>
      <c r="E64" s="2" t="s">
        <v>67</v>
      </c>
      <c r="F64" s="3">
        <v>45041</v>
      </c>
      <c r="G64" s="2" t="s">
        <v>112</v>
      </c>
      <c r="H64" s="4">
        <v>11</v>
      </c>
      <c r="I64" s="2" t="s">
        <v>30</v>
      </c>
      <c r="J64" s="2" t="s">
        <v>123</v>
      </c>
      <c r="K64" s="2" t="s">
        <v>124</v>
      </c>
      <c r="L64" s="2" t="s">
        <v>52</v>
      </c>
      <c r="M64" s="2" t="s">
        <v>54</v>
      </c>
      <c r="N64" s="7">
        <v>11</v>
      </c>
      <c r="O64" s="4">
        <v>11</v>
      </c>
      <c r="P64" s="7">
        <v>11</v>
      </c>
      <c r="Q64" s="4">
        <v>11</v>
      </c>
      <c r="R64" s="2" t="s">
        <v>29</v>
      </c>
      <c r="S64" s="2"/>
      <c r="T64" s="4">
        <f>IF(R64&lt;&gt;"Observed","",SUMIFS($O$3:O64,$C$3:C64,C64,$R$3:R64,"Observed"))</f>
        <v>201</v>
      </c>
      <c r="U64" s="4">
        <f>IF(R64&lt;&gt;"Observed","",SUMIFS($Q$3:Q64,$C$3:C64,C64,$R$3:R64,"Observed"))</f>
        <v>40</v>
      </c>
      <c r="V64" s="4">
        <f t="shared" si="0"/>
        <v>161</v>
      </c>
    </row>
    <row r="65" spans="1:22">
      <c r="A65" s="2" t="s">
        <v>23</v>
      </c>
      <c r="B65" s="4">
        <v>4</v>
      </c>
      <c r="C65" s="2" t="s">
        <v>111</v>
      </c>
      <c r="D65" s="2" t="s">
        <v>66</v>
      </c>
      <c r="E65" s="2" t="s">
        <v>67</v>
      </c>
      <c r="F65" s="3">
        <v>45041</v>
      </c>
      <c r="G65" s="2" t="s">
        <v>112</v>
      </c>
      <c r="H65" s="4">
        <v>12</v>
      </c>
      <c r="I65" s="2" t="s">
        <v>30</v>
      </c>
      <c r="J65" s="2" t="s">
        <v>124</v>
      </c>
      <c r="K65" s="2" t="s">
        <v>125</v>
      </c>
      <c r="L65" s="2" t="s">
        <v>54</v>
      </c>
      <c r="M65" s="2" t="s">
        <v>57</v>
      </c>
      <c r="N65" s="7">
        <v>5</v>
      </c>
      <c r="O65" s="4">
        <v>5</v>
      </c>
      <c r="P65" s="7">
        <v>25</v>
      </c>
      <c r="Q65" s="4">
        <v>25</v>
      </c>
      <c r="R65" s="2" t="s">
        <v>29</v>
      </c>
      <c r="S65" s="2"/>
      <c r="T65" s="4">
        <f>IF(R65&lt;&gt;"Observed","",SUMIFS($O$3:O65,$C$3:C65,C65,$R$3:R65,"Observed"))</f>
        <v>206</v>
      </c>
      <c r="U65" s="4">
        <f>IF(R65&lt;&gt;"Observed","",SUMIFS($Q$3:Q65,$C$3:C65,C65,$R$3:R65,"Observed"))</f>
        <v>65</v>
      </c>
      <c r="V65" s="4">
        <f t="shared" si="0"/>
        <v>141</v>
      </c>
    </row>
    <row r="66" spans="1:22">
      <c r="A66" s="2" t="s">
        <v>23</v>
      </c>
      <c r="B66" s="4">
        <v>4</v>
      </c>
      <c r="C66" s="2" t="s">
        <v>111</v>
      </c>
      <c r="D66" s="2" t="s">
        <v>66</v>
      </c>
      <c r="E66" s="2" t="s">
        <v>67</v>
      </c>
      <c r="F66" s="3">
        <v>45041</v>
      </c>
      <c r="G66" s="2" t="s">
        <v>112</v>
      </c>
      <c r="H66" s="4">
        <v>13</v>
      </c>
      <c r="I66" s="2" t="s">
        <v>30</v>
      </c>
      <c r="J66" s="2" t="s">
        <v>125</v>
      </c>
      <c r="K66" s="2" t="s">
        <v>126</v>
      </c>
      <c r="L66" s="2" t="s">
        <v>57</v>
      </c>
      <c r="M66" s="2" t="s">
        <v>59</v>
      </c>
      <c r="N66" s="7">
        <v>3</v>
      </c>
      <c r="O66" s="4">
        <v>3</v>
      </c>
      <c r="P66" s="7">
        <v>25</v>
      </c>
      <c r="Q66" s="4">
        <v>25</v>
      </c>
      <c r="R66" s="2" t="s">
        <v>29</v>
      </c>
      <c r="S66" s="2"/>
      <c r="T66" s="4">
        <f>IF(R66&lt;&gt;"Observed","",SUMIFS($O$3:O66,$C$3:C66,C66,$R$3:R66,"Observed"))</f>
        <v>209</v>
      </c>
      <c r="U66" s="4">
        <f>IF(R66&lt;&gt;"Observed","",SUMIFS($Q$3:Q66,$C$3:C66,C66,$R$3:R66,"Observed"))</f>
        <v>90</v>
      </c>
      <c r="V66" s="4">
        <f t="shared" si="0"/>
        <v>119</v>
      </c>
    </row>
    <row r="67" spans="1:22">
      <c r="A67" s="2" t="s">
        <v>23</v>
      </c>
      <c r="B67" s="4">
        <v>4</v>
      </c>
      <c r="C67" s="2" t="s">
        <v>111</v>
      </c>
      <c r="D67" s="2" t="s">
        <v>66</v>
      </c>
      <c r="E67" s="2" t="s">
        <v>67</v>
      </c>
      <c r="F67" s="3">
        <v>45041</v>
      </c>
      <c r="G67" s="2" t="s">
        <v>112</v>
      </c>
      <c r="H67" s="4">
        <v>14</v>
      </c>
      <c r="I67" s="2" t="s">
        <v>30</v>
      </c>
      <c r="J67" s="2" t="s">
        <v>126</v>
      </c>
      <c r="K67" s="2" t="s">
        <v>127</v>
      </c>
      <c r="L67" s="2" t="s">
        <v>59</v>
      </c>
      <c r="M67" s="2" t="s">
        <v>57</v>
      </c>
      <c r="N67" s="7">
        <v>2</v>
      </c>
      <c r="O67" s="4">
        <v>2</v>
      </c>
      <c r="P67" s="7">
        <v>19</v>
      </c>
      <c r="Q67" s="4">
        <v>19</v>
      </c>
      <c r="R67" s="2" t="s">
        <v>29</v>
      </c>
      <c r="S67" s="2"/>
      <c r="T67" s="4">
        <f>IF(R67&lt;&gt;"Observed","",SUMIFS($O$3:O67,$C$3:C67,C67,$R$3:R67,"Observed"))</f>
        <v>211</v>
      </c>
      <c r="U67" s="4">
        <f>IF(R67&lt;&gt;"Observed","",SUMIFS($Q$3:Q67,$C$3:C67,C67,$R$3:R67,"Observed"))</f>
        <v>109</v>
      </c>
      <c r="V67" s="4">
        <f t="shared" ref="V67:V130" si="1">IF(R67&lt;&gt;"Observed","",T67-U67)</f>
        <v>102</v>
      </c>
    </row>
    <row r="68" spans="1:22">
      <c r="A68" s="2" t="s">
        <v>23</v>
      </c>
      <c r="B68" s="4">
        <v>4</v>
      </c>
      <c r="C68" s="2" t="s">
        <v>111</v>
      </c>
      <c r="D68" s="2" t="s">
        <v>66</v>
      </c>
      <c r="E68" s="2" t="s">
        <v>67</v>
      </c>
      <c r="F68" s="3">
        <v>45041</v>
      </c>
      <c r="G68" s="2" t="s">
        <v>112</v>
      </c>
      <c r="H68" s="4">
        <v>15</v>
      </c>
      <c r="I68" s="2" t="s">
        <v>30</v>
      </c>
      <c r="J68" s="2" t="s">
        <v>127</v>
      </c>
      <c r="K68" s="2" t="s">
        <v>128</v>
      </c>
      <c r="L68" s="2" t="s">
        <v>57</v>
      </c>
      <c r="M68" s="2" t="s">
        <v>54</v>
      </c>
      <c r="N68" s="7">
        <v>4</v>
      </c>
      <c r="O68" s="4">
        <v>4</v>
      </c>
      <c r="P68" s="2" t="s">
        <v>129</v>
      </c>
      <c r="Q68" s="4">
        <v>26</v>
      </c>
      <c r="R68" s="2" t="s">
        <v>29</v>
      </c>
      <c r="S68" s="2" t="s">
        <v>130</v>
      </c>
      <c r="T68" s="4">
        <f>IF(R68&lt;&gt;"Observed","",SUMIFS($O$3:O68,$C$3:C68,C68,$R$3:R68,"Observed"))</f>
        <v>215</v>
      </c>
      <c r="U68" s="4">
        <f>IF(R68&lt;&gt;"Observed","",SUMIFS($Q$3:Q68,$C$3:C68,C68,$R$3:R68,"Observed"))</f>
        <v>135</v>
      </c>
      <c r="V68" s="4">
        <f t="shared" si="1"/>
        <v>80</v>
      </c>
    </row>
    <row r="69" spans="1:22">
      <c r="A69" s="2" t="s">
        <v>23</v>
      </c>
      <c r="B69" s="4">
        <v>4</v>
      </c>
      <c r="C69" s="2" t="s">
        <v>111</v>
      </c>
      <c r="D69" s="2" t="s">
        <v>66</v>
      </c>
      <c r="E69" s="2" t="s">
        <v>67</v>
      </c>
      <c r="F69" s="3">
        <v>45041</v>
      </c>
      <c r="G69" s="2" t="s">
        <v>112</v>
      </c>
      <c r="H69" s="4">
        <v>16</v>
      </c>
      <c r="I69" s="2" t="s">
        <v>30</v>
      </c>
      <c r="J69" s="2" t="s">
        <v>128</v>
      </c>
      <c r="K69" s="2" t="s">
        <v>131</v>
      </c>
      <c r="L69" s="2" t="s">
        <v>54</v>
      </c>
      <c r="M69" s="2" t="s">
        <v>52</v>
      </c>
      <c r="N69" s="7">
        <v>2</v>
      </c>
      <c r="O69" s="4">
        <v>2</v>
      </c>
      <c r="P69" s="2" t="s">
        <v>132</v>
      </c>
      <c r="Q69" s="4">
        <v>30</v>
      </c>
      <c r="R69" s="2" t="s">
        <v>29</v>
      </c>
      <c r="S69" s="2" t="s">
        <v>130</v>
      </c>
      <c r="T69" s="4">
        <f>IF(R69&lt;&gt;"Observed","",SUMIFS($O$3:O69,$C$3:C69,C69,$R$3:R69,"Observed"))</f>
        <v>217</v>
      </c>
      <c r="U69" s="4">
        <f>IF(R69&lt;&gt;"Observed","",SUMIFS($Q$3:Q69,$C$3:C69,C69,$R$3:R69,"Observed"))</f>
        <v>165</v>
      </c>
      <c r="V69" s="4">
        <f t="shared" si="1"/>
        <v>52</v>
      </c>
    </row>
    <row r="70" spans="1:22">
      <c r="A70" s="2" t="s">
        <v>23</v>
      </c>
      <c r="B70" s="4">
        <v>4</v>
      </c>
      <c r="C70" s="2" t="s">
        <v>111</v>
      </c>
      <c r="D70" s="2" t="s">
        <v>66</v>
      </c>
      <c r="E70" s="2" t="s">
        <v>67</v>
      </c>
      <c r="F70" s="3">
        <v>45041</v>
      </c>
      <c r="G70" s="2" t="s">
        <v>112</v>
      </c>
      <c r="H70" s="4">
        <v>17</v>
      </c>
      <c r="I70" s="2" t="s">
        <v>30</v>
      </c>
      <c r="J70" s="2" t="s">
        <v>131</v>
      </c>
      <c r="K70" s="2" t="s">
        <v>133</v>
      </c>
      <c r="L70" s="2" t="s">
        <v>52</v>
      </c>
      <c r="M70" s="2" t="s">
        <v>50</v>
      </c>
      <c r="N70" s="7">
        <v>2</v>
      </c>
      <c r="O70" s="4">
        <v>2</v>
      </c>
      <c r="P70" s="7">
        <v>17</v>
      </c>
      <c r="Q70" s="4">
        <v>17</v>
      </c>
      <c r="R70" s="2" t="s">
        <v>29</v>
      </c>
      <c r="S70" s="2"/>
      <c r="T70" s="4">
        <f>IF(R70&lt;&gt;"Observed","",SUMIFS($O$3:O70,$C$3:C70,C70,$R$3:R70,"Observed"))</f>
        <v>219</v>
      </c>
      <c r="U70" s="4">
        <f>IF(R70&lt;&gt;"Observed","",SUMIFS($Q$3:Q70,$C$3:C70,C70,$R$3:R70,"Observed"))</f>
        <v>182</v>
      </c>
      <c r="V70" s="4">
        <f t="shared" si="1"/>
        <v>37</v>
      </c>
    </row>
    <row r="71" spans="1:22">
      <c r="A71" s="2" t="s">
        <v>23</v>
      </c>
      <c r="B71" s="4">
        <v>5</v>
      </c>
      <c r="C71" s="2" t="s">
        <v>134</v>
      </c>
      <c r="D71" s="2" t="s">
        <v>66</v>
      </c>
      <c r="E71" s="2" t="s">
        <v>67</v>
      </c>
      <c r="F71" s="3">
        <v>45368</v>
      </c>
      <c r="G71" s="2" t="s">
        <v>135</v>
      </c>
      <c r="H71" s="4">
        <v>1</v>
      </c>
      <c r="I71" s="2" t="s">
        <v>28</v>
      </c>
      <c r="J71" s="2" t="s">
        <v>28</v>
      </c>
      <c r="K71" s="2"/>
      <c r="L71" s="2"/>
      <c r="M71" s="2"/>
      <c r="N71" s="7">
        <v>76</v>
      </c>
      <c r="O71" s="4">
        <v>76</v>
      </c>
      <c r="P71" s="7">
        <v>0</v>
      </c>
      <c r="Q71" s="4">
        <v>0</v>
      </c>
      <c r="R71" s="2" t="s">
        <v>29</v>
      </c>
      <c r="S71" s="2"/>
      <c r="T71" s="4">
        <f>IF(R71&lt;&gt;"Observed","",SUMIFS($O$3:O71,$C$3:C71,C71,$R$3:R71,"Observed"))</f>
        <v>76</v>
      </c>
      <c r="U71" s="4">
        <f>IF(R71&lt;&gt;"Observed","",SUMIFS($Q$3:Q71,$C$3:C71,C71,$R$3:R71,"Observed"))</f>
        <v>0</v>
      </c>
      <c r="V71" s="4">
        <f t="shared" si="1"/>
        <v>76</v>
      </c>
    </row>
    <row r="72" spans="1:22">
      <c r="A72" s="2" t="s">
        <v>23</v>
      </c>
      <c r="B72" s="4">
        <v>5</v>
      </c>
      <c r="C72" s="2" t="s">
        <v>134</v>
      </c>
      <c r="D72" s="2" t="s">
        <v>66</v>
      </c>
      <c r="E72" s="2" t="s">
        <v>67</v>
      </c>
      <c r="F72" s="3">
        <v>45368</v>
      </c>
      <c r="G72" s="2" t="s">
        <v>135</v>
      </c>
      <c r="H72" s="4">
        <v>2</v>
      </c>
      <c r="I72" s="2" t="s">
        <v>30</v>
      </c>
      <c r="J72" s="2" t="s">
        <v>136</v>
      </c>
      <c r="K72" s="2" t="s">
        <v>137</v>
      </c>
      <c r="L72" s="2" t="s">
        <v>33</v>
      </c>
      <c r="M72" s="2" t="s">
        <v>34</v>
      </c>
      <c r="N72" s="7">
        <v>17</v>
      </c>
      <c r="O72" s="4">
        <v>17</v>
      </c>
      <c r="P72" s="7">
        <v>2</v>
      </c>
      <c r="Q72" s="4">
        <v>2</v>
      </c>
      <c r="R72" s="2" t="s">
        <v>29</v>
      </c>
      <c r="S72" s="2"/>
      <c r="T72" s="4">
        <f>IF(R72&lt;&gt;"Observed","",SUMIFS($O$3:O72,$C$3:C72,C72,$R$3:R72,"Observed"))</f>
        <v>93</v>
      </c>
      <c r="U72" s="4">
        <f>IF(R72&lt;&gt;"Observed","",SUMIFS($Q$3:Q72,$C$3:C72,C72,$R$3:R72,"Observed"))</f>
        <v>2</v>
      </c>
      <c r="V72" s="4">
        <f t="shared" si="1"/>
        <v>91</v>
      </c>
    </row>
    <row r="73" spans="1:22">
      <c r="A73" s="2" t="s">
        <v>23</v>
      </c>
      <c r="B73" s="4">
        <v>5</v>
      </c>
      <c r="C73" s="2" t="s">
        <v>134</v>
      </c>
      <c r="D73" s="2" t="s">
        <v>66</v>
      </c>
      <c r="E73" s="2" t="s">
        <v>67</v>
      </c>
      <c r="F73" s="3">
        <v>45368</v>
      </c>
      <c r="G73" s="2" t="s">
        <v>135</v>
      </c>
      <c r="H73" s="4">
        <v>3</v>
      </c>
      <c r="I73" s="2" t="s">
        <v>30</v>
      </c>
      <c r="J73" s="2" t="s">
        <v>137</v>
      </c>
      <c r="K73" s="2" t="s">
        <v>138</v>
      </c>
      <c r="L73" s="2" t="s">
        <v>34</v>
      </c>
      <c r="M73" s="2" t="s">
        <v>37</v>
      </c>
      <c r="N73" s="7">
        <v>33</v>
      </c>
      <c r="O73" s="4">
        <v>33</v>
      </c>
      <c r="P73" s="7">
        <v>7</v>
      </c>
      <c r="Q73" s="4">
        <v>7</v>
      </c>
      <c r="R73" s="2" t="s">
        <v>29</v>
      </c>
      <c r="S73" s="2"/>
      <c r="T73" s="4">
        <f>IF(R73&lt;&gt;"Observed","",SUMIFS($O$3:O73,$C$3:C73,C73,$R$3:R73,"Observed"))</f>
        <v>126</v>
      </c>
      <c r="U73" s="4">
        <f>IF(R73&lt;&gt;"Observed","",SUMIFS($Q$3:Q73,$C$3:C73,C73,$R$3:R73,"Observed"))</f>
        <v>9</v>
      </c>
      <c r="V73" s="4">
        <f t="shared" si="1"/>
        <v>117</v>
      </c>
    </row>
    <row r="74" spans="1:22">
      <c r="A74" s="2" t="s">
        <v>23</v>
      </c>
      <c r="B74" s="4">
        <v>5</v>
      </c>
      <c r="C74" s="2" t="s">
        <v>134</v>
      </c>
      <c r="D74" s="2" t="s">
        <v>66</v>
      </c>
      <c r="E74" s="2" t="s">
        <v>67</v>
      </c>
      <c r="F74" s="3">
        <v>45368</v>
      </c>
      <c r="G74" s="2" t="s">
        <v>135</v>
      </c>
      <c r="H74" s="4">
        <v>4</v>
      </c>
      <c r="I74" s="2" t="s">
        <v>30</v>
      </c>
      <c r="J74" s="2" t="s">
        <v>138</v>
      </c>
      <c r="K74" s="2" t="s">
        <v>139</v>
      </c>
      <c r="L74" s="2" t="s">
        <v>37</v>
      </c>
      <c r="M74" s="2" t="s">
        <v>39</v>
      </c>
      <c r="N74" s="7">
        <v>57</v>
      </c>
      <c r="O74" s="4">
        <v>57</v>
      </c>
      <c r="P74" s="7">
        <v>7</v>
      </c>
      <c r="Q74" s="4">
        <v>7</v>
      </c>
      <c r="R74" s="2" t="s">
        <v>29</v>
      </c>
      <c r="S74" s="2"/>
      <c r="T74" s="4">
        <f>IF(R74&lt;&gt;"Observed","",SUMIFS($O$3:O74,$C$3:C74,C74,$R$3:R74,"Observed"))</f>
        <v>183</v>
      </c>
      <c r="U74" s="4">
        <f>IF(R74&lt;&gt;"Observed","",SUMIFS($Q$3:Q74,$C$3:C74,C74,$R$3:R74,"Observed"))</f>
        <v>16</v>
      </c>
      <c r="V74" s="4">
        <f t="shared" si="1"/>
        <v>167</v>
      </c>
    </row>
    <row r="75" spans="1:22">
      <c r="A75" s="2" t="s">
        <v>23</v>
      </c>
      <c r="B75" s="4">
        <v>5</v>
      </c>
      <c r="C75" s="2" t="s">
        <v>134</v>
      </c>
      <c r="D75" s="2" t="s">
        <v>66</v>
      </c>
      <c r="E75" s="2" t="s">
        <v>67</v>
      </c>
      <c r="F75" s="3">
        <v>45368</v>
      </c>
      <c r="G75" s="2" t="s">
        <v>135</v>
      </c>
      <c r="H75" s="4">
        <v>5</v>
      </c>
      <c r="I75" s="2" t="s">
        <v>30</v>
      </c>
      <c r="J75" s="2" t="s">
        <v>139</v>
      </c>
      <c r="K75" s="2" t="s">
        <v>140</v>
      </c>
      <c r="L75" s="2" t="s">
        <v>39</v>
      </c>
      <c r="M75" s="2" t="s">
        <v>41</v>
      </c>
      <c r="N75" s="7">
        <v>38</v>
      </c>
      <c r="O75" s="4">
        <v>38</v>
      </c>
      <c r="P75" s="7">
        <v>16</v>
      </c>
      <c r="Q75" s="4">
        <v>16</v>
      </c>
      <c r="R75" s="2" t="s">
        <v>29</v>
      </c>
      <c r="S75" s="2"/>
      <c r="T75" s="4">
        <f>IF(R75&lt;&gt;"Observed","",SUMIFS($O$3:O75,$C$3:C75,C75,$R$3:R75,"Observed"))</f>
        <v>221</v>
      </c>
      <c r="U75" s="4">
        <f>IF(R75&lt;&gt;"Observed","",SUMIFS($Q$3:Q75,$C$3:C75,C75,$R$3:R75,"Observed"))</f>
        <v>32</v>
      </c>
      <c r="V75" s="4">
        <f t="shared" si="1"/>
        <v>189</v>
      </c>
    </row>
    <row r="76" spans="1:22">
      <c r="A76" s="2" t="s">
        <v>23</v>
      </c>
      <c r="B76" s="4">
        <v>5</v>
      </c>
      <c r="C76" s="2" t="s">
        <v>134</v>
      </c>
      <c r="D76" s="2" t="s">
        <v>66</v>
      </c>
      <c r="E76" s="2" t="s">
        <v>67</v>
      </c>
      <c r="F76" s="3">
        <v>45368</v>
      </c>
      <c r="G76" s="2" t="s">
        <v>135</v>
      </c>
      <c r="H76" s="4">
        <v>6</v>
      </c>
      <c r="I76" s="2" t="s">
        <v>30</v>
      </c>
      <c r="J76" s="2" t="s">
        <v>140</v>
      </c>
      <c r="K76" s="2" t="s">
        <v>141</v>
      </c>
      <c r="L76" s="2" t="s">
        <v>41</v>
      </c>
      <c r="M76" s="2" t="s">
        <v>43</v>
      </c>
      <c r="N76" s="7">
        <v>65</v>
      </c>
      <c r="O76" s="4">
        <v>65</v>
      </c>
      <c r="P76" s="7">
        <v>11</v>
      </c>
      <c r="Q76" s="4">
        <v>11</v>
      </c>
      <c r="R76" s="2" t="s">
        <v>29</v>
      </c>
      <c r="S76" s="2"/>
      <c r="T76" s="4">
        <f>IF(R76&lt;&gt;"Observed","",SUMIFS($O$3:O76,$C$3:C76,C76,$R$3:R76,"Observed"))</f>
        <v>286</v>
      </c>
      <c r="U76" s="4">
        <f>IF(R76&lt;&gt;"Observed","",SUMIFS($Q$3:Q76,$C$3:C76,C76,$R$3:R76,"Observed"))</f>
        <v>43</v>
      </c>
      <c r="V76" s="4">
        <f t="shared" si="1"/>
        <v>243</v>
      </c>
    </row>
    <row r="77" spans="1:22">
      <c r="A77" s="2" t="s">
        <v>23</v>
      </c>
      <c r="B77" s="4">
        <v>5</v>
      </c>
      <c r="C77" s="2" t="s">
        <v>134</v>
      </c>
      <c r="D77" s="2" t="s">
        <v>66</v>
      </c>
      <c r="E77" s="2" t="s">
        <v>67</v>
      </c>
      <c r="F77" s="3">
        <v>45368</v>
      </c>
      <c r="G77" s="2" t="s">
        <v>135</v>
      </c>
      <c r="H77" s="4">
        <v>7</v>
      </c>
      <c r="I77" s="2" t="s">
        <v>30</v>
      </c>
      <c r="J77" s="2" t="s">
        <v>141</v>
      </c>
      <c r="K77" s="2" t="s">
        <v>142</v>
      </c>
      <c r="L77" s="2" t="s">
        <v>43</v>
      </c>
      <c r="M77" s="2" t="s">
        <v>45</v>
      </c>
      <c r="N77" s="7">
        <v>54</v>
      </c>
      <c r="O77" s="4">
        <v>54</v>
      </c>
      <c r="P77" s="7">
        <v>9</v>
      </c>
      <c r="Q77" s="4">
        <v>9</v>
      </c>
      <c r="R77" s="2" t="s">
        <v>29</v>
      </c>
      <c r="S77" s="2"/>
      <c r="T77" s="4">
        <f>IF(R77&lt;&gt;"Observed","",SUMIFS($O$3:O77,$C$3:C77,C77,$R$3:R77,"Observed"))</f>
        <v>340</v>
      </c>
      <c r="U77" s="4">
        <f>IF(R77&lt;&gt;"Observed","",SUMIFS($Q$3:Q77,$C$3:C77,C77,$R$3:R77,"Observed"))</f>
        <v>52</v>
      </c>
      <c r="V77" s="4">
        <f t="shared" si="1"/>
        <v>288</v>
      </c>
    </row>
    <row r="78" spans="1:22">
      <c r="A78" s="2" t="s">
        <v>23</v>
      </c>
      <c r="B78" s="4">
        <v>5</v>
      </c>
      <c r="C78" s="2" t="s">
        <v>134</v>
      </c>
      <c r="D78" s="2" t="s">
        <v>66</v>
      </c>
      <c r="E78" s="2" t="s">
        <v>67</v>
      </c>
      <c r="F78" s="3">
        <v>45368</v>
      </c>
      <c r="G78" s="2" t="s">
        <v>135</v>
      </c>
      <c r="H78" s="4">
        <v>8</v>
      </c>
      <c r="I78" s="2" t="s">
        <v>30</v>
      </c>
      <c r="J78" s="2" t="s">
        <v>142</v>
      </c>
      <c r="K78" s="2" t="s">
        <v>143</v>
      </c>
      <c r="L78" s="2" t="s">
        <v>45</v>
      </c>
      <c r="M78" s="2" t="s">
        <v>48</v>
      </c>
      <c r="N78" s="7">
        <v>71</v>
      </c>
      <c r="O78" s="4">
        <v>71</v>
      </c>
      <c r="P78" s="7">
        <v>26</v>
      </c>
      <c r="Q78" s="4">
        <v>26</v>
      </c>
      <c r="R78" s="2" t="s">
        <v>29</v>
      </c>
      <c r="S78" s="2"/>
      <c r="T78" s="4">
        <f>IF(R78&lt;&gt;"Observed","",SUMIFS($O$3:O78,$C$3:C78,C78,$R$3:R78,"Observed"))</f>
        <v>411</v>
      </c>
      <c r="U78" s="4">
        <f>IF(R78&lt;&gt;"Observed","",SUMIFS($Q$3:Q78,$C$3:C78,C78,$R$3:R78,"Observed"))</f>
        <v>78</v>
      </c>
      <c r="V78" s="4">
        <f t="shared" si="1"/>
        <v>333</v>
      </c>
    </row>
    <row r="79" spans="1:22">
      <c r="A79" s="2" t="s">
        <v>23</v>
      </c>
      <c r="B79" s="4">
        <v>5</v>
      </c>
      <c r="C79" s="2" t="s">
        <v>134</v>
      </c>
      <c r="D79" s="2" t="s">
        <v>66</v>
      </c>
      <c r="E79" s="2" t="s">
        <v>67</v>
      </c>
      <c r="F79" s="3">
        <v>45368</v>
      </c>
      <c r="G79" s="2" t="s">
        <v>135</v>
      </c>
      <c r="H79" s="4">
        <v>9</v>
      </c>
      <c r="I79" s="2" t="s">
        <v>30</v>
      </c>
      <c r="J79" s="2" t="s">
        <v>143</v>
      </c>
      <c r="K79" s="2" t="s">
        <v>144</v>
      </c>
      <c r="L79" s="2" t="s">
        <v>48</v>
      </c>
      <c r="M79" s="2" t="s">
        <v>50</v>
      </c>
      <c r="N79" s="7">
        <v>52</v>
      </c>
      <c r="O79" s="4">
        <v>52</v>
      </c>
      <c r="P79" s="7">
        <v>15</v>
      </c>
      <c r="Q79" s="4">
        <v>15</v>
      </c>
      <c r="R79" s="2" t="s">
        <v>29</v>
      </c>
      <c r="S79" s="2"/>
      <c r="T79" s="4">
        <f>IF(R79&lt;&gt;"Observed","",SUMIFS($O$3:O79,$C$3:C79,C79,$R$3:R79,"Observed"))</f>
        <v>463</v>
      </c>
      <c r="U79" s="4">
        <f>IF(R79&lt;&gt;"Observed","",SUMIFS($Q$3:Q79,$C$3:C79,C79,$R$3:R79,"Observed"))</f>
        <v>93</v>
      </c>
      <c r="V79" s="4">
        <f t="shared" si="1"/>
        <v>370</v>
      </c>
    </row>
    <row r="80" spans="1:22">
      <c r="A80" s="2" t="s">
        <v>23</v>
      </c>
      <c r="B80" s="4">
        <v>5</v>
      </c>
      <c r="C80" s="2" t="s">
        <v>134</v>
      </c>
      <c r="D80" s="2" t="s">
        <v>66</v>
      </c>
      <c r="E80" s="2" t="s">
        <v>67</v>
      </c>
      <c r="F80" s="3">
        <v>45368</v>
      </c>
      <c r="G80" s="2" t="s">
        <v>135</v>
      </c>
      <c r="H80" s="4">
        <v>10</v>
      </c>
      <c r="I80" s="2" t="s">
        <v>30</v>
      </c>
      <c r="J80" s="2" t="s">
        <v>144</v>
      </c>
      <c r="K80" s="2" t="s">
        <v>145</v>
      </c>
      <c r="L80" s="2" t="s">
        <v>50</v>
      </c>
      <c r="M80" s="2" t="s">
        <v>52</v>
      </c>
      <c r="N80" s="7">
        <v>63</v>
      </c>
      <c r="O80" s="4">
        <v>63</v>
      </c>
      <c r="P80" s="7">
        <v>22</v>
      </c>
      <c r="Q80" s="4">
        <v>22</v>
      </c>
      <c r="R80" s="2" t="s">
        <v>29</v>
      </c>
      <c r="S80" s="2"/>
      <c r="T80" s="4">
        <f>IF(R80&lt;&gt;"Observed","",SUMIFS($O$3:O80,$C$3:C80,C80,$R$3:R80,"Observed"))</f>
        <v>526</v>
      </c>
      <c r="U80" s="4">
        <f>IF(R80&lt;&gt;"Observed","",SUMIFS($Q$3:Q80,$C$3:C80,C80,$R$3:R80,"Observed"))</f>
        <v>115</v>
      </c>
      <c r="V80" s="4">
        <f t="shared" si="1"/>
        <v>411</v>
      </c>
    </row>
    <row r="81" spans="1:22">
      <c r="A81" s="2" t="s">
        <v>23</v>
      </c>
      <c r="B81" s="4">
        <v>5</v>
      </c>
      <c r="C81" s="2" t="s">
        <v>134</v>
      </c>
      <c r="D81" s="2" t="s">
        <v>66</v>
      </c>
      <c r="E81" s="2" t="s">
        <v>67</v>
      </c>
      <c r="F81" s="3">
        <v>45368</v>
      </c>
      <c r="G81" s="2" t="s">
        <v>135</v>
      </c>
      <c r="H81" s="4">
        <v>11</v>
      </c>
      <c r="I81" s="2" t="s">
        <v>30</v>
      </c>
      <c r="J81" s="2" t="s">
        <v>145</v>
      </c>
      <c r="K81" s="2" t="s">
        <v>146</v>
      </c>
      <c r="L81" s="2" t="s">
        <v>52</v>
      </c>
      <c r="M81" s="2" t="s">
        <v>54</v>
      </c>
      <c r="N81" s="7">
        <v>34</v>
      </c>
      <c r="O81" s="4">
        <v>34</v>
      </c>
      <c r="P81" s="7">
        <v>18</v>
      </c>
      <c r="Q81" s="4">
        <v>18</v>
      </c>
      <c r="R81" s="2" t="s">
        <v>29</v>
      </c>
      <c r="S81" s="2"/>
      <c r="T81" s="4">
        <f>IF(R81&lt;&gt;"Observed","",SUMIFS($O$3:O81,$C$3:C81,C81,$R$3:R81,"Observed"))</f>
        <v>560</v>
      </c>
      <c r="U81" s="4">
        <f>IF(R81&lt;&gt;"Observed","",SUMIFS($Q$3:Q81,$C$3:C81,C81,$R$3:R81,"Observed"))</f>
        <v>133</v>
      </c>
      <c r="V81" s="4">
        <f t="shared" si="1"/>
        <v>427</v>
      </c>
    </row>
    <row r="82" spans="1:22">
      <c r="A82" s="2" t="s">
        <v>23</v>
      </c>
      <c r="B82" s="4">
        <v>5</v>
      </c>
      <c r="C82" s="2" t="s">
        <v>134</v>
      </c>
      <c r="D82" s="2" t="s">
        <v>66</v>
      </c>
      <c r="E82" s="2" t="s">
        <v>67</v>
      </c>
      <c r="F82" s="3">
        <v>45368</v>
      </c>
      <c r="G82" s="2" t="s">
        <v>135</v>
      </c>
      <c r="H82" s="4">
        <v>12</v>
      </c>
      <c r="I82" s="2" t="s">
        <v>30</v>
      </c>
      <c r="J82" s="2" t="s">
        <v>146</v>
      </c>
      <c r="K82" s="2" t="s">
        <v>147</v>
      </c>
      <c r="L82" s="2" t="s">
        <v>54</v>
      </c>
      <c r="M82" s="2" t="s">
        <v>57</v>
      </c>
      <c r="N82" s="7">
        <v>38</v>
      </c>
      <c r="O82" s="4">
        <v>38</v>
      </c>
      <c r="P82" s="7">
        <v>27</v>
      </c>
      <c r="Q82" s="4">
        <v>27</v>
      </c>
      <c r="R82" s="2" t="s">
        <v>29</v>
      </c>
      <c r="S82" s="2"/>
      <c r="T82" s="4">
        <f>IF(R82&lt;&gt;"Observed","",SUMIFS($O$3:O82,$C$3:C82,C82,$R$3:R82,"Observed"))</f>
        <v>598</v>
      </c>
      <c r="U82" s="4">
        <f>IF(R82&lt;&gt;"Observed","",SUMIFS($Q$3:Q82,$C$3:C82,C82,$R$3:R82,"Observed"))</f>
        <v>160</v>
      </c>
      <c r="V82" s="4">
        <f t="shared" si="1"/>
        <v>438</v>
      </c>
    </row>
    <row r="83" spans="1:22">
      <c r="A83" s="2" t="s">
        <v>23</v>
      </c>
      <c r="B83" s="4">
        <v>5</v>
      </c>
      <c r="C83" s="2" t="s">
        <v>134</v>
      </c>
      <c r="D83" s="2" t="s">
        <v>66</v>
      </c>
      <c r="E83" s="2" t="s">
        <v>67</v>
      </c>
      <c r="F83" s="3">
        <v>45368</v>
      </c>
      <c r="G83" s="2" t="s">
        <v>135</v>
      </c>
      <c r="H83" s="4">
        <v>13</v>
      </c>
      <c r="I83" s="2" t="s">
        <v>30</v>
      </c>
      <c r="J83" s="2" t="s">
        <v>147</v>
      </c>
      <c r="K83" s="2" t="s">
        <v>148</v>
      </c>
      <c r="L83" s="2" t="s">
        <v>57</v>
      </c>
      <c r="M83" s="2" t="s">
        <v>59</v>
      </c>
      <c r="N83" s="7">
        <v>14</v>
      </c>
      <c r="O83" s="4">
        <v>14</v>
      </c>
      <c r="P83" s="7">
        <v>62</v>
      </c>
      <c r="Q83" s="4">
        <v>62</v>
      </c>
      <c r="R83" s="2" t="s">
        <v>29</v>
      </c>
      <c r="S83" s="2"/>
      <c r="T83" s="4">
        <f>IF(R83&lt;&gt;"Observed","",SUMIFS($O$3:O83,$C$3:C83,C83,$R$3:R83,"Observed"))</f>
        <v>612</v>
      </c>
      <c r="U83" s="4">
        <f>IF(R83&lt;&gt;"Observed","",SUMIFS($Q$3:Q83,$C$3:C83,C83,$R$3:R83,"Observed"))</f>
        <v>222</v>
      </c>
      <c r="V83" s="4">
        <f t="shared" si="1"/>
        <v>390</v>
      </c>
    </row>
    <row r="84" spans="1:22">
      <c r="A84" s="2" t="s">
        <v>23</v>
      </c>
      <c r="B84" s="4">
        <v>5</v>
      </c>
      <c r="C84" s="2" t="s">
        <v>134</v>
      </c>
      <c r="D84" s="2" t="s">
        <v>66</v>
      </c>
      <c r="E84" s="2" t="s">
        <v>67</v>
      </c>
      <c r="F84" s="3">
        <v>45368</v>
      </c>
      <c r="G84" s="2" t="s">
        <v>135</v>
      </c>
      <c r="H84" s="4">
        <v>14</v>
      </c>
      <c r="I84" s="2" t="s">
        <v>30</v>
      </c>
      <c r="J84" s="2" t="s">
        <v>148</v>
      </c>
      <c r="K84" s="2" t="s">
        <v>149</v>
      </c>
      <c r="L84" s="2" t="s">
        <v>59</v>
      </c>
      <c r="M84" s="2" t="s">
        <v>57</v>
      </c>
      <c r="N84" s="7">
        <v>17</v>
      </c>
      <c r="O84" s="4">
        <v>17</v>
      </c>
      <c r="P84" s="7">
        <v>40</v>
      </c>
      <c r="Q84" s="4">
        <v>40</v>
      </c>
      <c r="R84" s="2" t="s">
        <v>29</v>
      </c>
      <c r="S84" s="2"/>
      <c r="T84" s="4">
        <f>IF(R84&lt;&gt;"Observed","",SUMIFS($O$3:O84,$C$3:C84,C84,$R$3:R84,"Observed"))</f>
        <v>629</v>
      </c>
      <c r="U84" s="4">
        <f>IF(R84&lt;&gt;"Observed","",SUMIFS($Q$3:Q84,$C$3:C84,C84,$R$3:R84,"Observed"))</f>
        <v>262</v>
      </c>
      <c r="V84" s="4">
        <f t="shared" si="1"/>
        <v>367</v>
      </c>
    </row>
    <row r="85" spans="1:22">
      <c r="A85" s="2" t="s">
        <v>23</v>
      </c>
      <c r="B85" s="4">
        <v>5</v>
      </c>
      <c r="C85" s="2" t="s">
        <v>134</v>
      </c>
      <c r="D85" s="2" t="s">
        <v>66</v>
      </c>
      <c r="E85" s="2" t="s">
        <v>67</v>
      </c>
      <c r="F85" s="3">
        <v>45368</v>
      </c>
      <c r="G85" s="2" t="s">
        <v>135</v>
      </c>
      <c r="H85" s="4">
        <v>15</v>
      </c>
      <c r="I85" s="2" t="s">
        <v>30</v>
      </c>
      <c r="J85" s="2" t="s">
        <v>149</v>
      </c>
      <c r="K85" s="2" t="s">
        <v>150</v>
      </c>
      <c r="L85" s="2" t="s">
        <v>57</v>
      </c>
      <c r="M85" s="2" t="s">
        <v>54</v>
      </c>
      <c r="N85" s="7">
        <v>12</v>
      </c>
      <c r="O85" s="4">
        <v>12</v>
      </c>
      <c r="P85" s="7">
        <v>72</v>
      </c>
      <c r="Q85" s="4">
        <v>72</v>
      </c>
      <c r="R85" s="2" t="s">
        <v>29</v>
      </c>
      <c r="S85" s="2"/>
      <c r="T85" s="4">
        <f>IF(R85&lt;&gt;"Observed","",SUMIFS($O$3:O85,$C$3:C85,C85,$R$3:R85,"Observed"))</f>
        <v>641</v>
      </c>
      <c r="U85" s="4">
        <f>IF(R85&lt;&gt;"Observed","",SUMIFS($Q$3:Q85,$C$3:C85,C85,$R$3:R85,"Observed"))</f>
        <v>334</v>
      </c>
      <c r="V85" s="4">
        <f t="shared" si="1"/>
        <v>307</v>
      </c>
    </row>
    <row r="86" spans="1:22">
      <c r="A86" s="2" t="s">
        <v>23</v>
      </c>
      <c r="B86" s="4">
        <v>5</v>
      </c>
      <c r="C86" s="2" t="s">
        <v>134</v>
      </c>
      <c r="D86" s="2" t="s">
        <v>66</v>
      </c>
      <c r="E86" s="2" t="s">
        <v>67</v>
      </c>
      <c r="F86" s="3">
        <v>45368</v>
      </c>
      <c r="G86" s="2" t="s">
        <v>135</v>
      </c>
      <c r="H86" s="4">
        <v>16</v>
      </c>
      <c r="I86" s="2" t="s">
        <v>30</v>
      </c>
      <c r="J86" s="2" t="s">
        <v>150</v>
      </c>
      <c r="K86" s="2" t="s">
        <v>152</v>
      </c>
      <c r="L86" s="2" t="s">
        <v>54</v>
      </c>
      <c r="M86" s="2" t="s">
        <v>52</v>
      </c>
      <c r="N86" s="7">
        <v>11</v>
      </c>
      <c r="O86" s="4">
        <v>11</v>
      </c>
      <c r="P86" s="7">
        <v>52</v>
      </c>
      <c r="Q86" s="4">
        <v>52</v>
      </c>
      <c r="R86" s="2" t="s">
        <v>29</v>
      </c>
      <c r="S86" s="2"/>
      <c r="T86" s="4">
        <f>IF(R86&lt;&gt;"Observed","",SUMIFS($O$3:O86,$C$3:C86,C86,$R$3:R86,"Observed"))</f>
        <v>652</v>
      </c>
      <c r="U86" s="4">
        <f>IF(R86&lt;&gt;"Observed","",SUMIFS($Q$3:Q86,$C$3:C86,C86,$R$3:R86,"Observed"))</f>
        <v>386</v>
      </c>
      <c r="V86" s="4">
        <f t="shared" si="1"/>
        <v>266</v>
      </c>
    </row>
    <row r="87" spans="1:22">
      <c r="A87" s="2" t="s">
        <v>23</v>
      </c>
      <c r="B87" s="4">
        <v>5</v>
      </c>
      <c r="C87" s="2" t="s">
        <v>134</v>
      </c>
      <c r="D87" s="2" t="s">
        <v>66</v>
      </c>
      <c r="E87" s="2" t="s">
        <v>67</v>
      </c>
      <c r="F87" s="3">
        <v>45368</v>
      </c>
      <c r="G87" s="2" t="s">
        <v>135</v>
      </c>
      <c r="H87" s="4">
        <v>17</v>
      </c>
      <c r="I87" s="2" t="s">
        <v>30</v>
      </c>
      <c r="J87" s="2" t="s">
        <v>152</v>
      </c>
      <c r="K87" s="2" t="s">
        <v>153</v>
      </c>
      <c r="L87" s="2" t="s">
        <v>52</v>
      </c>
      <c r="M87" s="2" t="s">
        <v>50</v>
      </c>
      <c r="N87" s="7">
        <v>11</v>
      </c>
      <c r="O87" s="4">
        <v>11</v>
      </c>
      <c r="P87" s="7">
        <v>59</v>
      </c>
      <c r="Q87" s="4">
        <v>59</v>
      </c>
      <c r="R87" s="2" t="s">
        <v>29</v>
      </c>
      <c r="S87" s="2"/>
      <c r="T87" s="4">
        <f>IF(R87&lt;&gt;"Observed","",SUMIFS($O$3:O87,$C$3:C87,C87,$R$3:R87,"Observed"))</f>
        <v>663</v>
      </c>
      <c r="U87" s="4">
        <f>IF(R87&lt;&gt;"Observed","",SUMIFS($Q$3:Q87,$C$3:C87,C87,$R$3:R87,"Observed"))</f>
        <v>445</v>
      </c>
      <c r="V87" s="4">
        <f t="shared" si="1"/>
        <v>218</v>
      </c>
    </row>
    <row r="88" spans="1:22">
      <c r="A88" s="2" t="s">
        <v>23</v>
      </c>
      <c r="B88" s="4">
        <v>6</v>
      </c>
      <c r="C88" s="2" t="s">
        <v>154</v>
      </c>
      <c r="D88" s="2" t="s">
        <v>25</v>
      </c>
      <c r="E88" s="2" t="s">
        <v>26</v>
      </c>
      <c r="F88" s="3">
        <v>45358</v>
      </c>
      <c r="G88" s="2" t="s">
        <v>135</v>
      </c>
      <c r="H88" s="4">
        <v>1</v>
      </c>
      <c r="I88" s="2" t="s">
        <v>28</v>
      </c>
      <c r="J88" s="2" t="s">
        <v>28</v>
      </c>
      <c r="K88" s="2"/>
      <c r="L88" s="2"/>
      <c r="M88" s="2"/>
      <c r="N88" s="7">
        <v>11</v>
      </c>
      <c r="O88" s="4">
        <v>11</v>
      </c>
      <c r="P88" s="7">
        <v>2</v>
      </c>
      <c r="Q88" s="4">
        <v>2</v>
      </c>
      <c r="R88" s="2" t="s">
        <v>29</v>
      </c>
      <c r="S88" s="2"/>
      <c r="T88" s="4">
        <f>IF(R88&lt;&gt;"Observed","",SUMIFS($O$3:O88,$C$3:C88,C88,$R$3:R88,"Observed"))</f>
        <v>11</v>
      </c>
      <c r="U88" s="4">
        <f>IF(R88&lt;&gt;"Observed","",SUMIFS($Q$3:Q88,$C$3:C88,C88,$R$3:R88,"Observed"))</f>
        <v>2</v>
      </c>
      <c r="V88" s="4">
        <f t="shared" si="1"/>
        <v>9</v>
      </c>
    </row>
    <row r="89" spans="1:22">
      <c r="A89" s="2" t="s">
        <v>23</v>
      </c>
      <c r="B89" s="4">
        <v>6</v>
      </c>
      <c r="C89" s="2" t="s">
        <v>154</v>
      </c>
      <c r="D89" s="2" t="s">
        <v>25</v>
      </c>
      <c r="E89" s="2" t="s">
        <v>26</v>
      </c>
      <c r="F89" s="3">
        <v>45358</v>
      </c>
      <c r="G89" s="2" t="s">
        <v>135</v>
      </c>
      <c r="H89" s="4">
        <v>2</v>
      </c>
      <c r="I89" s="2" t="s">
        <v>30</v>
      </c>
      <c r="J89" s="2" t="s">
        <v>155</v>
      </c>
      <c r="K89" s="2" t="s">
        <v>156</v>
      </c>
      <c r="L89" s="2" t="s">
        <v>33</v>
      </c>
      <c r="M89" s="2" t="s">
        <v>34</v>
      </c>
      <c r="N89" s="7">
        <v>14</v>
      </c>
      <c r="O89" s="4">
        <v>14</v>
      </c>
      <c r="P89" s="7">
        <v>3</v>
      </c>
      <c r="Q89" s="4">
        <v>3</v>
      </c>
      <c r="R89" s="2" t="s">
        <v>29</v>
      </c>
      <c r="S89" s="2"/>
      <c r="T89" s="4">
        <f>IF(R89&lt;&gt;"Observed","",SUMIFS($O$3:O89,$C$3:C89,C89,$R$3:R89,"Observed"))</f>
        <v>25</v>
      </c>
      <c r="U89" s="4">
        <f>IF(R89&lt;&gt;"Observed","",SUMIFS($Q$3:Q89,$C$3:C89,C89,$R$3:R89,"Observed"))</f>
        <v>5</v>
      </c>
      <c r="V89" s="4">
        <f t="shared" si="1"/>
        <v>20</v>
      </c>
    </row>
    <row r="90" spans="1:22">
      <c r="A90" s="2" t="s">
        <v>23</v>
      </c>
      <c r="B90" s="4">
        <v>6</v>
      </c>
      <c r="C90" s="2" t="s">
        <v>154</v>
      </c>
      <c r="D90" s="2" t="s">
        <v>25</v>
      </c>
      <c r="E90" s="2" t="s">
        <v>26</v>
      </c>
      <c r="F90" s="3">
        <v>45358</v>
      </c>
      <c r="G90" s="2" t="s">
        <v>135</v>
      </c>
      <c r="H90" s="4">
        <v>3</v>
      </c>
      <c r="I90" s="2" t="s">
        <v>30</v>
      </c>
      <c r="J90" s="2" t="s">
        <v>156</v>
      </c>
      <c r="K90" s="2" t="s">
        <v>157</v>
      </c>
      <c r="L90" s="2" t="s">
        <v>34</v>
      </c>
      <c r="M90" s="2" t="s">
        <v>37</v>
      </c>
      <c r="N90" s="7">
        <v>19</v>
      </c>
      <c r="O90" s="4">
        <v>19</v>
      </c>
      <c r="P90" s="7">
        <v>2</v>
      </c>
      <c r="Q90" s="4">
        <v>2</v>
      </c>
      <c r="R90" s="2" t="s">
        <v>29</v>
      </c>
      <c r="S90" s="2"/>
      <c r="T90" s="4">
        <f>IF(R90&lt;&gt;"Observed","",SUMIFS($O$3:O90,$C$3:C90,C90,$R$3:R90,"Observed"))</f>
        <v>44</v>
      </c>
      <c r="U90" s="4">
        <f>IF(R90&lt;&gt;"Observed","",SUMIFS($Q$3:Q90,$C$3:C90,C90,$R$3:R90,"Observed"))</f>
        <v>7</v>
      </c>
      <c r="V90" s="4">
        <f t="shared" si="1"/>
        <v>37</v>
      </c>
    </row>
    <row r="91" spans="1:22">
      <c r="A91" s="2" t="s">
        <v>23</v>
      </c>
      <c r="B91" s="4">
        <v>6</v>
      </c>
      <c r="C91" s="2" t="s">
        <v>154</v>
      </c>
      <c r="D91" s="2" t="s">
        <v>25</v>
      </c>
      <c r="E91" s="2" t="s">
        <v>26</v>
      </c>
      <c r="F91" s="3">
        <v>45358</v>
      </c>
      <c r="G91" s="2" t="s">
        <v>135</v>
      </c>
      <c r="H91" s="4">
        <v>4</v>
      </c>
      <c r="I91" s="2" t="s">
        <v>30</v>
      </c>
      <c r="J91" s="2" t="s">
        <v>157</v>
      </c>
      <c r="K91" s="2" t="s">
        <v>158</v>
      </c>
      <c r="L91" s="2" t="s">
        <v>37</v>
      </c>
      <c r="M91" s="2" t="s">
        <v>39</v>
      </c>
      <c r="N91" s="7">
        <v>26</v>
      </c>
      <c r="O91" s="4">
        <v>26</v>
      </c>
      <c r="P91" s="7">
        <v>5</v>
      </c>
      <c r="Q91" s="4">
        <v>5</v>
      </c>
      <c r="R91" s="2" t="s">
        <v>29</v>
      </c>
      <c r="S91" s="2"/>
      <c r="T91" s="4">
        <f>IF(R91&lt;&gt;"Observed","",SUMIFS($O$3:O91,$C$3:C91,C91,$R$3:R91,"Observed"))</f>
        <v>70</v>
      </c>
      <c r="U91" s="4">
        <f>IF(R91&lt;&gt;"Observed","",SUMIFS($Q$3:Q91,$C$3:C91,C91,$R$3:R91,"Observed"))</f>
        <v>12</v>
      </c>
      <c r="V91" s="4">
        <f t="shared" si="1"/>
        <v>58</v>
      </c>
    </row>
    <row r="92" spans="1:22">
      <c r="A92" s="2" t="s">
        <v>23</v>
      </c>
      <c r="B92" s="4">
        <v>6</v>
      </c>
      <c r="C92" s="2" t="s">
        <v>154</v>
      </c>
      <c r="D92" s="2" t="s">
        <v>25</v>
      </c>
      <c r="E92" s="2" t="s">
        <v>26</v>
      </c>
      <c r="F92" s="3">
        <v>45358</v>
      </c>
      <c r="G92" s="2" t="s">
        <v>135</v>
      </c>
      <c r="H92" s="4">
        <v>5</v>
      </c>
      <c r="I92" s="2" t="s">
        <v>30</v>
      </c>
      <c r="J92" s="2" t="s">
        <v>158</v>
      </c>
      <c r="K92" s="2" t="s">
        <v>159</v>
      </c>
      <c r="L92" s="2" t="s">
        <v>39</v>
      </c>
      <c r="M92" s="2" t="s">
        <v>41</v>
      </c>
      <c r="N92" s="7">
        <v>33</v>
      </c>
      <c r="O92" s="4">
        <v>33</v>
      </c>
      <c r="P92" s="7">
        <v>3</v>
      </c>
      <c r="Q92" s="4">
        <v>3</v>
      </c>
      <c r="R92" s="2" t="s">
        <v>29</v>
      </c>
      <c r="S92" s="2"/>
      <c r="T92" s="4">
        <f>IF(R92&lt;&gt;"Observed","",SUMIFS($O$3:O92,$C$3:C92,C92,$R$3:R92,"Observed"))</f>
        <v>103</v>
      </c>
      <c r="U92" s="4">
        <f>IF(R92&lt;&gt;"Observed","",SUMIFS($Q$3:Q92,$C$3:C92,C92,$R$3:R92,"Observed"))</f>
        <v>15</v>
      </c>
      <c r="V92" s="4">
        <f t="shared" si="1"/>
        <v>88</v>
      </c>
    </row>
    <row r="93" spans="1:22">
      <c r="A93" s="2" t="s">
        <v>23</v>
      </c>
      <c r="B93" s="4">
        <v>6</v>
      </c>
      <c r="C93" s="2" t="s">
        <v>154</v>
      </c>
      <c r="D93" s="2" t="s">
        <v>25</v>
      </c>
      <c r="E93" s="2" t="s">
        <v>26</v>
      </c>
      <c r="F93" s="3">
        <v>45358</v>
      </c>
      <c r="G93" s="2" t="s">
        <v>135</v>
      </c>
      <c r="H93" s="4">
        <v>6</v>
      </c>
      <c r="I93" s="2" t="s">
        <v>30</v>
      </c>
      <c r="J93" s="2" t="s">
        <v>159</v>
      </c>
      <c r="K93" s="2" t="s">
        <v>160</v>
      </c>
      <c r="L93" s="2" t="s">
        <v>41</v>
      </c>
      <c r="M93" s="2" t="s">
        <v>43</v>
      </c>
      <c r="N93" s="7">
        <v>31</v>
      </c>
      <c r="O93" s="4">
        <v>31</v>
      </c>
      <c r="P93" s="7">
        <v>3</v>
      </c>
      <c r="Q93" s="4">
        <v>3</v>
      </c>
      <c r="R93" s="2" t="s">
        <v>29</v>
      </c>
      <c r="S93" s="2"/>
      <c r="T93" s="4">
        <f>IF(R93&lt;&gt;"Observed","",SUMIFS($O$3:O93,$C$3:C93,C93,$R$3:R93,"Observed"))</f>
        <v>134</v>
      </c>
      <c r="U93" s="4">
        <f>IF(R93&lt;&gt;"Observed","",SUMIFS($Q$3:Q93,$C$3:C93,C93,$R$3:R93,"Observed"))</f>
        <v>18</v>
      </c>
      <c r="V93" s="4">
        <f t="shared" si="1"/>
        <v>116</v>
      </c>
    </row>
    <row r="94" spans="1:22">
      <c r="A94" s="2" t="s">
        <v>23</v>
      </c>
      <c r="B94" s="4">
        <v>6</v>
      </c>
      <c r="C94" s="2" t="s">
        <v>154</v>
      </c>
      <c r="D94" s="2" t="s">
        <v>25</v>
      </c>
      <c r="E94" s="2" t="s">
        <v>26</v>
      </c>
      <c r="F94" s="3">
        <v>45358</v>
      </c>
      <c r="G94" s="2" t="s">
        <v>135</v>
      </c>
      <c r="H94" s="4">
        <v>7</v>
      </c>
      <c r="I94" s="2" t="s">
        <v>30</v>
      </c>
      <c r="J94" s="2" t="s">
        <v>160</v>
      </c>
      <c r="K94" s="2" t="s">
        <v>161</v>
      </c>
      <c r="L94" s="2" t="s">
        <v>43</v>
      </c>
      <c r="M94" s="2" t="s">
        <v>45</v>
      </c>
      <c r="N94" s="7">
        <v>30</v>
      </c>
      <c r="O94" s="4">
        <v>30</v>
      </c>
      <c r="P94" s="7">
        <v>7</v>
      </c>
      <c r="Q94" s="4">
        <v>7</v>
      </c>
      <c r="R94" s="2" t="s">
        <v>29</v>
      </c>
      <c r="S94" s="2"/>
      <c r="T94" s="4">
        <f>IF(R94&lt;&gt;"Observed","",SUMIFS($O$3:O94,$C$3:C94,C94,$R$3:R94,"Observed"))</f>
        <v>164</v>
      </c>
      <c r="U94" s="4">
        <f>IF(R94&lt;&gt;"Observed","",SUMIFS($Q$3:Q94,$C$3:C94,C94,$R$3:R94,"Observed"))</f>
        <v>25</v>
      </c>
      <c r="V94" s="4">
        <f t="shared" si="1"/>
        <v>139</v>
      </c>
    </row>
    <row r="95" spans="1:22">
      <c r="A95" s="2" t="s">
        <v>23</v>
      </c>
      <c r="B95" s="4">
        <v>6</v>
      </c>
      <c r="C95" s="2" t="s">
        <v>154</v>
      </c>
      <c r="D95" s="2" t="s">
        <v>25</v>
      </c>
      <c r="E95" s="2" t="s">
        <v>26</v>
      </c>
      <c r="F95" s="3">
        <v>45358</v>
      </c>
      <c r="G95" s="2" t="s">
        <v>135</v>
      </c>
      <c r="H95" s="4">
        <v>8</v>
      </c>
      <c r="I95" s="2" t="s">
        <v>30</v>
      </c>
      <c r="J95" s="2" t="s">
        <v>161</v>
      </c>
      <c r="K95" s="2" t="s">
        <v>162</v>
      </c>
      <c r="L95" s="2" t="s">
        <v>45</v>
      </c>
      <c r="M95" s="2" t="s">
        <v>48</v>
      </c>
      <c r="N95" s="7">
        <v>32</v>
      </c>
      <c r="O95" s="4">
        <v>32</v>
      </c>
      <c r="P95" s="7">
        <v>8</v>
      </c>
      <c r="Q95" s="4">
        <v>8</v>
      </c>
      <c r="R95" s="2" t="s">
        <v>29</v>
      </c>
      <c r="S95" s="2"/>
      <c r="T95" s="4">
        <f>IF(R95&lt;&gt;"Observed","",SUMIFS($O$3:O95,$C$3:C95,C95,$R$3:R95,"Observed"))</f>
        <v>196</v>
      </c>
      <c r="U95" s="4">
        <f>IF(R95&lt;&gt;"Observed","",SUMIFS($Q$3:Q95,$C$3:C95,C95,$R$3:R95,"Observed"))</f>
        <v>33</v>
      </c>
      <c r="V95" s="4">
        <f t="shared" si="1"/>
        <v>163</v>
      </c>
    </row>
    <row r="96" spans="1:22">
      <c r="A96" s="2" t="s">
        <v>23</v>
      </c>
      <c r="B96" s="4">
        <v>6</v>
      </c>
      <c r="C96" s="2" t="s">
        <v>154</v>
      </c>
      <c r="D96" s="2" t="s">
        <v>25</v>
      </c>
      <c r="E96" s="2" t="s">
        <v>26</v>
      </c>
      <c r="F96" s="3">
        <v>45358</v>
      </c>
      <c r="G96" s="2" t="s">
        <v>135</v>
      </c>
      <c r="H96" s="4">
        <v>9</v>
      </c>
      <c r="I96" s="2" t="s">
        <v>30</v>
      </c>
      <c r="J96" s="2" t="s">
        <v>162</v>
      </c>
      <c r="K96" s="2" t="s">
        <v>163</v>
      </c>
      <c r="L96" s="2" t="s">
        <v>48</v>
      </c>
      <c r="M96" s="2" t="s">
        <v>50</v>
      </c>
      <c r="N96" s="7">
        <v>23</v>
      </c>
      <c r="O96" s="4">
        <v>23</v>
      </c>
      <c r="P96" s="7">
        <v>16</v>
      </c>
      <c r="Q96" s="4">
        <v>16</v>
      </c>
      <c r="R96" s="2" t="s">
        <v>29</v>
      </c>
      <c r="S96" s="2"/>
      <c r="T96" s="4">
        <f>IF(R96&lt;&gt;"Observed","",SUMIFS($O$3:O96,$C$3:C96,C96,$R$3:R96,"Observed"))</f>
        <v>219</v>
      </c>
      <c r="U96" s="4">
        <f>IF(R96&lt;&gt;"Observed","",SUMIFS($Q$3:Q96,$C$3:C96,C96,$R$3:R96,"Observed"))</f>
        <v>49</v>
      </c>
      <c r="V96" s="4">
        <f t="shared" si="1"/>
        <v>170</v>
      </c>
    </row>
    <row r="97" spans="1:22">
      <c r="A97" s="2" t="s">
        <v>23</v>
      </c>
      <c r="B97" s="4">
        <v>6</v>
      </c>
      <c r="C97" s="2" t="s">
        <v>154</v>
      </c>
      <c r="D97" s="2" t="s">
        <v>25</v>
      </c>
      <c r="E97" s="2" t="s">
        <v>26</v>
      </c>
      <c r="F97" s="3">
        <v>45358</v>
      </c>
      <c r="G97" s="2" t="s">
        <v>135</v>
      </c>
      <c r="H97" s="4">
        <v>10</v>
      </c>
      <c r="I97" s="2" t="s">
        <v>30</v>
      </c>
      <c r="J97" s="2" t="s">
        <v>163</v>
      </c>
      <c r="K97" s="2" t="s">
        <v>164</v>
      </c>
      <c r="L97" s="2" t="s">
        <v>50</v>
      </c>
      <c r="M97" s="2" t="s">
        <v>52</v>
      </c>
      <c r="N97" s="7">
        <v>16</v>
      </c>
      <c r="O97" s="4">
        <v>16</v>
      </c>
      <c r="P97" s="7">
        <v>23</v>
      </c>
      <c r="Q97" s="4">
        <v>23</v>
      </c>
      <c r="R97" s="2" t="s">
        <v>29</v>
      </c>
      <c r="S97" s="2"/>
      <c r="T97" s="4">
        <f>IF(R97&lt;&gt;"Observed","",SUMIFS($O$3:O97,$C$3:C97,C97,$R$3:R97,"Observed"))</f>
        <v>235</v>
      </c>
      <c r="U97" s="4">
        <f>IF(R97&lt;&gt;"Observed","",SUMIFS($Q$3:Q97,$C$3:C97,C97,$R$3:R97,"Observed"))</f>
        <v>72</v>
      </c>
      <c r="V97" s="4">
        <f t="shared" si="1"/>
        <v>163</v>
      </c>
    </row>
    <row r="98" spans="1:22">
      <c r="A98" s="2" t="s">
        <v>23</v>
      </c>
      <c r="B98" s="4">
        <v>6</v>
      </c>
      <c r="C98" s="2" t="s">
        <v>154</v>
      </c>
      <c r="D98" s="2" t="s">
        <v>25</v>
      </c>
      <c r="E98" s="2" t="s">
        <v>26</v>
      </c>
      <c r="F98" s="3">
        <v>45358</v>
      </c>
      <c r="G98" s="2" t="s">
        <v>135</v>
      </c>
      <c r="H98" s="4">
        <v>11</v>
      </c>
      <c r="I98" s="2" t="s">
        <v>30</v>
      </c>
      <c r="J98" s="2" t="s">
        <v>164</v>
      </c>
      <c r="K98" s="2" t="s">
        <v>165</v>
      </c>
      <c r="L98" s="2" t="s">
        <v>52</v>
      </c>
      <c r="M98" s="2" t="s">
        <v>54</v>
      </c>
      <c r="N98" s="7">
        <v>14</v>
      </c>
      <c r="O98" s="4">
        <v>14</v>
      </c>
      <c r="P98" s="7">
        <v>46</v>
      </c>
      <c r="Q98" s="4">
        <v>46</v>
      </c>
      <c r="R98" s="2" t="s">
        <v>29</v>
      </c>
      <c r="S98" s="2"/>
      <c r="T98" s="4">
        <f>IF(R98&lt;&gt;"Observed","",SUMIFS($O$3:O98,$C$3:C98,C98,$R$3:R98,"Observed"))</f>
        <v>249</v>
      </c>
      <c r="U98" s="4">
        <f>IF(R98&lt;&gt;"Observed","",SUMIFS($Q$3:Q98,$C$3:C98,C98,$R$3:R98,"Observed"))</f>
        <v>118</v>
      </c>
      <c r="V98" s="4">
        <f t="shared" si="1"/>
        <v>131</v>
      </c>
    </row>
    <row r="99" spans="1:22">
      <c r="A99" s="2" t="s">
        <v>23</v>
      </c>
      <c r="B99" s="4">
        <v>6</v>
      </c>
      <c r="C99" s="2" t="s">
        <v>154</v>
      </c>
      <c r="D99" s="2" t="s">
        <v>25</v>
      </c>
      <c r="E99" s="2" t="s">
        <v>26</v>
      </c>
      <c r="F99" s="3">
        <v>45358</v>
      </c>
      <c r="G99" s="2" t="s">
        <v>135</v>
      </c>
      <c r="H99" s="4">
        <v>12</v>
      </c>
      <c r="I99" s="2" t="s">
        <v>30</v>
      </c>
      <c r="J99" s="2" t="s">
        <v>165</v>
      </c>
      <c r="K99" s="2" t="s">
        <v>166</v>
      </c>
      <c r="L99" s="2" t="s">
        <v>54</v>
      </c>
      <c r="M99" s="2" t="s">
        <v>57</v>
      </c>
      <c r="N99" s="2">
        <v>14</v>
      </c>
      <c r="O99" s="4">
        <v>14</v>
      </c>
      <c r="P99" s="7">
        <v>29</v>
      </c>
      <c r="Q99" s="4">
        <v>29</v>
      </c>
      <c r="R99" s="2" t="s">
        <v>29</v>
      </c>
      <c r="S99" s="2"/>
      <c r="T99" s="4">
        <f>IF(R99&lt;&gt;"Observed","",SUMIFS($O$3:O99,$C$3:C99,C99,$R$3:R99,"Observed"))</f>
        <v>263</v>
      </c>
      <c r="U99" s="4">
        <f>IF(R99&lt;&gt;"Observed","",SUMIFS($Q$3:Q99,$C$3:C99,C99,$R$3:R99,"Observed"))</f>
        <v>147</v>
      </c>
      <c r="V99" s="4">
        <f t="shared" si="1"/>
        <v>116</v>
      </c>
    </row>
    <row r="100" spans="1:22">
      <c r="A100" s="2" t="s">
        <v>23</v>
      </c>
      <c r="B100" s="4">
        <v>6</v>
      </c>
      <c r="C100" s="2" t="s">
        <v>154</v>
      </c>
      <c r="D100" s="2" t="s">
        <v>25</v>
      </c>
      <c r="E100" s="2" t="s">
        <v>26</v>
      </c>
      <c r="F100" s="3">
        <v>45358</v>
      </c>
      <c r="G100" s="2" t="s">
        <v>135</v>
      </c>
      <c r="H100" s="4">
        <v>13</v>
      </c>
      <c r="I100" s="2" t="s">
        <v>30</v>
      </c>
      <c r="J100" s="2" t="s">
        <v>166</v>
      </c>
      <c r="K100" s="2" t="s">
        <v>167</v>
      </c>
      <c r="L100" s="2" t="s">
        <v>57</v>
      </c>
      <c r="M100" s="2" t="s">
        <v>59</v>
      </c>
      <c r="N100" s="7">
        <v>10</v>
      </c>
      <c r="O100" s="4">
        <v>10</v>
      </c>
      <c r="P100" s="7">
        <v>36</v>
      </c>
      <c r="Q100" s="4">
        <v>36</v>
      </c>
      <c r="R100" s="2" t="s">
        <v>29</v>
      </c>
      <c r="S100" s="2"/>
      <c r="T100" s="4">
        <f>IF(R100&lt;&gt;"Observed","",SUMIFS($O$3:O100,$C$3:C100,C100,$R$3:R100,"Observed"))</f>
        <v>273</v>
      </c>
      <c r="U100" s="4">
        <f>IF(R100&lt;&gt;"Observed","",SUMIFS($Q$3:Q100,$C$3:C100,C100,$R$3:R100,"Observed"))</f>
        <v>183</v>
      </c>
      <c r="V100" s="4">
        <f t="shared" si="1"/>
        <v>90</v>
      </c>
    </row>
    <row r="101" spans="1:22">
      <c r="A101" s="2" t="s">
        <v>23</v>
      </c>
      <c r="B101" s="4">
        <v>6</v>
      </c>
      <c r="C101" s="2" t="s">
        <v>154</v>
      </c>
      <c r="D101" s="2" t="s">
        <v>25</v>
      </c>
      <c r="E101" s="2" t="s">
        <v>26</v>
      </c>
      <c r="F101" s="3">
        <v>45358</v>
      </c>
      <c r="G101" s="2" t="s">
        <v>135</v>
      </c>
      <c r="H101" s="4">
        <v>14</v>
      </c>
      <c r="I101" s="2" t="s">
        <v>30</v>
      </c>
      <c r="J101" s="2" t="s">
        <v>167</v>
      </c>
      <c r="K101" s="2" t="s">
        <v>169</v>
      </c>
      <c r="L101" s="2" t="s">
        <v>59</v>
      </c>
      <c r="M101" s="2" t="s">
        <v>57</v>
      </c>
      <c r="N101" s="7">
        <v>5</v>
      </c>
      <c r="O101" s="4">
        <v>5</v>
      </c>
      <c r="P101" s="7">
        <v>27</v>
      </c>
      <c r="Q101" s="4">
        <v>27</v>
      </c>
      <c r="R101" s="2" t="s">
        <v>29</v>
      </c>
      <c r="S101" s="2"/>
      <c r="T101" s="4">
        <f>IF(R101&lt;&gt;"Observed","",SUMIFS($O$3:O101,$C$3:C101,C101,$R$3:R101,"Observed"))</f>
        <v>278</v>
      </c>
      <c r="U101" s="4">
        <f>IF(R101&lt;&gt;"Observed","",SUMIFS($Q$3:Q101,$C$3:C101,C101,$R$3:R101,"Observed"))</f>
        <v>210</v>
      </c>
      <c r="V101" s="4">
        <f t="shared" si="1"/>
        <v>68</v>
      </c>
    </row>
    <row r="102" spans="1:22">
      <c r="A102" s="2" t="s">
        <v>23</v>
      </c>
      <c r="B102" s="4">
        <v>6</v>
      </c>
      <c r="C102" s="2" t="s">
        <v>154</v>
      </c>
      <c r="D102" s="2" t="s">
        <v>25</v>
      </c>
      <c r="E102" s="2" t="s">
        <v>26</v>
      </c>
      <c r="F102" s="3">
        <v>45358</v>
      </c>
      <c r="G102" s="2" t="s">
        <v>135</v>
      </c>
      <c r="H102" s="4">
        <v>15</v>
      </c>
      <c r="I102" s="2" t="s">
        <v>30</v>
      </c>
      <c r="J102" s="2" t="s">
        <v>169</v>
      </c>
      <c r="K102" s="2" t="s">
        <v>170</v>
      </c>
      <c r="L102" s="2" t="s">
        <v>57</v>
      </c>
      <c r="M102" s="2" t="s">
        <v>54</v>
      </c>
      <c r="N102" s="7">
        <v>5</v>
      </c>
      <c r="O102" s="4">
        <v>5</v>
      </c>
      <c r="P102" s="7">
        <v>21</v>
      </c>
      <c r="Q102" s="4">
        <v>21</v>
      </c>
      <c r="R102" s="2" t="s">
        <v>29</v>
      </c>
      <c r="S102" s="2"/>
      <c r="T102" s="4">
        <f>IF(R102&lt;&gt;"Observed","",SUMIFS($O$3:O102,$C$3:C102,C102,$R$3:R102,"Observed"))</f>
        <v>283</v>
      </c>
      <c r="U102" s="4">
        <f>IF(R102&lt;&gt;"Observed","",SUMIFS($Q$3:Q102,$C$3:C102,C102,$R$3:R102,"Observed"))</f>
        <v>231</v>
      </c>
      <c r="V102" s="4">
        <f t="shared" si="1"/>
        <v>52</v>
      </c>
    </row>
    <row r="103" spans="1:22">
      <c r="A103" s="2" t="s">
        <v>23</v>
      </c>
      <c r="B103" s="4">
        <v>6</v>
      </c>
      <c r="C103" s="2" t="s">
        <v>154</v>
      </c>
      <c r="D103" s="2" t="s">
        <v>25</v>
      </c>
      <c r="E103" s="2" t="s">
        <v>26</v>
      </c>
      <c r="F103" s="3">
        <v>45358</v>
      </c>
      <c r="G103" s="2" t="s">
        <v>135</v>
      </c>
      <c r="H103" s="4">
        <v>16</v>
      </c>
      <c r="I103" s="2" t="s">
        <v>30</v>
      </c>
      <c r="J103" s="2" t="s">
        <v>170</v>
      </c>
      <c r="K103" s="2" t="s">
        <v>171</v>
      </c>
      <c r="L103" s="2" t="s">
        <v>54</v>
      </c>
      <c r="M103" s="2" t="s">
        <v>52</v>
      </c>
      <c r="N103" s="7">
        <v>6</v>
      </c>
      <c r="O103" s="4">
        <v>6</v>
      </c>
      <c r="P103" s="7">
        <v>28</v>
      </c>
      <c r="Q103" s="4">
        <v>28</v>
      </c>
      <c r="R103" s="2" t="s">
        <v>29</v>
      </c>
      <c r="S103" s="2"/>
      <c r="T103" s="4">
        <f>IF(R103&lt;&gt;"Observed","",SUMIFS($O$3:O103,$C$3:C103,C103,$R$3:R103,"Observed"))</f>
        <v>289</v>
      </c>
      <c r="U103" s="4">
        <f>IF(R103&lt;&gt;"Observed","",SUMIFS($Q$3:Q103,$C$3:C103,C103,$R$3:R103,"Observed"))</f>
        <v>259</v>
      </c>
      <c r="V103" s="4">
        <f t="shared" si="1"/>
        <v>30</v>
      </c>
    </row>
    <row r="104" spans="1:22">
      <c r="A104" s="2" t="s">
        <v>23</v>
      </c>
      <c r="B104" s="4">
        <v>6</v>
      </c>
      <c r="C104" s="2" t="s">
        <v>154</v>
      </c>
      <c r="D104" s="2" t="s">
        <v>25</v>
      </c>
      <c r="E104" s="2" t="s">
        <v>26</v>
      </c>
      <c r="F104" s="3">
        <v>45358</v>
      </c>
      <c r="G104" s="2" t="s">
        <v>135</v>
      </c>
      <c r="H104" s="4">
        <v>17</v>
      </c>
      <c r="I104" s="2" t="s">
        <v>30</v>
      </c>
      <c r="J104" s="2" t="s">
        <v>171</v>
      </c>
      <c r="K104" s="2" t="s">
        <v>172</v>
      </c>
      <c r="L104" s="2" t="s">
        <v>52</v>
      </c>
      <c r="M104" s="2" t="s">
        <v>50</v>
      </c>
      <c r="N104" s="7">
        <v>0</v>
      </c>
      <c r="O104" s="4">
        <v>0</v>
      </c>
      <c r="P104" s="7">
        <v>12</v>
      </c>
      <c r="Q104" s="4">
        <v>12</v>
      </c>
      <c r="R104" s="2" t="s">
        <v>29</v>
      </c>
      <c r="S104" s="2"/>
      <c r="T104" s="4">
        <f>IF(R104&lt;&gt;"Observed","",SUMIFS($O$3:O104,$C$3:C104,C104,$R$3:R104,"Observed"))</f>
        <v>289</v>
      </c>
      <c r="U104" s="4">
        <f>IF(R104&lt;&gt;"Observed","",SUMIFS($Q$3:Q104,$C$3:C104,C104,$R$3:R104,"Observed"))</f>
        <v>271</v>
      </c>
      <c r="V104" s="4">
        <f t="shared" si="1"/>
        <v>18</v>
      </c>
    </row>
    <row r="105" spans="1:22">
      <c r="A105" s="2" t="s">
        <v>23</v>
      </c>
      <c r="B105" s="4">
        <v>7</v>
      </c>
      <c r="C105" s="2" t="s">
        <v>173</v>
      </c>
      <c r="D105" s="2" t="s">
        <v>66</v>
      </c>
      <c r="E105" s="2" t="s">
        <v>67</v>
      </c>
      <c r="F105" s="3">
        <v>45359</v>
      </c>
      <c r="G105" s="2" t="s">
        <v>174</v>
      </c>
      <c r="H105" s="4">
        <v>1</v>
      </c>
      <c r="I105" s="2" t="s">
        <v>28</v>
      </c>
      <c r="J105" s="2" t="s">
        <v>28</v>
      </c>
      <c r="K105" s="2"/>
      <c r="L105" s="2"/>
      <c r="M105" s="2"/>
      <c r="N105" s="7">
        <v>17</v>
      </c>
      <c r="O105" s="4">
        <v>17</v>
      </c>
      <c r="P105" s="2"/>
      <c r="Q105" s="4">
        <v>0</v>
      </c>
      <c r="R105" s="2" t="s">
        <v>29</v>
      </c>
      <c r="S105" s="2" t="s">
        <v>70</v>
      </c>
      <c r="T105" s="4">
        <f>IF(R105&lt;&gt;"Observed","",SUMIFS($O$3:O105,$C$3:C105,C105,$R$3:R105,"Observed"))</f>
        <v>17</v>
      </c>
      <c r="U105" s="4">
        <f>IF(R105&lt;&gt;"Observed","",SUMIFS($Q$3:Q105,$C$3:C105,C105,$R$3:R105,"Observed"))</f>
        <v>0</v>
      </c>
      <c r="V105" s="4">
        <f t="shared" si="1"/>
        <v>17</v>
      </c>
    </row>
    <row r="106" spans="1:22">
      <c r="A106" s="2" t="s">
        <v>23</v>
      </c>
      <c r="B106" s="4">
        <v>7</v>
      </c>
      <c r="C106" s="2" t="s">
        <v>173</v>
      </c>
      <c r="D106" s="2" t="s">
        <v>66</v>
      </c>
      <c r="E106" s="2" t="s">
        <v>67</v>
      </c>
      <c r="F106" s="3">
        <v>45359</v>
      </c>
      <c r="G106" s="2" t="s">
        <v>174</v>
      </c>
      <c r="H106" s="4">
        <v>2</v>
      </c>
      <c r="I106" s="2" t="s">
        <v>30</v>
      </c>
      <c r="J106" s="2" t="s">
        <v>158</v>
      </c>
      <c r="K106" s="2" t="s">
        <v>159</v>
      </c>
      <c r="L106" s="2" t="s">
        <v>33</v>
      </c>
      <c r="M106" s="2" t="s">
        <v>34</v>
      </c>
      <c r="N106" s="7">
        <v>6</v>
      </c>
      <c r="O106" s="4">
        <v>6</v>
      </c>
      <c r="P106" s="7">
        <v>1</v>
      </c>
      <c r="Q106" s="4">
        <v>1</v>
      </c>
      <c r="R106" s="2" t="s">
        <v>29</v>
      </c>
      <c r="S106" s="2"/>
      <c r="T106" s="4">
        <f>IF(R106&lt;&gt;"Observed","",SUMIFS($O$3:O106,$C$3:C106,C106,$R$3:R106,"Observed"))</f>
        <v>23</v>
      </c>
      <c r="U106" s="4">
        <f>IF(R106&lt;&gt;"Observed","",SUMIFS($Q$3:Q106,$C$3:C106,C106,$R$3:R106,"Observed"))</f>
        <v>1</v>
      </c>
      <c r="V106" s="4">
        <f t="shared" si="1"/>
        <v>22</v>
      </c>
    </row>
    <row r="107" spans="1:22">
      <c r="A107" s="2" t="s">
        <v>23</v>
      </c>
      <c r="B107" s="4">
        <v>7</v>
      </c>
      <c r="C107" s="2" t="s">
        <v>173</v>
      </c>
      <c r="D107" s="2" t="s">
        <v>66</v>
      </c>
      <c r="E107" s="2" t="s">
        <v>67</v>
      </c>
      <c r="F107" s="3">
        <v>45359</v>
      </c>
      <c r="G107" s="2" t="s">
        <v>174</v>
      </c>
      <c r="H107" s="4">
        <v>3</v>
      </c>
      <c r="I107" s="2" t="s">
        <v>30</v>
      </c>
      <c r="J107" s="2" t="s">
        <v>159</v>
      </c>
      <c r="K107" s="2" t="s">
        <v>160</v>
      </c>
      <c r="L107" s="2" t="s">
        <v>34</v>
      </c>
      <c r="M107" s="2" t="s">
        <v>37</v>
      </c>
      <c r="N107" s="7">
        <v>17</v>
      </c>
      <c r="O107" s="4">
        <v>17</v>
      </c>
      <c r="P107" s="7">
        <v>2</v>
      </c>
      <c r="Q107" s="4">
        <v>2</v>
      </c>
      <c r="R107" s="2" t="s">
        <v>29</v>
      </c>
      <c r="S107" s="2"/>
      <c r="T107" s="4">
        <f>IF(R107&lt;&gt;"Observed","",SUMIFS($O$3:O107,$C$3:C107,C107,$R$3:R107,"Observed"))</f>
        <v>40</v>
      </c>
      <c r="U107" s="4">
        <f>IF(R107&lt;&gt;"Observed","",SUMIFS($Q$3:Q107,$C$3:C107,C107,$R$3:R107,"Observed"))</f>
        <v>3</v>
      </c>
      <c r="V107" s="4">
        <f t="shared" si="1"/>
        <v>37</v>
      </c>
    </row>
    <row r="108" spans="1:22">
      <c r="A108" s="2" t="s">
        <v>23</v>
      </c>
      <c r="B108" s="4">
        <v>7</v>
      </c>
      <c r="C108" s="2" t="s">
        <v>173</v>
      </c>
      <c r="D108" s="2" t="s">
        <v>66</v>
      </c>
      <c r="E108" s="2" t="s">
        <v>67</v>
      </c>
      <c r="F108" s="3">
        <v>45359</v>
      </c>
      <c r="G108" s="2" t="s">
        <v>174</v>
      </c>
      <c r="H108" s="4">
        <v>4</v>
      </c>
      <c r="I108" s="2" t="s">
        <v>30</v>
      </c>
      <c r="J108" s="2" t="s">
        <v>160</v>
      </c>
      <c r="K108" s="2" t="s">
        <v>161</v>
      </c>
      <c r="L108" s="2" t="s">
        <v>37</v>
      </c>
      <c r="M108" s="2" t="s">
        <v>39</v>
      </c>
      <c r="N108" s="7">
        <v>23</v>
      </c>
      <c r="O108" s="4">
        <v>23</v>
      </c>
      <c r="P108" s="7">
        <v>1</v>
      </c>
      <c r="Q108" s="4">
        <v>1</v>
      </c>
      <c r="R108" s="2" t="s">
        <v>29</v>
      </c>
      <c r="S108" s="2"/>
      <c r="T108" s="4">
        <f>IF(R108&lt;&gt;"Observed","",SUMIFS($O$3:O108,$C$3:C108,C108,$R$3:R108,"Observed"))</f>
        <v>63</v>
      </c>
      <c r="U108" s="4">
        <f>IF(R108&lt;&gt;"Observed","",SUMIFS($Q$3:Q108,$C$3:C108,C108,$R$3:R108,"Observed"))</f>
        <v>4</v>
      </c>
      <c r="V108" s="4">
        <f t="shared" si="1"/>
        <v>59</v>
      </c>
    </row>
    <row r="109" spans="1:22">
      <c r="A109" s="2" t="s">
        <v>23</v>
      </c>
      <c r="B109" s="4">
        <v>7</v>
      </c>
      <c r="C109" s="2" t="s">
        <v>173</v>
      </c>
      <c r="D109" s="2" t="s">
        <v>66</v>
      </c>
      <c r="E109" s="2" t="s">
        <v>67</v>
      </c>
      <c r="F109" s="3">
        <v>45359</v>
      </c>
      <c r="G109" s="2" t="s">
        <v>174</v>
      </c>
      <c r="H109" s="4">
        <v>5</v>
      </c>
      <c r="I109" s="2" t="s">
        <v>30</v>
      </c>
      <c r="J109" s="2" t="s">
        <v>161</v>
      </c>
      <c r="K109" s="2" t="s">
        <v>162</v>
      </c>
      <c r="L109" s="2" t="s">
        <v>39</v>
      </c>
      <c r="M109" s="2" t="s">
        <v>41</v>
      </c>
      <c r="N109" s="7">
        <v>26</v>
      </c>
      <c r="O109" s="4">
        <v>26</v>
      </c>
      <c r="P109" s="7">
        <v>0</v>
      </c>
      <c r="Q109" s="4">
        <v>0</v>
      </c>
      <c r="R109" s="2" t="s">
        <v>29</v>
      </c>
      <c r="S109" s="2"/>
      <c r="T109" s="4">
        <f>IF(R109&lt;&gt;"Observed","",SUMIFS($O$3:O109,$C$3:C109,C109,$R$3:R109,"Observed"))</f>
        <v>89</v>
      </c>
      <c r="U109" s="4">
        <f>IF(R109&lt;&gt;"Observed","",SUMIFS($Q$3:Q109,$C$3:C109,C109,$R$3:R109,"Observed"))</f>
        <v>4</v>
      </c>
      <c r="V109" s="4">
        <f t="shared" si="1"/>
        <v>85</v>
      </c>
    </row>
    <row r="110" spans="1:22">
      <c r="A110" s="2" t="s">
        <v>23</v>
      </c>
      <c r="B110" s="4">
        <v>7</v>
      </c>
      <c r="C110" s="2" t="s">
        <v>173</v>
      </c>
      <c r="D110" s="2" t="s">
        <v>66</v>
      </c>
      <c r="E110" s="2" t="s">
        <v>67</v>
      </c>
      <c r="F110" s="3">
        <v>45359</v>
      </c>
      <c r="G110" s="2" t="s">
        <v>174</v>
      </c>
      <c r="H110" s="4">
        <v>6</v>
      </c>
      <c r="I110" s="2" t="s">
        <v>30</v>
      </c>
      <c r="J110" s="2" t="s">
        <v>162</v>
      </c>
      <c r="K110" s="2" t="s">
        <v>163</v>
      </c>
      <c r="L110" s="2" t="s">
        <v>41</v>
      </c>
      <c r="M110" s="2" t="s">
        <v>43</v>
      </c>
      <c r="N110" s="7">
        <v>29</v>
      </c>
      <c r="O110" s="4">
        <v>29</v>
      </c>
      <c r="P110" s="7">
        <v>4</v>
      </c>
      <c r="Q110" s="4">
        <v>4</v>
      </c>
      <c r="R110" s="2" t="s">
        <v>29</v>
      </c>
      <c r="S110" s="2"/>
      <c r="T110" s="4">
        <f>IF(R110&lt;&gt;"Observed","",SUMIFS($O$3:O110,$C$3:C110,C110,$R$3:R110,"Observed"))</f>
        <v>118</v>
      </c>
      <c r="U110" s="4">
        <f>IF(R110&lt;&gt;"Observed","",SUMIFS($Q$3:Q110,$C$3:C110,C110,$R$3:R110,"Observed"))</f>
        <v>8</v>
      </c>
      <c r="V110" s="4">
        <f t="shared" si="1"/>
        <v>110</v>
      </c>
    </row>
    <row r="111" spans="1:22">
      <c r="A111" s="2" t="s">
        <v>23</v>
      </c>
      <c r="B111" s="4">
        <v>7</v>
      </c>
      <c r="C111" s="2" t="s">
        <v>173</v>
      </c>
      <c r="D111" s="2" t="s">
        <v>66</v>
      </c>
      <c r="E111" s="2" t="s">
        <v>67</v>
      </c>
      <c r="F111" s="3">
        <v>45359</v>
      </c>
      <c r="G111" s="2" t="s">
        <v>174</v>
      </c>
      <c r="H111" s="4">
        <v>7</v>
      </c>
      <c r="I111" s="2" t="s">
        <v>30</v>
      </c>
      <c r="J111" s="2" t="s">
        <v>163</v>
      </c>
      <c r="K111" s="2" t="s">
        <v>164</v>
      </c>
      <c r="L111" s="2" t="s">
        <v>43</v>
      </c>
      <c r="M111" s="2" t="s">
        <v>45</v>
      </c>
      <c r="N111" s="7">
        <v>34</v>
      </c>
      <c r="O111" s="4">
        <v>34</v>
      </c>
      <c r="P111" s="7">
        <v>2</v>
      </c>
      <c r="Q111" s="4">
        <v>2</v>
      </c>
      <c r="R111" s="2" t="s">
        <v>29</v>
      </c>
      <c r="S111" s="2"/>
      <c r="T111" s="4">
        <f>IF(R111&lt;&gt;"Observed","",SUMIFS($O$3:O111,$C$3:C111,C111,$R$3:R111,"Observed"))</f>
        <v>152</v>
      </c>
      <c r="U111" s="4">
        <f>IF(R111&lt;&gt;"Observed","",SUMIFS($Q$3:Q111,$C$3:C111,C111,$R$3:R111,"Observed"))</f>
        <v>10</v>
      </c>
      <c r="V111" s="4">
        <f t="shared" si="1"/>
        <v>142</v>
      </c>
    </row>
    <row r="112" spans="1:22">
      <c r="A112" s="2" t="s">
        <v>23</v>
      </c>
      <c r="B112" s="4">
        <v>7</v>
      </c>
      <c r="C112" s="2" t="s">
        <v>173</v>
      </c>
      <c r="D112" s="2" t="s">
        <v>66</v>
      </c>
      <c r="E112" s="2" t="s">
        <v>67</v>
      </c>
      <c r="F112" s="3">
        <v>45359</v>
      </c>
      <c r="G112" s="2" t="s">
        <v>174</v>
      </c>
      <c r="H112" s="4">
        <v>8</v>
      </c>
      <c r="I112" s="2" t="s">
        <v>30</v>
      </c>
      <c r="J112" s="2" t="s">
        <v>164</v>
      </c>
      <c r="K112" s="2" t="s">
        <v>165</v>
      </c>
      <c r="L112" s="2" t="s">
        <v>45</v>
      </c>
      <c r="M112" s="2" t="s">
        <v>48</v>
      </c>
      <c r="N112" s="7">
        <v>38</v>
      </c>
      <c r="O112" s="4">
        <v>38</v>
      </c>
      <c r="P112" s="7">
        <v>2</v>
      </c>
      <c r="Q112" s="4">
        <v>2</v>
      </c>
      <c r="R112" s="2" t="s">
        <v>29</v>
      </c>
      <c r="S112" s="2"/>
      <c r="T112" s="4">
        <f>IF(R112&lt;&gt;"Observed","",SUMIFS($O$3:O112,$C$3:C112,C112,$R$3:R112,"Observed"))</f>
        <v>190</v>
      </c>
      <c r="U112" s="4">
        <f>IF(R112&lt;&gt;"Observed","",SUMIFS($Q$3:Q112,$C$3:C112,C112,$R$3:R112,"Observed"))</f>
        <v>12</v>
      </c>
      <c r="V112" s="4">
        <f t="shared" si="1"/>
        <v>178</v>
      </c>
    </row>
    <row r="113" spans="1:22">
      <c r="A113" s="2" t="s">
        <v>23</v>
      </c>
      <c r="B113" s="4">
        <v>7</v>
      </c>
      <c r="C113" s="2" t="s">
        <v>173</v>
      </c>
      <c r="D113" s="2" t="s">
        <v>66</v>
      </c>
      <c r="E113" s="2" t="s">
        <v>67</v>
      </c>
      <c r="F113" s="3">
        <v>45359</v>
      </c>
      <c r="G113" s="2" t="s">
        <v>174</v>
      </c>
      <c r="H113" s="4">
        <v>9</v>
      </c>
      <c r="I113" s="2" t="s">
        <v>30</v>
      </c>
      <c r="J113" s="2" t="s">
        <v>165</v>
      </c>
      <c r="K113" s="2" t="s">
        <v>166</v>
      </c>
      <c r="L113" s="2" t="s">
        <v>48</v>
      </c>
      <c r="M113" s="2" t="s">
        <v>50</v>
      </c>
      <c r="N113" s="7">
        <v>27</v>
      </c>
      <c r="O113" s="4">
        <v>27</v>
      </c>
      <c r="P113" s="7">
        <v>12</v>
      </c>
      <c r="Q113" s="4">
        <v>12</v>
      </c>
      <c r="R113" s="2" t="s">
        <v>29</v>
      </c>
      <c r="S113" s="2"/>
      <c r="T113" s="4">
        <f>IF(R113&lt;&gt;"Observed","",SUMIFS($O$3:O113,$C$3:C113,C113,$R$3:R113,"Observed"))</f>
        <v>217</v>
      </c>
      <c r="U113" s="4">
        <f>IF(R113&lt;&gt;"Observed","",SUMIFS($Q$3:Q113,$C$3:C113,C113,$R$3:R113,"Observed"))</f>
        <v>24</v>
      </c>
      <c r="V113" s="4">
        <f t="shared" si="1"/>
        <v>193</v>
      </c>
    </row>
    <row r="114" spans="1:22">
      <c r="A114" s="2" t="s">
        <v>23</v>
      </c>
      <c r="B114" s="4">
        <v>7</v>
      </c>
      <c r="C114" s="2" t="s">
        <v>173</v>
      </c>
      <c r="D114" s="2" t="s">
        <v>66</v>
      </c>
      <c r="E114" s="2" t="s">
        <v>67</v>
      </c>
      <c r="F114" s="3">
        <v>45359</v>
      </c>
      <c r="G114" s="2" t="s">
        <v>174</v>
      </c>
      <c r="H114" s="4">
        <v>10</v>
      </c>
      <c r="I114" s="2" t="s">
        <v>30</v>
      </c>
      <c r="J114" s="2" t="s">
        <v>166</v>
      </c>
      <c r="K114" s="2" t="s">
        <v>167</v>
      </c>
      <c r="L114" s="2" t="s">
        <v>50</v>
      </c>
      <c r="M114" s="2" t="s">
        <v>52</v>
      </c>
      <c r="N114" s="7">
        <v>23</v>
      </c>
      <c r="O114" s="4">
        <v>23</v>
      </c>
      <c r="P114" s="7">
        <v>7</v>
      </c>
      <c r="Q114" s="4">
        <v>7</v>
      </c>
      <c r="R114" s="2" t="s">
        <v>29</v>
      </c>
      <c r="S114" s="2"/>
      <c r="T114" s="4">
        <f>IF(R114&lt;&gt;"Observed","",SUMIFS($O$3:O114,$C$3:C114,C114,$R$3:R114,"Observed"))</f>
        <v>240</v>
      </c>
      <c r="U114" s="4">
        <f>IF(R114&lt;&gt;"Observed","",SUMIFS($Q$3:Q114,$C$3:C114,C114,$R$3:R114,"Observed"))</f>
        <v>31</v>
      </c>
      <c r="V114" s="4">
        <f t="shared" si="1"/>
        <v>209</v>
      </c>
    </row>
    <row r="115" spans="1:22">
      <c r="A115" s="2" t="s">
        <v>23</v>
      </c>
      <c r="B115" s="4">
        <v>7</v>
      </c>
      <c r="C115" s="2" t="s">
        <v>173</v>
      </c>
      <c r="D115" s="2" t="s">
        <v>66</v>
      </c>
      <c r="E115" s="2" t="s">
        <v>67</v>
      </c>
      <c r="F115" s="3">
        <v>45359</v>
      </c>
      <c r="G115" s="2" t="s">
        <v>174</v>
      </c>
      <c r="H115" s="4">
        <v>11</v>
      </c>
      <c r="I115" s="2" t="s">
        <v>30</v>
      </c>
      <c r="J115" s="2" t="s">
        <v>167</v>
      </c>
      <c r="K115" s="2" t="s">
        <v>169</v>
      </c>
      <c r="L115" s="2" t="s">
        <v>52</v>
      </c>
      <c r="M115" s="2" t="s">
        <v>54</v>
      </c>
      <c r="N115" s="7">
        <v>29</v>
      </c>
      <c r="O115" s="4">
        <v>29</v>
      </c>
      <c r="P115" s="7">
        <v>28</v>
      </c>
      <c r="Q115" s="4">
        <v>28</v>
      </c>
      <c r="R115" s="2" t="s">
        <v>29</v>
      </c>
      <c r="S115" s="2"/>
      <c r="T115" s="4">
        <f>IF(R115&lt;&gt;"Observed","",SUMIFS($O$3:O115,$C$3:C115,C115,$R$3:R115,"Observed"))</f>
        <v>269</v>
      </c>
      <c r="U115" s="4">
        <f>IF(R115&lt;&gt;"Observed","",SUMIFS($Q$3:Q115,$C$3:C115,C115,$R$3:R115,"Observed"))</f>
        <v>59</v>
      </c>
      <c r="V115" s="4">
        <f t="shared" si="1"/>
        <v>210</v>
      </c>
    </row>
    <row r="116" spans="1:22">
      <c r="A116" s="2" t="s">
        <v>23</v>
      </c>
      <c r="B116" s="4">
        <v>7</v>
      </c>
      <c r="C116" s="2" t="s">
        <v>173</v>
      </c>
      <c r="D116" s="2" t="s">
        <v>66</v>
      </c>
      <c r="E116" s="2" t="s">
        <v>67</v>
      </c>
      <c r="F116" s="3">
        <v>45359</v>
      </c>
      <c r="G116" s="2" t="s">
        <v>174</v>
      </c>
      <c r="H116" s="4">
        <v>12</v>
      </c>
      <c r="I116" s="2" t="s">
        <v>30</v>
      </c>
      <c r="J116" s="2" t="s">
        <v>169</v>
      </c>
      <c r="K116" s="2" t="s">
        <v>170</v>
      </c>
      <c r="L116" s="2" t="s">
        <v>54</v>
      </c>
      <c r="M116" s="2" t="s">
        <v>57</v>
      </c>
      <c r="N116" s="7">
        <v>10</v>
      </c>
      <c r="O116" s="4">
        <v>10</v>
      </c>
      <c r="P116" s="7">
        <v>23</v>
      </c>
      <c r="Q116" s="4">
        <v>23</v>
      </c>
      <c r="R116" s="2" t="s">
        <v>29</v>
      </c>
      <c r="S116" s="2"/>
      <c r="T116" s="4">
        <f>IF(R116&lt;&gt;"Observed","",SUMIFS($O$3:O116,$C$3:C116,C116,$R$3:R116,"Observed"))</f>
        <v>279</v>
      </c>
      <c r="U116" s="4">
        <f>IF(R116&lt;&gt;"Observed","",SUMIFS($Q$3:Q116,$C$3:C116,C116,$R$3:R116,"Observed"))</f>
        <v>82</v>
      </c>
      <c r="V116" s="4">
        <f t="shared" si="1"/>
        <v>197</v>
      </c>
    </row>
    <row r="117" spans="1:22">
      <c r="A117" s="2" t="s">
        <v>23</v>
      </c>
      <c r="B117" s="4">
        <v>7</v>
      </c>
      <c r="C117" s="2" t="s">
        <v>173</v>
      </c>
      <c r="D117" s="2" t="s">
        <v>66</v>
      </c>
      <c r="E117" s="2" t="s">
        <v>67</v>
      </c>
      <c r="F117" s="3">
        <v>45359</v>
      </c>
      <c r="G117" s="2" t="s">
        <v>174</v>
      </c>
      <c r="H117" s="4">
        <v>13</v>
      </c>
      <c r="I117" s="2" t="s">
        <v>30</v>
      </c>
      <c r="J117" s="2" t="s">
        <v>170</v>
      </c>
      <c r="K117" s="2" t="s">
        <v>171</v>
      </c>
      <c r="L117" s="2" t="s">
        <v>57</v>
      </c>
      <c r="M117" s="2" t="s">
        <v>59</v>
      </c>
      <c r="N117" s="7">
        <v>11</v>
      </c>
      <c r="O117" s="4">
        <v>11</v>
      </c>
      <c r="P117" s="7">
        <v>28</v>
      </c>
      <c r="Q117" s="4">
        <v>28</v>
      </c>
      <c r="R117" s="2" t="s">
        <v>29</v>
      </c>
      <c r="S117" s="2"/>
      <c r="T117" s="4">
        <f>IF(R117&lt;&gt;"Observed","",SUMIFS($O$3:O117,$C$3:C117,C117,$R$3:R117,"Observed"))</f>
        <v>290</v>
      </c>
      <c r="U117" s="4">
        <f>IF(R117&lt;&gt;"Observed","",SUMIFS($Q$3:Q117,$C$3:C117,C117,$R$3:R117,"Observed"))</f>
        <v>110</v>
      </c>
      <c r="V117" s="4">
        <f t="shared" si="1"/>
        <v>180</v>
      </c>
    </row>
    <row r="118" spans="1:22">
      <c r="A118" s="2" t="s">
        <v>23</v>
      </c>
      <c r="B118" s="4">
        <v>7</v>
      </c>
      <c r="C118" s="2" t="s">
        <v>173</v>
      </c>
      <c r="D118" s="2" t="s">
        <v>66</v>
      </c>
      <c r="E118" s="2" t="s">
        <v>67</v>
      </c>
      <c r="F118" s="3">
        <v>45359</v>
      </c>
      <c r="G118" s="2" t="s">
        <v>174</v>
      </c>
      <c r="H118" s="4">
        <v>14</v>
      </c>
      <c r="I118" s="2" t="s">
        <v>30</v>
      </c>
      <c r="J118" s="2" t="s">
        <v>171</v>
      </c>
      <c r="K118" s="2" t="s">
        <v>172</v>
      </c>
      <c r="L118" s="2" t="s">
        <v>59</v>
      </c>
      <c r="M118" s="2" t="s">
        <v>57</v>
      </c>
      <c r="N118" s="7">
        <v>7</v>
      </c>
      <c r="O118" s="4">
        <v>7</v>
      </c>
      <c r="P118" s="7">
        <v>29</v>
      </c>
      <c r="Q118" s="4">
        <v>29</v>
      </c>
      <c r="R118" s="2" t="s">
        <v>29</v>
      </c>
      <c r="S118" s="2"/>
      <c r="T118" s="4">
        <f>IF(R118&lt;&gt;"Observed","",SUMIFS($O$3:O118,$C$3:C118,C118,$R$3:R118,"Observed"))</f>
        <v>297</v>
      </c>
      <c r="U118" s="4">
        <f>IF(R118&lt;&gt;"Observed","",SUMIFS($Q$3:Q118,$C$3:C118,C118,$R$3:R118,"Observed"))</f>
        <v>139</v>
      </c>
      <c r="V118" s="4">
        <f t="shared" si="1"/>
        <v>158</v>
      </c>
    </row>
    <row r="119" spans="1:22">
      <c r="A119" s="2" t="s">
        <v>23</v>
      </c>
      <c r="B119" s="4">
        <v>7</v>
      </c>
      <c r="C119" s="2" t="s">
        <v>173</v>
      </c>
      <c r="D119" s="2" t="s">
        <v>66</v>
      </c>
      <c r="E119" s="2" t="s">
        <v>67</v>
      </c>
      <c r="F119" s="3">
        <v>45359</v>
      </c>
      <c r="G119" s="2" t="s">
        <v>174</v>
      </c>
      <c r="H119" s="4">
        <v>15</v>
      </c>
      <c r="I119" s="2" t="s">
        <v>30</v>
      </c>
      <c r="J119" s="2" t="s">
        <v>172</v>
      </c>
      <c r="K119" s="2" t="s">
        <v>175</v>
      </c>
      <c r="L119" s="2" t="s">
        <v>57</v>
      </c>
      <c r="M119" s="2" t="s">
        <v>54</v>
      </c>
      <c r="N119" s="7">
        <v>8</v>
      </c>
      <c r="O119" s="4">
        <v>8</v>
      </c>
      <c r="P119" s="7">
        <v>43</v>
      </c>
      <c r="Q119" s="4">
        <v>43</v>
      </c>
      <c r="R119" s="2" t="s">
        <v>29</v>
      </c>
      <c r="S119" s="2"/>
      <c r="T119" s="4">
        <f>IF(R119&lt;&gt;"Observed","",SUMIFS($O$3:O119,$C$3:C119,C119,$R$3:R119,"Observed"))</f>
        <v>305</v>
      </c>
      <c r="U119" s="4">
        <f>IF(R119&lt;&gt;"Observed","",SUMIFS($Q$3:Q119,$C$3:C119,C119,$R$3:R119,"Observed"))</f>
        <v>182</v>
      </c>
      <c r="V119" s="4">
        <f t="shared" si="1"/>
        <v>123</v>
      </c>
    </row>
    <row r="120" spans="1:22">
      <c r="A120" s="2" t="s">
        <v>23</v>
      </c>
      <c r="B120" s="4">
        <v>7</v>
      </c>
      <c r="C120" s="2" t="s">
        <v>173</v>
      </c>
      <c r="D120" s="2" t="s">
        <v>66</v>
      </c>
      <c r="E120" s="2" t="s">
        <v>67</v>
      </c>
      <c r="F120" s="3">
        <v>45359</v>
      </c>
      <c r="G120" s="2" t="s">
        <v>174</v>
      </c>
      <c r="H120" s="4">
        <v>16</v>
      </c>
      <c r="I120" s="2" t="s">
        <v>30</v>
      </c>
      <c r="J120" s="2" t="s">
        <v>175</v>
      </c>
      <c r="K120" s="2" t="s">
        <v>177</v>
      </c>
      <c r="L120" s="2" t="s">
        <v>54</v>
      </c>
      <c r="M120" s="2" t="s">
        <v>52</v>
      </c>
      <c r="N120" s="7">
        <v>2</v>
      </c>
      <c r="O120" s="4">
        <v>2</v>
      </c>
      <c r="P120" s="7">
        <v>45</v>
      </c>
      <c r="Q120" s="4">
        <v>45</v>
      </c>
      <c r="R120" s="2" t="s">
        <v>29</v>
      </c>
      <c r="S120" s="2"/>
      <c r="T120" s="4">
        <f>IF(R120&lt;&gt;"Observed","",SUMIFS($O$3:O120,$C$3:C120,C120,$R$3:R120,"Observed"))</f>
        <v>307</v>
      </c>
      <c r="U120" s="4">
        <f>IF(R120&lt;&gt;"Observed","",SUMIFS($Q$3:Q120,$C$3:C120,C120,$R$3:R120,"Observed"))</f>
        <v>227</v>
      </c>
      <c r="V120" s="4">
        <f t="shared" si="1"/>
        <v>80</v>
      </c>
    </row>
    <row r="121" spans="1:22">
      <c r="A121" s="2" t="s">
        <v>23</v>
      </c>
      <c r="B121" s="4">
        <v>7</v>
      </c>
      <c r="C121" s="2" t="s">
        <v>173</v>
      </c>
      <c r="D121" s="2" t="s">
        <v>66</v>
      </c>
      <c r="E121" s="2" t="s">
        <v>67</v>
      </c>
      <c r="F121" s="3">
        <v>45359</v>
      </c>
      <c r="G121" s="2" t="s">
        <v>174</v>
      </c>
      <c r="H121" s="4">
        <v>17</v>
      </c>
      <c r="I121" s="2" t="s">
        <v>30</v>
      </c>
      <c r="J121" s="2" t="s">
        <v>177</v>
      </c>
      <c r="K121" s="2" t="s">
        <v>178</v>
      </c>
      <c r="L121" s="2" t="s">
        <v>52</v>
      </c>
      <c r="M121" s="2" t="s">
        <v>50</v>
      </c>
      <c r="N121" s="2">
        <v>0</v>
      </c>
      <c r="O121" s="4"/>
      <c r="P121" s="2">
        <v>0</v>
      </c>
      <c r="Q121" s="4"/>
      <c r="R121" s="2" t="s">
        <v>29</v>
      </c>
      <c r="S121" s="2"/>
      <c r="T121" s="4">
        <f>IF(R121&lt;&gt;"Observed","",SUMIFS($O$3:O121,$C$3:C121,C121,$R$3:R121,"Observed"))</f>
        <v>307</v>
      </c>
      <c r="U121" s="4">
        <f>IF(R121&lt;&gt;"Observed","",SUMIFS($Q$3:Q121,$C$3:C121,C121,$R$3:R121,"Observed"))</f>
        <v>227</v>
      </c>
      <c r="V121" s="4">
        <f t="shared" si="1"/>
        <v>80</v>
      </c>
    </row>
    <row r="122" spans="1:22">
      <c r="A122" s="2" t="s">
        <v>23</v>
      </c>
      <c r="B122" s="4">
        <v>8</v>
      </c>
      <c r="C122" s="2" t="s">
        <v>180</v>
      </c>
      <c r="D122" s="2" t="s">
        <v>25</v>
      </c>
      <c r="E122" s="2" t="s">
        <v>26</v>
      </c>
      <c r="F122" s="3">
        <v>45366</v>
      </c>
      <c r="G122" s="2" t="s">
        <v>181</v>
      </c>
      <c r="H122" s="4">
        <v>1</v>
      </c>
      <c r="I122" s="2" t="s">
        <v>28</v>
      </c>
      <c r="J122" s="2" t="s">
        <v>28</v>
      </c>
      <c r="K122" s="2"/>
      <c r="L122" s="2"/>
      <c r="M122" s="2"/>
      <c r="N122" s="7">
        <v>10</v>
      </c>
      <c r="O122" s="4">
        <v>10</v>
      </c>
      <c r="P122" s="2"/>
      <c r="Q122" s="4">
        <v>0</v>
      </c>
      <c r="R122" s="2" t="s">
        <v>29</v>
      </c>
      <c r="S122" s="2" t="s">
        <v>70</v>
      </c>
      <c r="T122" s="4">
        <f>IF(R122&lt;&gt;"Observed","",SUMIFS($O$3:O122,$C$3:C122,C122,$R$3:R122,"Observed"))</f>
        <v>10</v>
      </c>
      <c r="U122" s="4">
        <f>IF(R122&lt;&gt;"Observed","",SUMIFS($Q$3:Q122,$C$3:C122,C122,$R$3:R122,"Observed"))</f>
        <v>0</v>
      </c>
      <c r="V122" s="4">
        <f t="shared" si="1"/>
        <v>10</v>
      </c>
    </row>
    <row r="123" spans="1:22">
      <c r="A123" s="2" t="s">
        <v>23</v>
      </c>
      <c r="B123" s="4">
        <v>8</v>
      </c>
      <c r="C123" s="2" t="s">
        <v>180</v>
      </c>
      <c r="D123" s="2" t="s">
        <v>25</v>
      </c>
      <c r="E123" s="2" t="s">
        <v>26</v>
      </c>
      <c r="F123" s="3">
        <v>45366</v>
      </c>
      <c r="G123" s="2" t="s">
        <v>181</v>
      </c>
      <c r="H123" s="4">
        <v>2</v>
      </c>
      <c r="I123" s="2" t="s">
        <v>30</v>
      </c>
      <c r="J123" s="2" t="s">
        <v>182</v>
      </c>
      <c r="K123" s="2" t="s">
        <v>183</v>
      </c>
      <c r="L123" s="2" t="s">
        <v>33</v>
      </c>
      <c r="M123" s="2" t="s">
        <v>34</v>
      </c>
      <c r="N123" s="2">
        <v>0</v>
      </c>
      <c r="O123" s="4"/>
      <c r="P123" s="2">
        <v>0</v>
      </c>
      <c r="Q123" s="4"/>
      <c r="R123" s="2" t="s">
        <v>29</v>
      </c>
      <c r="S123" s="2" t="s">
        <v>185</v>
      </c>
      <c r="T123" s="4">
        <f>IF(R123&lt;&gt;"Observed","",SUMIFS($O$3:O123,$C$3:C123,C123,$R$3:R123,"Observed"))</f>
        <v>10</v>
      </c>
      <c r="U123" s="4">
        <f>IF(R123&lt;&gt;"Observed","",SUMIFS($Q$3:Q123,$C$3:C123,C123,$R$3:R123,"Observed"))</f>
        <v>0</v>
      </c>
      <c r="V123" s="4">
        <f t="shared" si="1"/>
        <v>10</v>
      </c>
    </row>
    <row r="124" spans="1:22">
      <c r="A124" s="2" t="s">
        <v>23</v>
      </c>
      <c r="B124" s="4">
        <v>8</v>
      </c>
      <c r="C124" s="2" t="s">
        <v>180</v>
      </c>
      <c r="D124" s="2" t="s">
        <v>25</v>
      </c>
      <c r="E124" s="2" t="s">
        <v>26</v>
      </c>
      <c r="F124" s="3">
        <v>45366</v>
      </c>
      <c r="G124" s="2" t="s">
        <v>181</v>
      </c>
      <c r="H124" s="4">
        <v>3</v>
      </c>
      <c r="I124" s="2" t="s">
        <v>30</v>
      </c>
      <c r="J124" s="2" t="s">
        <v>183</v>
      </c>
      <c r="K124" s="2" t="s">
        <v>186</v>
      </c>
      <c r="L124" s="2" t="s">
        <v>34</v>
      </c>
      <c r="M124" s="2" t="s">
        <v>37</v>
      </c>
      <c r="N124" s="7">
        <v>8</v>
      </c>
      <c r="O124" s="4">
        <v>8</v>
      </c>
      <c r="P124" s="7">
        <v>0</v>
      </c>
      <c r="Q124" s="4">
        <v>0</v>
      </c>
      <c r="R124" s="2" t="s">
        <v>29</v>
      </c>
      <c r="S124" s="2"/>
      <c r="T124" s="4">
        <f>IF(R124&lt;&gt;"Observed","",SUMIFS($O$3:O124,$C$3:C124,C124,$R$3:R124,"Observed"))</f>
        <v>18</v>
      </c>
      <c r="U124" s="4">
        <f>IF(R124&lt;&gt;"Observed","",SUMIFS($Q$3:Q124,$C$3:C124,C124,$R$3:R124,"Observed"))</f>
        <v>0</v>
      </c>
      <c r="V124" s="4">
        <f t="shared" si="1"/>
        <v>18</v>
      </c>
    </row>
    <row r="125" spans="1:22">
      <c r="A125" s="2" t="s">
        <v>23</v>
      </c>
      <c r="B125" s="4">
        <v>8</v>
      </c>
      <c r="C125" s="2" t="s">
        <v>180</v>
      </c>
      <c r="D125" s="2" t="s">
        <v>25</v>
      </c>
      <c r="E125" s="2" t="s">
        <v>26</v>
      </c>
      <c r="F125" s="3">
        <v>45366</v>
      </c>
      <c r="G125" s="2" t="s">
        <v>181</v>
      </c>
      <c r="H125" s="4">
        <v>4</v>
      </c>
      <c r="I125" s="2" t="s">
        <v>30</v>
      </c>
      <c r="J125" s="2" t="s">
        <v>186</v>
      </c>
      <c r="K125" s="2" t="s">
        <v>187</v>
      </c>
      <c r="L125" s="2" t="s">
        <v>37</v>
      </c>
      <c r="M125" s="2" t="s">
        <v>39</v>
      </c>
      <c r="N125" s="7">
        <v>12</v>
      </c>
      <c r="O125" s="4">
        <v>12</v>
      </c>
      <c r="P125" s="7">
        <v>2</v>
      </c>
      <c r="Q125" s="4">
        <v>2</v>
      </c>
      <c r="R125" s="2" t="s">
        <v>29</v>
      </c>
      <c r="S125" s="2"/>
      <c r="T125" s="4">
        <f>IF(R125&lt;&gt;"Observed","",SUMIFS($O$3:O125,$C$3:C125,C125,$R$3:R125,"Observed"))</f>
        <v>30</v>
      </c>
      <c r="U125" s="4">
        <f>IF(R125&lt;&gt;"Observed","",SUMIFS($Q$3:Q125,$C$3:C125,C125,$R$3:R125,"Observed"))</f>
        <v>2</v>
      </c>
      <c r="V125" s="4">
        <f t="shared" si="1"/>
        <v>28</v>
      </c>
    </row>
    <row r="126" spans="1:22">
      <c r="A126" s="2" t="s">
        <v>23</v>
      </c>
      <c r="B126" s="4">
        <v>8</v>
      </c>
      <c r="C126" s="2" t="s">
        <v>180</v>
      </c>
      <c r="D126" s="2" t="s">
        <v>25</v>
      </c>
      <c r="E126" s="2" t="s">
        <v>26</v>
      </c>
      <c r="F126" s="3">
        <v>45366</v>
      </c>
      <c r="G126" s="2" t="s">
        <v>181</v>
      </c>
      <c r="H126" s="4">
        <v>5</v>
      </c>
      <c r="I126" s="2" t="s">
        <v>30</v>
      </c>
      <c r="J126" s="2" t="s">
        <v>187</v>
      </c>
      <c r="K126" s="2" t="s">
        <v>188</v>
      </c>
      <c r="L126" s="2" t="s">
        <v>39</v>
      </c>
      <c r="M126" s="2" t="s">
        <v>41</v>
      </c>
      <c r="N126" s="7">
        <v>35</v>
      </c>
      <c r="O126" s="4">
        <v>35</v>
      </c>
      <c r="P126" s="7">
        <v>0</v>
      </c>
      <c r="Q126" s="4">
        <v>0</v>
      </c>
      <c r="R126" s="2" t="s">
        <v>29</v>
      </c>
      <c r="S126" s="2"/>
      <c r="T126" s="4">
        <f>IF(R126&lt;&gt;"Observed","",SUMIFS($O$3:O126,$C$3:C126,C126,$R$3:R126,"Observed"))</f>
        <v>65</v>
      </c>
      <c r="U126" s="4">
        <f>IF(R126&lt;&gt;"Observed","",SUMIFS($Q$3:Q126,$C$3:C126,C126,$R$3:R126,"Observed"))</f>
        <v>2</v>
      </c>
      <c r="V126" s="4">
        <f t="shared" si="1"/>
        <v>63</v>
      </c>
    </row>
    <row r="127" spans="1:22">
      <c r="A127" s="2" t="s">
        <v>23</v>
      </c>
      <c r="B127" s="4">
        <v>8</v>
      </c>
      <c r="C127" s="2" t="s">
        <v>180</v>
      </c>
      <c r="D127" s="2" t="s">
        <v>25</v>
      </c>
      <c r="E127" s="2" t="s">
        <v>26</v>
      </c>
      <c r="F127" s="3">
        <v>45366</v>
      </c>
      <c r="G127" s="2" t="s">
        <v>181</v>
      </c>
      <c r="H127" s="4">
        <v>6</v>
      </c>
      <c r="I127" s="2" t="s">
        <v>30</v>
      </c>
      <c r="J127" s="2" t="s">
        <v>188</v>
      </c>
      <c r="K127" s="2" t="s">
        <v>189</v>
      </c>
      <c r="L127" s="2" t="s">
        <v>41</v>
      </c>
      <c r="M127" s="2" t="s">
        <v>43</v>
      </c>
      <c r="N127" s="7">
        <v>41</v>
      </c>
      <c r="O127" s="4">
        <v>41</v>
      </c>
      <c r="P127" s="7">
        <v>0</v>
      </c>
      <c r="Q127" s="4">
        <v>0</v>
      </c>
      <c r="R127" s="2" t="s">
        <v>29</v>
      </c>
      <c r="S127" s="2"/>
      <c r="T127" s="4">
        <f>IF(R127&lt;&gt;"Observed","",SUMIFS($O$3:O127,$C$3:C127,C127,$R$3:R127,"Observed"))</f>
        <v>106</v>
      </c>
      <c r="U127" s="4">
        <f>IF(R127&lt;&gt;"Observed","",SUMIFS($Q$3:Q127,$C$3:C127,C127,$R$3:R127,"Observed"))</f>
        <v>2</v>
      </c>
      <c r="V127" s="4">
        <f t="shared" si="1"/>
        <v>104</v>
      </c>
    </row>
    <row r="128" spans="1:22">
      <c r="A128" s="2" t="s">
        <v>23</v>
      </c>
      <c r="B128" s="4">
        <v>8</v>
      </c>
      <c r="C128" s="2" t="s">
        <v>180</v>
      </c>
      <c r="D128" s="2" t="s">
        <v>25</v>
      </c>
      <c r="E128" s="2" t="s">
        <v>26</v>
      </c>
      <c r="F128" s="3">
        <v>45366</v>
      </c>
      <c r="G128" s="2" t="s">
        <v>181</v>
      </c>
      <c r="H128" s="4">
        <v>7</v>
      </c>
      <c r="I128" s="2" t="s">
        <v>30</v>
      </c>
      <c r="J128" s="2" t="s">
        <v>189</v>
      </c>
      <c r="K128" s="2" t="s">
        <v>190</v>
      </c>
      <c r="L128" s="2" t="s">
        <v>43</v>
      </c>
      <c r="M128" s="2" t="s">
        <v>45</v>
      </c>
      <c r="N128" s="7">
        <v>45</v>
      </c>
      <c r="O128" s="4">
        <v>45</v>
      </c>
      <c r="P128" s="7">
        <v>2</v>
      </c>
      <c r="Q128" s="4">
        <v>2</v>
      </c>
      <c r="R128" s="2" t="s">
        <v>29</v>
      </c>
      <c r="S128" s="2"/>
      <c r="T128" s="4">
        <f>IF(R128&lt;&gt;"Observed","",SUMIFS($O$3:O128,$C$3:C128,C128,$R$3:R128,"Observed"))</f>
        <v>151</v>
      </c>
      <c r="U128" s="4">
        <f>IF(R128&lt;&gt;"Observed","",SUMIFS($Q$3:Q128,$C$3:C128,C128,$R$3:R128,"Observed"))</f>
        <v>4</v>
      </c>
      <c r="V128" s="4">
        <f t="shared" si="1"/>
        <v>147</v>
      </c>
    </row>
    <row r="129" spans="1:22">
      <c r="A129" s="2" t="s">
        <v>23</v>
      </c>
      <c r="B129" s="4">
        <v>8</v>
      </c>
      <c r="C129" s="2" t="s">
        <v>180</v>
      </c>
      <c r="D129" s="2" t="s">
        <v>25</v>
      </c>
      <c r="E129" s="2" t="s">
        <v>26</v>
      </c>
      <c r="F129" s="3">
        <v>45366</v>
      </c>
      <c r="G129" s="2" t="s">
        <v>181</v>
      </c>
      <c r="H129" s="4">
        <v>8</v>
      </c>
      <c r="I129" s="2" t="s">
        <v>30</v>
      </c>
      <c r="J129" s="2" t="s">
        <v>190</v>
      </c>
      <c r="K129" s="2" t="s">
        <v>191</v>
      </c>
      <c r="L129" s="2" t="s">
        <v>45</v>
      </c>
      <c r="M129" s="2" t="s">
        <v>48</v>
      </c>
      <c r="N129" s="7">
        <v>53</v>
      </c>
      <c r="O129" s="4">
        <v>53</v>
      </c>
      <c r="P129" s="7">
        <v>3</v>
      </c>
      <c r="Q129" s="4">
        <v>3</v>
      </c>
      <c r="R129" s="2" t="s">
        <v>29</v>
      </c>
      <c r="S129" s="2"/>
      <c r="T129" s="4">
        <f>IF(R129&lt;&gt;"Observed","",SUMIFS($O$3:O129,$C$3:C129,C129,$R$3:R129,"Observed"))</f>
        <v>204</v>
      </c>
      <c r="U129" s="4">
        <f>IF(R129&lt;&gt;"Observed","",SUMIFS($Q$3:Q129,$C$3:C129,C129,$R$3:R129,"Observed"))</f>
        <v>7</v>
      </c>
      <c r="V129" s="4">
        <f t="shared" si="1"/>
        <v>197</v>
      </c>
    </row>
    <row r="130" spans="1:22">
      <c r="A130" s="2" t="s">
        <v>23</v>
      </c>
      <c r="B130" s="4">
        <v>8</v>
      </c>
      <c r="C130" s="2" t="s">
        <v>180</v>
      </c>
      <c r="D130" s="2" t="s">
        <v>25</v>
      </c>
      <c r="E130" s="2" t="s">
        <v>26</v>
      </c>
      <c r="F130" s="3">
        <v>45366</v>
      </c>
      <c r="G130" s="2" t="s">
        <v>181</v>
      </c>
      <c r="H130" s="4">
        <v>9</v>
      </c>
      <c r="I130" s="2" t="s">
        <v>30</v>
      </c>
      <c r="J130" s="2" t="s">
        <v>191</v>
      </c>
      <c r="K130" s="2" t="s">
        <v>192</v>
      </c>
      <c r="L130" s="2" t="s">
        <v>48</v>
      </c>
      <c r="M130" s="2" t="s">
        <v>50</v>
      </c>
      <c r="N130" s="7">
        <v>39</v>
      </c>
      <c r="O130" s="4">
        <v>39</v>
      </c>
      <c r="P130" s="7">
        <v>9</v>
      </c>
      <c r="Q130" s="4">
        <v>9</v>
      </c>
      <c r="R130" s="2" t="s">
        <v>29</v>
      </c>
      <c r="S130" s="2"/>
      <c r="T130" s="4">
        <f>IF(R130&lt;&gt;"Observed","",SUMIFS($O$3:O130,$C$3:C130,C130,$R$3:R130,"Observed"))</f>
        <v>243</v>
      </c>
      <c r="U130" s="4">
        <f>IF(R130&lt;&gt;"Observed","",SUMIFS($Q$3:Q130,$C$3:C130,C130,$R$3:R130,"Observed"))</f>
        <v>16</v>
      </c>
      <c r="V130" s="4">
        <f t="shared" si="1"/>
        <v>227</v>
      </c>
    </row>
    <row r="131" spans="1:22">
      <c r="A131" s="2" t="s">
        <v>23</v>
      </c>
      <c r="B131" s="4">
        <v>8</v>
      </c>
      <c r="C131" s="2" t="s">
        <v>180</v>
      </c>
      <c r="D131" s="2" t="s">
        <v>25</v>
      </c>
      <c r="E131" s="2" t="s">
        <v>26</v>
      </c>
      <c r="F131" s="3">
        <v>45366</v>
      </c>
      <c r="G131" s="2" t="s">
        <v>181</v>
      </c>
      <c r="H131" s="4">
        <v>10</v>
      </c>
      <c r="I131" s="2" t="s">
        <v>30</v>
      </c>
      <c r="J131" s="2" t="s">
        <v>192</v>
      </c>
      <c r="K131" s="2" t="s">
        <v>136</v>
      </c>
      <c r="L131" s="2" t="s">
        <v>50</v>
      </c>
      <c r="M131" s="2" t="s">
        <v>52</v>
      </c>
      <c r="N131" s="7">
        <v>34</v>
      </c>
      <c r="O131" s="4">
        <v>34</v>
      </c>
      <c r="P131" s="7">
        <v>14</v>
      </c>
      <c r="Q131" s="4">
        <v>14</v>
      </c>
      <c r="R131" s="2" t="s">
        <v>29</v>
      </c>
      <c r="S131" s="2"/>
      <c r="T131" s="4">
        <f>IF(R131&lt;&gt;"Observed","",SUMIFS($O$3:O131,$C$3:C131,C131,$R$3:R131,"Observed"))</f>
        <v>277</v>
      </c>
      <c r="U131" s="4">
        <f>IF(R131&lt;&gt;"Observed","",SUMIFS($Q$3:Q131,$C$3:C131,C131,$R$3:R131,"Observed"))</f>
        <v>30</v>
      </c>
      <c r="V131" s="4">
        <f t="shared" ref="V131:V194" si="2">IF(R131&lt;&gt;"Observed","",T131-U131)</f>
        <v>247</v>
      </c>
    </row>
    <row r="132" spans="1:22">
      <c r="A132" s="2" t="s">
        <v>23</v>
      </c>
      <c r="B132" s="4">
        <v>8</v>
      </c>
      <c r="C132" s="2" t="s">
        <v>180</v>
      </c>
      <c r="D132" s="2" t="s">
        <v>25</v>
      </c>
      <c r="E132" s="2" t="s">
        <v>26</v>
      </c>
      <c r="F132" s="3">
        <v>45366</v>
      </c>
      <c r="G132" s="2" t="s">
        <v>181</v>
      </c>
      <c r="H132" s="4">
        <v>11</v>
      </c>
      <c r="I132" s="2" t="s">
        <v>30</v>
      </c>
      <c r="J132" s="2" t="s">
        <v>136</v>
      </c>
      <c r="K132" s="2" t="s">
        <v>137</v>
      </c>
      <c r="L132" s="2" t="s">
        <v>52</v>
      </c>
      <c r="M132" s="2" t="s">
        <v>54</v>
      </c>
      <c r="N132" s="7">
        <v>32</v>
      </c>
      <c r="O132" s="4">
        <v>32</v>
      </c>
      <c r="P132" s="7">
        <v>23</v>
      </c>
      <c r="Q132" s="4">
        <v>23</v>
      </c>
      <c r="R132" s="2" t="s">
        <v>29</v>
      </c>
      <c r="S132" s="2"/>
      <c r="T132" s="4">
        <f>IF(R132&lt;&gt;"Observed","",SUMIFS($O$3:O132,$C$3:C132,C132,$R$3:R132,"Observed"))</f>
        <v>309</v>
      </c>
      <c r="U132" s="4">
        <f>IF(R132&lt;&gt;"Observed","",SUMIFS($Q$3:Q132,$C$3:C132,C132,$R$3:R132,"Observed"))</f>
        <v>53</v>
      </c>
      <c r="V132" s="4">
        <f t="shared" si="2"/>
        <v>256</v>
      </c>
    </row>
    <row r="133" spans="1:22">
      <c r="A133" s="2" t="s">
        <v>23</v>
      </c>
      <c r="B133" s="4">
        <v>8</v>
      </c>
      <c r="C133" s="2" t="s">
        <v>180</v>
      </c>
      <c r="D133" s="2" t="s">
        <v>25</v>
      </c>
      <c r="E133" s="2" t="s">
        <v>26</v>
      </c>
      <c r="F133" s="3">
        <v>45366</v>
      </c>
      <c r="G133" s="2" t="s">
        <v>181</v>
      </c>
      <c r="H133" s="4">
        <v>12</v>
      </c>
      <c r="I133" s="2" t="s">
        <v>30</v>
      </c>
      <c r="J133" s="2" t="s">
        <v>137</v>
      </c>
      <c r="K133" s="2" t="s">
        <v>138</v>
      </c>
      <c r="L133" s="2" t="s">
        <v>54</v>
      </c>
      <c r="M133" s="2" t="s">
        <v>57</v>
      </c>
      <c r="N133" s="7">
        <v>17</v>
      </c>
      <c r="O133" s="4">
        <v>17</v>
      </c>
      <c r="P133" s="7">
        <v>27</v>
      </c>
      <c r="Q133" s="4">
        <v>27</v>
      </c>
      <c r="R133" s="2" t="s">
        <v>29</v>
      </c>
      <c r="S133" s="2"/>
      <c r="T133" s="4">
        <f>IF(R133&lt;&gt;"Observed","",SUMIFS($O$3:O133,$C$3:C133,C133,$R$3:R133,"Observed"))</f>
        <v>326</v>
      </c>
      <c r="U133" s="4">
        <f>IF(R133&lt;&gt;"Observed","",SUMIFS($Q$3:Q133,$C$3:C133,C133,$R$3:R133,"Observed"))</f>
        <v>80</v>
      </c>
      <c r="V133" s="4">
        <f t="shared" si="2"/>
        <v>246</v>
      </c>
    </row>
    <row r="134" spans="1:22">
      <c r="A134" s="2" t="s">
        <v>23</v>
      </c>
      <c r="B134" s="4">
        <v>8</v>
      </c>
      <c r="C134" s="2" t="s">
        <v>180</v>
      </c>
      <c r="D134" s="2" t="s">
        <v>25</v>
      </c>
      <c r="E134" s="2" t="s">
        <v>26</v>
      </c>
      <c r="F134" s="3">
        <v>45366</v>
      </c>
      <c r="G134" s="2" t="s">
        <v>181</v>
      </c>
      <c r="H134" s="4">
        <v>13</v>
      </c>
      <c r="I134" s="2" t="s">
        <v>30</v>
      </c>
      <c r="J134" s="2" t="s">
        <v>138</v>
      </c>
      <c r="K134" s="2" t="s">
        <v>139</v>
      </c>
      <c r="L134" s="2" t="s">
        <v>57</v>
      </c>
      <c r="M134" s="2" t="s">
        <v>59</v>
      </c>
      <c r="N134" s="7">
        <v>15</v>
      </c>
      <c r="O134" s="4">
        <v>15</v>
      </c>
      <c r="P134" s="7">
        <v>28</v>
      </c>
      <c r="Q134" s="4">
        <v>28</v>
      </c>
      <c r="R134" s="2" t="s">
        <v>29</v>
      </c>
      <c r="S134" s="2"/>
      <c r="T134" s="4">
        <f>IF(R134&lt;&gt;"Observed","",SUMIFS($O$3:O134,$C$3:C134,C134,$R$3:R134,"Observed"))</f>
        <v>341</v>
      </c>
      <c r="U134" s="4">
        <f>IF(R134&lt;&gt;"Observed","",SUMIFS($Q$3:Q134,$C$3:C134,C134,$R$3:R134,"Observed"))</f>
        <v>108</v>
      </c>
      <c r="V134" s="4">
        <f t="shared" si="2"/>
        <v>233</v>
      </c>
    </row>
    <row r="135" spans="1:22">
      <c r="A135" s="2" t="s">
        <v>23</v>
      </c>
      <c r="B135" s="4">
        <v>8</v>
      </c>
      <c r="C135" s="2" t="s">
        <v>180</v>
      </c>
      <c r="D135" s="2" t="s">
        <v>25</v>
      </c>
      <c r="E135" s="2" t="s">
        <v>26</v>
      </c>
      <c r="F135" s="3">
        <v>45366</v>
      </c>
      <c r="G135" s="2" t="s">
        <v>181</v>
      </c>
      <c r="H135" s="4">
        <v>14</v>
      </c>
      <c r="I135" s="2" t="s">
        <v>30</v>
      </c>
      <c r="J135" s="2" t="s">
        <v>139</v>
      </c>
      <c r="K135" s="2" t="s">
        <v>140</v>
      </c>
      <c r="L135" s="2" t="s">
        <v>59</v>
      </c>
      <c r="M135" s="2" t="s">
        <v>57</v>
      </c>
      <c r="N135" s="7">
        <v>8</v>
      </c>
      <c r="O135" s="4">
        <v>8</v>
      </c>
      <c r="P135" s="7">
        <v>33</v>
      </c>
      <c r="Q135" s="4">
        <v>33</v>
      </c>
      <c r="R135" s="2" t="s">
        <v>29</v>
      </c>
      <c r="S135" s="2"/>
      <c r="T135" s="4">
        <f>IF(R135&lt;&gt;"Observed","",SUMIFS($O$3:O135,$C$3:C135,C135,$R$3:R135,"Observed"))</f>
        <v>349</v>
      </c>
      <c r="U135" s="4">
        <f>IF(R135&lt;&gt;"Observed","",SUMIFS($Q$3:Q135,$C$3:C135,C135,$R$3:R135,"Observed"))</f>
        <v>141</v>
      </c>
      <c r="V135" s="4">
        <f t="shared" si="2"/>
        <v>208</v>
      </c>
    </row>
    <row r="136" spans="1:22">
      <c r="A136" s="2" t="s">
        <v>23</v>
      </c>
      <c r="B136" s="4">
        <v>8</v>
      </c>
      <c r="C136" s="2" t="s">
        <v>180</v>
      </c>
      <c r="D136" s="2" t="s">
        <v>25</v>
      </c>
      <c r="E136" s="2" t="s">
        <v>26</v>
      </c>
      <c r="F136" s="3">
        <v>45366</v>
      </c>
      <c r="G136" s="2" t="s">
        <v>181</v>
      </c>
      <c r="H136" s="4">
        <v>15</v>
      </c>
      <c r="I136" s="2" t="s">
        <v>30</v>
      </c>
      <c r="J136" s="2" t="s">
        <v>140</v>
      </c>
      <c r="K136" s="2" t="s">
        <v>141</v>
      </c>
      <c r="L136" s="2" t="s">
        <v>57</v>
      </c>
      <c r="M136" s="2" t="s">
        <v>54</v>
      </c>
      <c r="N136" s="7">
        <v>9</v>
      </c>
      <c r="O136" s="4">
        <v>9</v>
      </c>
      <c r="P136" s="7">
        <v>42</v>
      </c>
      <c r="Q136" s="4">
        <v>42</v>
      </c>
      <c r="R136" s="2" t="s">
        <v>29</v>
      </c>
      <c r="S136" s="2"/>
      <c r="T136" s="4">
        <f>IF(R136&lt;&gt;"Observed","",SUMIFS($O$3:O136,$C$3:C136,C136,$R$3:R136,"Observed"))</f>
        <v>358</v>
      </c>
      <c r="U136" s="4">
        <f>IF(R136&lt;&gt;"Observed","",SUMIFS($Q$3:Q136,$C$3:C136,C136,$R$3:R136,"Observed"))</f>
        <v>183</v>
      </c>
      <c r="V136" s="4">
        <f t="shared" si="2"/>
        <v>175</v>
      </c>
    </row>
    <row r="137" spans="1:22">
      <c r="A137" s="2" t="s">
        <v>23</v>
      </c>
      <c r="B137" s="4">
        <v>8</v>
      </c>
      <c r="C137" s="2" t="s">
        <v>180</v>
      </c>
      <c r="D137" s="2" t="s">
        <v>25</v>
      </c>
      <c r="E137" s="2" t="s">
        <v>26</v>
      </c>
      <c r="F137" s="3">
        <v>45366</v>
      </c>
      <c r="G137" s="2" t="s">
        <v>181</v>
      </c>
      <c r="H137" s="4">
        <v>16</v>
      </c>
      <c r="I137" s="2" t="s">
        <v>30</v>
      </c>
      <c r="J137" s="2" t="s">
        <v>141</v>
      </c>
      <c r="K137" s="2" t="s">
        <v>142</v>
      </c>
      <c r="L137" s="2" t="s">
        <v>54</v>
      </c>
      <c r="M137" s="2" t="s">
        <v>52</v>
      </c>
      <c r="N137" s="7">
        <v>6</v>
      </c>
      <c r="O137" s="4">
        <v>6</v>
      </c>
      <c r="P137" s="7">
        <v>36</v>
      </c>
      <c r="Q137" s="4">
        <v>36</v>
      </c>
      <c r="R137" s="2" t="s">
        <v>29</v>
      </c>
      <c r="S137" s="2"/>
      <c r="T137" s="4">
        <f>IF(R137&lt;&gt;"Observed","",SUMIFS($O$3:O137,$C$3:C137,C137,$R$3:R137,"Observed"))</f>
        <v>364</v>
      </c>
      <c r="U137" s="4">
        <f>IF(R137&lt;&gt;"Observed","",SUMIFS($Q$3:Q137,$C$3:C137,C137,$R$3:R137,"Observed"))</f>
        <v>219</v>
      </c>
      <c r="V137" s="4">
        <f t="shared" si="2"/>
        <v>145</v>
      </c>
    </row>
    <row r="138" spans="1:22">
      <c r="A138" s="2" t="s">
        <v>23</v>
      </c>
      <c r="B138" s="4">
        <v>8</v>
      </c>
      <c r="C138" s="2" t="s">
        <v>180</v>
      </c>
      <c r="D138" s="2" t="s">
        <v>25</v>
      </c>
      <c r="E138" s="2" t="s">
        <v>26</v>
      </c>
      <c r="F138" s="3">
        <v>45366</v>
      </c>
      <c r="G138" s="2" t="s">
        <v>181</v>
      </c>
      <c r="H138" s="4">
        <v>17</v>
      </c>
      <c r="I138" s="2" t="s">
        <v>30</v>
      </c>
      <c r="J138" s="2" t="s">
        <v>142</v>
      </c>
      <c r="K138" s="2" t="s">
        <v>143</v>
      </c>
      <c r="L138" s="2" t="s">
        <v>52</v>
      </c>
      <c r="M138" s="2" t="s">
        <v>50</v>
      </c>
      <c r="N138" s="7">
        <v>11</v>
      </c>
      <c r="O138" s="4">
        <v>11</v>
      </c>
      <c r="P138" s="7">
        <v>27</v>
      </c>
      <c r="Q138" s="4">
        <v>27</v>
      </c>
      <c r="R138" s="2" t="s">
        <v>29</v>
      </c>
      <c r="S138" s="2"/>
      <c r="T138" s="4">
        <f>IF(R138&lt;&gt;"Observed","",SUMIFS($O$3:O138,$C$3:C138,C138,$R$3:R138,"Observed"))</f>
        <v>375</v>
      </c>
      <c r="U138" s="4">
        <f>IF(R138&lt;&gt;"Observed","",SUMIFS($Q$3:Q138,$C$3:C138,C138,$R$3:R138,"Observed"))</f>
        <v>246</v>
      </c>
      <c r="V138" s="4">
        <f t="shared" si="2"/>
        <v>129</v>
      </c>
    </row>
    <row r="139" spans="1:22">
      <c r="A139" s="2" t="s">
        <v>23</v>
      </c>
      <c r="B139" s="4">
        <v>9</v>
      </c>
      <c r="C139" s="2" t="s">
        <v>193</v>
      </c>
      <c r="D139" s="2" t="s">
        <v>25</v>
      </c>
      <c r="E139" s="2" t="s">
        <v>26</v>
      </c>
      <c r="F139" s="3">
        <v>45582</v>
      </c>
      <c r="G139" s="2" t="s">
        <v>68</v>
      </c>
      <c r="H139" s="4">
        <v>1</v>
      </c>
      <c r="I139" s="2" t="s">
        <v>28</v>
      </c>
      <c r="J139" s="2" t="s">
        <v>28</v>
      </c>
      <c r="K139" s="2"/>
      <c r="L139" s="2"/>
      <c r="M139" s="2"/>
      <c r="N139" s="7">
        <v>45</v>
      </c>
      <c r="O139" s="4">
        <v>45</v>
      </c>
      <c r="P139" s="7">
        <v>1</v>
      </c>
      <c r="Q139" s="4">
        <v>1</v>
      </c>
      <c r="R139" s="2" t="s">
        <v>29</v>
      </c>
      <c r="S139" s="2"/>
      <c r="T139" s="4">
        <f>IF(R139&lt;&gt;"Observed","",SUMIFS($O$3:O139,$C$3:C139,C139,$R$3:R139,"Observed"))</f>
        <v>45</v>
      </c>
      <c r="U139" s="4">
        <f>IF(R139&lt;&gt;"Observed","",SUMIFS($Q$3:Q139,$C$3:C139,C139,$R$3:R139,"Observed"))</f>
        <v>1</v>
      </c>
      <c r="V139" s="4">
        <f t="shared" si="2"/>
        <v>44</v>
      </c>
    </row>
    <row r="140" spans="1:22">
      <c r="A140" s="2" t="s">
        <v>23</v>
      </c>
      <c r="B140" s="4">
        <v>9</v>
      </c>
      <c r="C140" s="2" t="s">
        <v>193</v>
      </c>
      <c r="D140" s="2" t="s">
        <v>25</v>
      </c>
      <c r="E140" s="2" t="s">
        <v>26</v>
      </c>
      <c r="F140" s="3">
        <v>45582</v>
      </c>
      <c r="G140" s="2" t="s">
        <v>68</v>
      </c>
      <c r="H140" s="4">
        <v>2</v>
      </c>
      <c r="I140" s="2" t="s">
        <v>30</v>
      </c>
      <c r="J140" s="2" t="s">
        <v>194</v>
      </c>
      <c r="K140" s="2" t="s">
        <v>195</v>
      </c>
      <c r="L140" s="2" t="s">
        <v>33</v>
      </c>
      <c r="M140" s="2" t="s">
        <v>34</v>
      </c>
      <c r="N140" s="7">
        <v>13</v>
      </c>
      <c r="O140" s="4">
        <v>13</v>
      </c>
      <c r="P140" s="7">
        <v>1</v>
      </c>
      <c r="Q140" s="4">
        <v>1</v>
      </c>
      <c r="R140" s="2" t="s">
        <v>29</v>
      </c>
      <c r="S140" s="2"/>
      <c r="T140" s="4">
        <f>IF(R140&lt;&gt;"Observed","",SUMIFS($O$3:O140,$C$3:C140,C140,$R$3:R140,"Observed"))</f>
        <v>58</v>
      </c>
      <c r="U140" s="4">
        <f>IF(R140&lt;&gt;"Observed","",SUMIFS($Q$3:Q140,$C$3:C140,C140,$R$3:R140,"Observed"))</f>
        <v>2</v>
      </c>
      <c r="V140" s="4">
        <f t="shared" si="2"/>
        <v>56</v>
      </c>
    </row>
    <row r="141" spans="1:22">
      <c r="A141" s="2" t="s">
        <v>23</v>
      </c>
      <c r="B141" s="4">
        <v>9</v>
      </c>
      <c r="C141" s="2" t="s">
        <v>193</v>
      </c>
      <c r="D141" s="2" t="s">
        <v>25</v>
      </c>
      <c r="E141" s="2" t="s">
        <v>26</v>
      </c>
      <c r="F141" s="3">
        <v>45582</v>
      </c>
      <c r="G141" s="2" t="s">
        <v>68</v>
      </c>
      <c r="H141" s="4">
        <v>3</v>
      </c>
      <c r="I141" s="2" t="s">
        <v>30</v>
      </c>
      <c r="J141" s="2" t="s">
        <v>195</v>
      </c>
      <c r="K141" s="2" t="s">
        <v>196</v>
      </c>
      <c r="L141" s="2" t="s">
        <v>34</v>
      </c>
      <c r="M141" s="2" t="s">
        <v>37</v>
      </c>
      <c r="N141" s="7">
        <v>25</v>
      </c>
      <c r="O141" s="4">
        <v>25</v>
      </c>
      <c r="P141" s="7">
        <v>0</v>
      </c>
      <c r="Q141" s="4">
        <v>0</v>
      </c>
      <c r="R141" s="2" t="s">
        <v>29</v>
      </c>
      <c r="S141" s="2"/>
      <c r="T141" s="4">
        <f>IF(R141&lt;&gt;"Observed","",SUMIFS($O$3:O141,$C$3:C141,C141,$R$3:R141,"Observed"))</f>
        <v>83</v>
      </c>
      <c r="U141" s="4">
        <f>IF(R141&lt;&gt;"Observed","",SUMIFS($Q$3:Q141,$C$3:C141,C141,$R$3:R141,"Observed"))</f>
        <v>2</v>
      </c>
      <c r="V141" s="4">
        <f t="shared" si="2"/>
        <v>81</v>
      </c>
    </row>
    <row r="142" spans="1:22">
      <c r="A142" s="2" t="s">
        <v>23</v>
      </c>
      <c r="B142" s="4">
        <v>9</v>
      </c>
      <c r="C142" s="2" t="s">
        <v>193</v>
      </c>
      <c r="D142" s="2" t="s">
        <v>25</v>
      </c>
      <c r="E142" s="2" t="s">
        <v>26</v>
      </c>
      <c r="F142" s="3">
        <v>45582</v>
      </c>
      <c r="G142" s="2" t="s">
        <v>68</v>
      </c>
      <c r="H142" s="4">
        <v>4</v>
      </c>
      <c r="I142" s="2" t="s">
        <v>30</v>
      </c>
      <c r="J142" s="2" t="s">
        <v>196</v>
      </c>
      <c r="K142" s="2" t="s">
        <v>197</v>
      </c>
      <c r="L142" s="2" t="s">
        <v>37</v>
      </c>
      <c r="M142" s="2" t="s">
        <v>39</v>
      </c>
      <c r="N142" s="7">
        <v>35</v>
      </c>
      <c r="O142" s="4">
        <v>35</v>
      </c>
      <c r="P142" s="7">
        <v>2</v>
      </c>
      <c r="Q142" s="4">
        <v>2</v>
      </c>
      <c r="R142" s="2" t="s">
        <v>29</v>
      </c>
      <c r="S142" s="2"/>
      <c r="T142" s="4">
        <f>IF(R142&lt;&gt;"Observed","",SUMIFS($O$3:O142,$C$3:C142,C142,$R$3:R142,"Observed"))</f>
        <v>118</v>
      </c>
      <c r="U142" s="4">
        <f>IF(R142&lt;&gt;"Observed","",SUMIFS($Q$3:Q142,$C$3:C142,C142,$R$3:R142,"Observed"))</f>
        <v>4</v>
      </c>
      <c r="V142" s="4">
        <f t="shared" si="2"/>
        <v>114</v>
      </c>
    </row>
    <row r="143" spans="1:22">
      <c r="A143" s="2" t="s">
        <v>23</v>
      </c>
      <c r="B143" s="4">
        <v>9</v>
      </c>
      <c r="C143" s="2" t="s">
        <v>193</v>
      </c>
      <c r="D143" s="2" t="s">
        <v>25</v>
      </c>
      <c r="E143" s="2" t="s">
        <v>26</v>
      </c>
      <c r="F143" s="3">
        <v>45582</v>
      </c>
      <c r="G143" s="2" t="s">
        <v>68</v>
      </c>
      <c r="H143" s="4">
        <v>5</v>
      </c>
      <c r="I143" s="2" t="s">
        <v>30</v>
      </c>
      <c r="J143" s="2" t="s">
        <v>197</v>
      </c>
      <c r="K143" s="2" t="s">
        <v>198</v>
      </c>
      <c r="L143" s="2" t="s">
        <v>39</v>
      </c>
      <c r="M143" s="2" t="s">
        <v>41</v>
      </c>
      <c r="N143" s="7">
        <v>45</v>
      </c>
      <c r="O143" s="4">
        <v>45</v>
      </c>
      <c r="P143" s="7">
        <v>3</v>
      </c>
      <c r="Q143" s="4">
        <v>3</v>
      </c>
      <c r="R143" s="2" t="s">
        <v>29</v>
      </c>
      <c r="S143" s="2"/>
      <c r="T143" s="4">
        <f>IF(R143&lt;&gt;"Observed","",SUMIFS($O$3:O143,$C$3:C143,C143,$R$3:R143,"Observed"))</f>
        <v>163</v>
      </c>
      <c r="U143" s="4">
        <f>IF(R143&lt;&gt;"Observed","",SUMIFS($Q$3:Q143,$C$3:C143,C143,$R$3:R143,"Observed"))</f>
        <v>7</v>
      </c>
      <c r="V143" s="4">
        <f t="shared" si="2"/>
        <v>156</v>
      </c>
    </row>
    <row r="144" spans="1:22">
      <c r="A144" s="2" t="s">
        <v>23</v>
      </c>
      <c r="B144" s="4">
        <v>9</v>
      </c>
      <c r="C144" s="2" t="s">
        <v>193</v>
      </c>
      <c r="D144" s="2" t="s">
        <v>25</v>
      </c>
      <c r="E144" s="2" t="s">
        <v>26</v>
      </c>
      <c r="F144" s="3">
        <v>45582</v>
      </c>
      <c r="G144" s="2" t="s">
        <v>68</v>
      </c>
      <c r="H144" s="4">
        <v>6</v>
      </c>
      <c r="I144" s="2" t="s">
        <v>30</v>
      </c>
      <c r="J144" s="2" t="s">
        <v>198</v>
      </c>
      <c r="K144" s="2" t="s">
        <v>199</v>
      </c>
      <c r="L144" s="2" t="s">
        <v>41</v>
      </c>
      <c r="M144" s="2" t="s">
        <v>43</v>
      </c>
      <c r="N144" s="7">
        <v>32</v>
      </c>
      <c r="O144" s="4">
        <v>32</v>
      </c>
      <c r="P144" s="7">
        <v>3</v>
      </c>
      <c r="Q144" s="4">
        <v>3</v>
      </c>
      <c r="R144" s="2" t="s">
        <v>29</v>
      </c>
      <c r="S144" s="2"/>
      <c r="T144" s="4">
        <f>IF(R144&lt;&gt;"Observed","",SUMIFS($O$3:O144,$C$3:C144,C144,$R$3:R144,"Observed"))</f>
        <v>195</v>
      </c>
      <c r="U144" s="4">
        <f>IF(R144&lt;&gt;"Observed","",SUMIFS($Q$3:Q144,$C$3:C144,C144,$R$3:R144,"Observed"))</f>
        <v>10</v>
      </c>
      <c r="V144" s="4">
        <f t="shared" si="2"/>
        <v>185</v>
      </c>
    </row>
    <row r="145" spans="1:22">
      <c r="A145" s="2" t="s">
        <v>23</v>
      </c>
      <c r="B145" s="4">
        <v>9</v>
      </c>
      <c r="C145" s="2" t="s">
        <v>193</v>
      </c>
      <c r="D145" s="2" t="s">
        <v>25</v>
      </c>
      <c r="E145" s="2" t="s">
        <v>26</v>
      </c>
      <c r="F145" s="3">
        <v>45582</v>
      </c>
      <c r="G145" s="2" t="s">
        <v>68</v>
      </c>
      <c r="H145" s="4">
        <v>7</v>
      </c>
      <c r="I145" s="2" t="s">
        <v>30</v>
      </c>
      <c r="J145" s="2" t="s">
        <v>199</v>
      </c>
      <c r="K145" s="2" t="s">
        <v>200</v>
      </c>
      <c r="L145" s="2" t="s">
        <v>43</v>
      </c>
      <c r="M145" s="2" t="s">
        <v>45</v>
      </c>
      <c r="N145" s="7">
        <v>30</v>
      </c>
      <c r="O145" s="4">
        <v>30</v>
      </c>
      <c r="P145" s="7">
        <v>19</v>
      </c>
      <c r="Q145" s="4">
        <v>19</v>
      </c>
      <c r="R145" s="2" t="s">
        <v>29</v>
      </c>
      <c r="S145" s="2"/>
      <c r="T145" s="4">
        <f>IF(R145&lt;&gt;"Observed","",SUMIFS($O$3:O145,$C$3:C145,C145,$R$3:R145,"Observed"))</f>
        <v>225</v>
      </c>
      <c r="U145" s="4">
        <f>IF(R145&lt;&gt;"Observed","",SUMIFS($Q$3:Q145,$C$3:C145,C145,$R$3:R145,"Observed"))</f>
        <v>29</v>
      </c>
      <c r="V145" s="4">
        <f t="shared" si="2"/>
        <v>196</v>
      </c>
    </row>
    <row r="146" spans="1:22">
      <c r="A146" s="2" t="s">
        <v>23</v>
      </c>
      <c r="B146" s="4">
        <v>9</v>
      </c>
      <c r="C146" s="2" t="s">
        <v>193</v>
      </c>
      <c r="D146" s="2" t="s">
        <v>25</v>
      </c>
      <c r="E146" s="2" t="s">
        <v>26</v>
      </c>
      <c r="F146" s="3">
        <v>45582</v>
      </c>
      <c r="G146" s="2" t="s">
        <v>68</v>
      </c>
      <c r="H146" s="4">
        <v>8</v>
      </c>
      <c r="I146" s="2" t="s">
        <v>30</v>
      </c>
      <c r="J146" s="2" t="s">
        <v>200</v>
      </c>
      <c r="K146" s="2" t="s">
        <v>201</v>
      </c>
      <c r="L146" s="2" t="s">
        <v>45</v>
      </c>
      <c r="M146" s="2" t="s">
        <v>48</v>
      </c>
      <c r="N146" s="7">
        <v>24</v>
      </c>
      <c r="O146" s="4">
        <v>24</v>
      </c>
      <c r="P146" s="7">
        <v>35</v>
      </c>
      <c r="Q146" s="4">
        <v>35</v>
      </c>
      <c r="R146" s="2" t="s">
        <v>29</v>
      </c>
      <c r="S146" s="2"/>
      <c r="T146" s="4">
        <f>IF(R146&lt;&gt;"Observed","",SUMIFS($O$3:O146,$C$3:C146,C146,$R$3:R146,"Observed"))</f>
        <v>249</v>
      </c>
      <c r="U146" s="4">
        <f>IF(R146&lt;&gt;"Observed","",SUMIFS($Q$3:Q146,$C$3:C146,C146,$R$3:R146,"Observed"))</f>
        <v>64</v>
      </c>
      <c r="V146" s="4">
        <f t="shared" si="2"/>
        <v>185</v>
      </c>
    </row>
    <row r="147" spans="1:22">
      <c r="A147" s="2" t="s">
        <v>23</v>
      </c>
      <c r="B147" s="4">
        <v>9</v>
      </c>
      <c r="C147" s="2" t="s">
        <v>193</v>
      </c>
      <c r="D147" s="2" t="s">
        <v>25</v>
      </c>
      <c r="E147" s="2" t="s">
        <v>26</v>
      </c>
      <c r="F147" s="3">
        <v>45582</v>
      </c>
      <c r="G147" s="2" t="s">
        <v>68</v>
      </c>
      <c r="H147" s="4">
        <v>9</v>
      </c>
      <c r="I147" s="2" t="s">
        <v>30</v>
      </c>
      <c r="J147" s="2" t="s">
        <v>201</v>
      </c>
      <c r="K147" s="2" t="s">
        <v>202</v>
      </c>
      <c r="L147" s="2" t="s">
        <v>48</v>
      </c>
      <c r="M147" s="2" t="s">
        <v>50</v>
      </c>
      <c r="N147" s="7">
        <v>15</v>
      </c>
      <c r="O147" s="4">
        <v>15</v>
      </c>
      <c r="P147" s="7">
        <v>26</v>
      </c>
      <c r="Q147" s="4">
        <v>26</v>
      </c>
      <c r="R147" s="2" t="s">
        <v>29</v>
      </c>
      <c r="S147" s="2"/>
      <c r="T147" s="4">
        <f>IF(R147&lt;&gt;"Observed","",SUMIFS($O$3:O147,$C$3:C147,C147,$R$3:R147,"Observed"))</f>
        <v>264</v>
      </c>
      <c r="U147" s="4">
        <f>IF(R147&lt;&gt;"Observed","",SUMIFS($Q$3:Q147,$C$3:C147,C147,$R$3:R147,"Observed"))</f>
        <v>90</v>
      </c>
      <c r="V147" s="4">
        <f t="shared" si="2"/>
        <v>174</v>
      </c>
    </row>
    <row r="148" spans="1:22">
      <c r="A148" s="2" t="s">
        <v>23</v>
      </c>
      <c r="B148" s="4">
        <v>9</v>
      </c>
      <c r="C148" s="2" t="s">
        <v>193</v>
      </c>
      <c r="D148" s="2" t="s">
        <v>25</v>
      </c>
      <c r="E148" s="2" t="s">
        <v>26</v>
      </c>
      <c r="F148" s="3">
        <v>45582</v>
      </c>
      <c r="G148" s="2" t="s">
        <v>68</v>
      </c>
      <c r="H148" s="4">
        <v>10</v>
      </c>
      <c r="I148" s="2" t="s">
        <v>30</v>
      </c>
      <c r="J148" s="2" t="s">
        <v>202</v>
      </c>
      <c r="K148" s="2" t="s">
        <v>203</v>
      </c>
      <c r="L148" s="2" t="s">
        <v>50</v>
      </c>
      <c r="M148" s="2" t="s">
        <v>52</v>
      </c>
      <c r="N148" s="7">
        <v>6</v>
      </c>
      <c r="O148" s="4">
        <v>6</v>
      </c>
      <c r="P148" s="7">
        <v>58</v>
      </c>
      <c r="Q148" s="4">
        <v>58</v>
      </c>
      <c r="R148" s="2" t="s">
        <v>29</v>
      </c>
      <c r="S148" s="2"/>
      <c r="T148" s="4">
        <f>IF(R148&lt;&gt;"Observed","",SUMIFS($O$3:O148,$C$3:C148,C148,$R$3:R148,"Observed"))</f>
        <v>270</v>
      </c>
      <c r="U148" s="4">
        <f>IF(R148&lt;&gt;"Observed","",SUMIFS($Q$3:Q148,$C$3:C148,C148,$R$3:R148,"Observed"))</f>
        <v>148</v>
      </c>
      <c r="V148" s="4">
        <f t="shared" si="2"/>
        <v>122</v>
      </c>
    </row>
    <row r="149" spans="1:22">
      <c r="A149" s="2" t="s">
        <v>23</v>
      </c>
      <c r="B149" s="4">
        <v>9</v>
      </c>
      <c r="C149" s="2" t="s">
        <v>193</v>
      </c>
      <c r="D149" s="2" t="s">
        <v>25</v>
      </c>
      <c r="E149" s="2" t="s">
        <v>26</v>
      </c>
      <c r="F149" s="3">
        <v>45582</v>
      </c>
      <c r="G149" s="2" t="s">
        <v>68</v>
      </c>
      <c r="H149" s="4">
        <v>11</v>
      </c>
      <c r="I149" s="2" t="s">
        <v>30</v>
      </c>
      <c r="J149" s="2" t="s">
        <v>203</v>
      </c>
      <c r="K149" s="2" t="s">
        <v>204</v>
      </c>
      <c r="L149" s="2" t="s">
        <v>52</v>
      </c>
      <c r="M149" s="2" t="s">
        <v>54</v>
      </c>
      <c r="N149" s="7">
        <v>15</v>
      </c>
      <c r="O149" s="4">
        <v>15</v>
      </c>
      <c r="P149" s="7">
        <v>44</v>
      </c>
      <c r="Q149" s="4">
        <v>44</v>
      </c>
      <c r="R149" s="2" t="s">
        <v>29</v>
      </c>
      <c r="S149" s="2"/>
      <c r="T149" s="4">
        <f>IF(R149&lt;&gt;"Observed","",SUMIFS($O$3:O149,$C$3:C149,C149,$R$3:R149,"Observed"))</f>
        <v>285</v>
      </c>
      <c r="U149" s="4">
        <f>IF(R149&lt;&gt;"Observed","",SUMIFS($Q$3:Q149,$C$3:C149,C149,$R$3:R149,"Observed"))</f>
        <v>192</v>
      </c>
      <c r="V149" s="4">
        <f t="shared" si="2"/>
        <v>93</v>
      </c>
    </row>
    <row r="150" spans="1:22">
      <c r="A150" s="2" t="s">
        <v>23</v>
      </c>
      <c r="B150" s="4">
        <v>9</v>
      </c>
      <c r="C150" s="2" t="s">
        <v>193</v>
      </c>
      <c r="D150" s="2" t="s">
        <v>25</v>
      </c>
      <c r="E150" s="2" t="s">
        <v>26</v>
      </c>
      <c r="F150" s="3">
        <v>45582</v>
      </c>
      <c r="G150" s="2" t="s">
        <v>68</v>
      </c>
      <c r="H150" s="4">
        <v>12</v>
      </c>
      <c r="I150" s="2" t="s">
        <v>30</v>
      </c>
      <c r="J150" s="2" t="s">
        <v>204</v>
      </c>
      <c r="K150" s="2" t="s">
        <v>205</v>
      </c>
      <c r="L150" s="2" t="s">
        <v>54</v>
      </c>
      <c r="M150" s="2" t="s">
        <v>57</v>
      </c>
      <c r="N150" s="7">
        <v>2</v>
      </c>
      <c r="O150" s="4">
        <v>2</v>
      </c>
      <c r="P150" s="7">
        <v>34</v>
      </c>
      <c r="Q150" s="4">
        <v>34</v>
      </c>
      <c r="R150" s="2" t="s">
        <v>29</v>
      </c>
      <c r="S150" s="2"/>
      <c r="T150" s="4">
        <f>IF(R150&lt;&gt;"Observed","",SUMIFS($O$3:O150,$C$3:C150,C150,$R$3:R150,"Observed"))</f>
        <v>287</v>
      </c>
      <c r="U150" s="4">
        <f>IF(R150&lt;&gt;"Observed","",SUMIFS($Q$3:Q150,$C$3:C150,C150,$R$3:R150,"Observed"))</f>
        <v>226</v>
      </c>
      <c r="V150" s="4">
        <f t="shared" si="2"/>
        <v>61</v>
      </c>
    </row>
    <row r="151" spans="1:22">
      <c r="A151" s="2" t="s">
        <v>23</v>
      </c>
      <c r="B151" s="4">
        <v>9</v>
      </c>
      <c r="C151" s="2" t="s">
        <v>193</v>
      </c>
      <c r="D151" s="2" t="s">
        <v>25</v>
      </c>
      <c r="E151" s="2" t="s">
        <v>26</v>
      </c>
      <c r="F151" s="3">
        <v>45582</v>
      </c>
      <c r="G151" s="2" t="s">
        <v>68</v>
      </c>
      <c r="H151" s="4">
        <v>13</v>
      </c>
      <c r="I151" s="2" t="s">
        <v>30</v>
      </c>
      <c r="J151" s="2" t="s">
        <v>205</v>
      </c>
      <c r="K151" s="2" t="s">
        <v>206</v>
      </c>
      <c r="L151" s="2" t="s">
        <v>57</v>
      </c>
      <c r="M151" s="2" t="s">
        <v>59</v>
      </c>
      <c r="N151" s="7">
        <v>2</v>
      </c>
      <c r="O151" s="4">
        <v>2</v>
      </c>
      <c r="P151" s="7">
        <v>25</v>
      </c>
      <c r="Q151" s="4">
        <v>25</v>
      </c>
      <c r="R151" s="2" t="s">
        <v>29</v>
      </c>
      <c r="S151" s="2"/>
      <c r="T151" s="4">
        <f>IF(R151&lt;&gt;"Observed","",SUMIFS($O$3:O151,$C$3:C151,C151,$R$3:R151,"Observed"))</f>
        <v>289</v>
      </c>
      <c r="U151" s="4">
        <f>IF(R151&lt;&gt;"Observed","",SUMIFS($Q$3:Q151,$C$3:C151,C151,$R$3:R151,"Observed"))</f>
        <v>251</v>
      </c>
      <c r="V151" s="4">
        <f t="shared" si="2"/>
        <v>38</v>
      </c>
    </row>
    <row r="152" spans="1:22">
      <c r="A152" s="2" t="s">
        <v>23</v>
      </c>
      <c r="B152" s="4">
        <v>9</v>
      </c>
      <c r="C152" s="2" t="s">
        <v>193</v>
      </c>
      <c r="D152" s="2" t="s">
        <v>25</v>
      </c>
      <c r="E152" s="2" t="s">
        <v>26</v>
      </c>
      <c r="F152" s="3">
        <v>45582</v>
      </c>
      <c r="G152" s="2" t="s">
        <v>68</v>
      </c>
      <c r="H152" s="4">
        <v>14</v>
      </c>
      <c r="I152" s="2" t="s">
        <v>30</v>
      </c>
      <c r="J152" s="2" t="s">
        <v>206</v>
      </c>
      <c r="K152" s="2" t="s">
        <v>207</v>
      </c>
      <c r="L152" s="2" t="s">
        <v>59</v>
      </c>
      <c r="M152" s="2" t="s">
        <v>57</v>
      </c>
      <c r="N152" s="7">
        <v>2</v>
      </c>
      <c r="O152" s="4">
        <v>2</v>
      </c>
      <c r="P152" s="7">
        <v>15</v>
      </c>
      <c r="Q152" s="4">
        <v>15</v>
      </c>
      <c r="R152" s="2" t="s">
        <v>29</v>
      </c>
      <c r="S152" s="2"/>
      <c r="T152" s="4">
        <f>IF(R152&lt;&gt;"Observed","",SUMIFS($O$3:O152,$C$3:C152,C152,$R$3:R152,"Observed"))</f>
        <v>291</v>
      </c>
      <c r="U152" s="4">
        <f>IF(R152&lt;&gt;"Observed","",SUMIFS($Q$3:Q152,$C$3:C152,C152,$R$3:R152,"Observed"))</f>
        <v>266</v>
      </c>
      <c r="V152" s="4">
        <f t="shared" si="2"/>
        <v>25</v>
      </c>
    </row>
    <row r="153" spans="1:22">
      <c r="A153" s="2" t="s">
        <v>23</v>
      </c>
      <c r="B153" s="4">
        <v>9</v>
      </c>
      <c r="C153" s="2" t="s">
        <v>193</v>
      </c>
      <c r="D153" s="2" t="s">
        <v>25</v>
      </c>
      <c r="E153" s="2" t="s">
        <v>26</v>
      </c>
      <c r="F153" s="3">
        <v>45582</v>
      </c>
      <c r="G153" s="2" t="s">
        <v>68</v>
      </c>
      <c r="H153" s="4">
        <v>15</v>
      </c>
      <c r="I153" s="2" t="s">
        <v>30</v>
      </c>
      <c r="J153" s="2" t="s">
        <v>207</v>
      </c>
      <c r="K153" s="2" t="s">
        <v>208</v>
      </c>
      <c r="L153" s="2" t="s">
        <v>57</v>
      </c>
      <c r="M153" s="2" t="s">
        <v>54</v>
      </c>
      <c r="N153" s="2" t="s">
        <v>73</v>
      </c>
      <c r="O153" s="4"/>
      <c r="P153" s="2"/>
      <c r="Q153" s="4"/>
      <c r="R153" s="2" t="s">
        <v>113</v>
      </c>
      <c r="S153" s="2" t="s">
        <v>209</v>
      </c>
      <c r="T153" s="4" t="str">
        <f>IF(R153&lt;&gt;"Observed","",SUMIFS($O$3:O153,$C$3:C153,C153,$R$3:R153,"Observed"))</f>
        <v/>
      </c>
      <c r="U153" s="4" t="str">
        <f>IF(R153&lt;&gt;"Observed","",SUMIFS($Q$3:Q153,$C$3:C153,C153,$R$3:R153,"Observed"))</f>
        <v/>
      </c>
      <c r="V153" s="4" t="str">
        <f t="shared" si="2"/>
        <v/>
      </c>
    </row>
    <row r="154" spans="1:22">
      <c r="A154" s="2" t="s">
        <v>23</v>
      </c>
      <c r="B154" s="4">
        <v>9</v>
      </c>
      <c r="C154" s="2" t="s">
        <v>193</v>
      </c>
      <c r="D154" s="2" t="s">
        <v>25</v>
      </c>
      <c r="E154" s="2" t="s">
        <v>26</v>
      </c>
      <c r="F154" s="3">
        <v>45582</v>
      </c>
      <c r="G154" s="2" t="s">
        <v>68</v>
      </c>
      <c r="H154" s="4">
        <v>16</v>
      </c>
      <c r="I154" s="2" t="s">
        <v>30</v>
      </c>
      <c r="J154" s="2" t="s">
        <v>208</v>
      </c>
      <c r="K154" s="2" t="s">
        <v>210</v>
      </c>
      <c r="L154" s="2" t="s">
        <v>54</v>
      </c>
      <c r="M154" s="2" t="s">
        <v>52</v>
      </c>
      <c r="N154" s="2" t="s">
        <v>73</v>
      </c>
      <c r="O154" s="4"/>
      <c r="P154" s="2"/>
      <c r="Q154" s="4"/>
      <c r="R154" s="2" t="s">
        <v>113</v>
      </c>
      <c r="S154" s="2" t="s">
        <v>209</v>
      </c>
      <c r="T154" s="4" t="str">
        <f>IF(R154&lt;&gt;"Observed","",SUMIFS($O$3:O154,$C$3:C154,C154,$R$3:R154,"Observed"))</f>
        <v/>
      </c>
      <c r="U154" s="4" t="str">
        <f>IF(R154&lt;&gt;"Observed","",SUMIFS($Q$3:Q154,$C$3:C154,C154,$R$3:R154,"Observed"))</f>
        <v/>
      </c>
      <c r="V154" s="4" t="str">
        <f t="shared" si="2"/>
        <v/>
      </c>
    </row>
    <row r="155" spans="1:22">
      <c r="A155" s="2" t="s">
        <v>23</v>
      </c>
      <c r="B155" s="4">
        <v>9</v>
      </c>
      <c r="C155" s="2" t="s">
        <v>193</v>
      </c>
      <c r="D155" s="2" t="s">
        <v>25</v>
      </c>
      <c r="E155" s="2" t="s">
        <v>26</v>
      </c>
      <c r="F155" s="3">
        <v>45582</v>
      </c>
      <c r="G155" s="2" t="s">
        <v>68</v>
      </c>
      <c r="H155" s="4">
        <v>17</v>
      </c>
      <c r="I155" s="2" t="s">
        <v>30</v>
      </c>
      <c r="J155" s="2" t="s">
        <v>210</v>
      </c>
      <c r="K155" s="2" t="s">
        <v>211</v>
      </c>
      <c r="L155" s="2" t="s">
        <v>52</v>
      </c>
      <c r="M155" s="2" t="s">
        <v>50</v>
      </c>
      <c r="N155" s="2" t="s">
        <v>73</v>
      </c>
      <c r="O155" s="4"/>
      <c r="P155" s="2"/>
      <c r="Q155" s="4"/>
      <c r="R155" s="2" t="s">
        <v>113</v>
      </c>
      <c r="S155" s="2" t="s">
        <v>209</v>
      </c>
      <c r="T155" s="4" t="str">
        <f>IF(R155&lt;&gt;"Observed","",SUMIFS($O$3:O155,$C$3:C155,C155,$R$3:R155,"Observed"))</f>
        <v/>
      </c>
      <c r="U155" s="4" t="str">
        <f>IF(R155&lt;&gt;"Observed","",SUMIFS($Q$3:Q155,$C$3:C155,C155,$R$3:R155,"Observed"))</f>
        <v/>
      </c>
      <c r="V155" s="4" t="str">
        <f t="shared" si="2"/>
        <v/>
      </c>
    </row>
    <row r="156" spans="1:22">
      <c r="A156" s="2" t="s">
        <v>23</v>
      </c>
      <c r="B156" s="4">
        <v>10</v>
      </c>
      <c r="C156" s="2" t="s">
        <v>212</v>
      </c>
      <c r="D156" s="2" t="s">
        <v>213</v>
      </c>
      <c r="E156" s="2" t="s">
        <v>214</v>
      </c>
      <c r="F156" s="3">
        <v>45597</v>
      </c>
      <c r="G156" s="2" t="s">
        <v>27</v>
      </c>
      <c r="H156" s="4">
        <v>1</v>
      </c>
      <c r="I156" s="2" t="s">
        <v>28</v>
      </c>
      <c r="J156" s="2" t="s">
        <v>28</v>
      </c>
      <c r="K156" s="2"/>
      <c r="L156" s="2"/>
      <c r="M156" s="2"/>
      <c r="N156" s="7">
        <v>10</v>
      </c>
      <c r="O156" s="4">
        <v>10</v>
      </c>
      <c r="P156" s="7">
        <v>0</v>
      </c>
      <c r="Q156" s="4">
        <v>0</v>
      </c>
      <c r="R156" s="2" t="s">
        <v>29</v>
      </c>
      <c r="S156" s="2"/>
      <c r="T156" s="4">
        <f>IF(R156&lt;&gt;"Observed","",SUMIFS($O$3:O156,$C$3:C156,C156,$R$3:R156,"Observed"))</f>
        <v>10</v>
      </c>
      <c r="U156" s="4">
        <f>IF(R156&lt;&gt;"Observed","",SUMIFS($Q$3:Q156,$C$3:C156,C156,$R$3:R156,"Observed"))</f>
        <v>0</v>
      </c>
      <c r="V156" s="4">
        <f t="shared" si="2"/>
        <v>10</v>
      </c>
    </row>
    <row r="157" spans="1:22">
      <c r="A157" s="2" t="s">
        <v>23</v>
      </c>
      <c r="B157" s="4">
        <v>10</v>
      </c>
      <c r="C157" s="2" t="s">
        <v>212</v>
      </c>
      <c r="D157" s="2" t="s">
        <v>213</v>
      </c>
      <c r="E157" s="2" t="s">
        <v>214</v>
      </c>
      <c r="F157" s="3">
        <v>45597</v>
      </c>
      <c r="G157" s="2" t="s">
        <v>27</v>
      </c>
      <c r="H157" s="4">
        <v>2</v>
      </c>
      <c r="I157" s="2" t="s">
        <v>30</v>
      </c>
      <c r="J157" s="2" t="s">
        <v>167</v>
      </c>
      <c r="K157" s="2" t="s">
        <v>169</v>
      </c>
      <c r="L157" s="2" t="s">
        <v>33</v>
      </c>
      <c r="M157" s="2" t="s">
        <v>34</v>
      </c>
      <c r="N157" s="7">
        <v>4</v>
      </c>
      <c r="O157" s="4">
        <v>4</v>
      </c>
      <c r="P157" s="7">
        <v>0</v>
      </c>
      <c r="Q157" s="4">
        <v>0</v>
      </c>
      <c r="R157" s="2" t="s">
        <v>29</v>
      </c>
      <c r="S157" s="2"/>
      <c r="T157" s="4">
        <f>IF(R157&lt;&gt;"Observed","",SUMIFS($O$3:O157,$C$3:C157,C157,$R$3:R157,"Observed"))</f>
        <v>14</v>
      </c>
      <c r="U157" s="4">
        <f>IF(R157&lt;&gt;"Observed","",SUMIFS($Q$3:Q157,$C$3:C157,C157,$R$3:R157,"Observed"))</f>
        <v>0</v>
      </c>
      <c r="V157" s="4">
        <f t="shared" si="2"/>
        <v>14</v>
      </c>
    </row>
    <row r="158" spans="1:22">
      <c r="A158" s="2" t="s">
        <v>23</v>
      </c>
      <c r="B158" s="4">
        <v>10</v>
      </c>
      <c r="C158" s="2" t="s">
        <v>212</v>
      </c>
      <c r="D158" s="2" t="s">
        <v>213</v>
      </c>
      <c r="E158" s="2" t="s">
        <v>214</v>
      </c>
      <c r="F158" s="3">
        <v>45597</v>
      </c>
      <c r="G158" s="2" t="s">
        <v>27</v>
      </c>
      <c r="H158" s="4">
        <v>3</v>
      </c>
      <c r="I158" s="2" t="s">
        <v>30</v>
      </c>
      <c r="J158" s="2" t="s">
        <v>169</v>
      </c>
      <c r="K158" s="2" t="s">
        <v>170</v>
      </c>
      <c r="L158" s="2" t="s">
        <v>34</v>
      </c>
      <c r="M158" s="2" t="s">
        <v>37</v>
      </c>
      <c r="N158" s="7">
        <v>4</v>
      </c>
      <c r="O158" s="4">
        <v>4</v>
      </c>
      <c r="P158" s="7">
        <v>0</v>
      </c>
      <c r="Q158" s="4">
        <v>0</v>
      </c>
      <c r="R158" s="2" t="s">
        <v>29</v>
      </c>
      <c r="S158" s="2"/>
      <c r="T158" s="4">
        <f>IF(R158&lt;&gt;"Observed","",SUMIFS($O$3:O158,$C$3:C158,C158,$R$3:R158,"Observed"))</f>
        <v>18</v>
      </c>
      <c r="U158" s="4">
        <f>IF(R158&lt;&gt;"Observed","",SUMIFS($Q$3:Q158,$C$3:C158,C158,$R$3:R158,"Observed"))</f>
        <v>0</v>
      </c>
      <c r="V158" s="4">
        <f t="shared" si="2"/>
        <v>18</v>
      </c>
    </row>
    <row r="159" spans="1:22">
      <c r="A159" s="2" t="s">
        <v>23</v>
      </c>
      <c r="B159" s="4">
        <v>10</v>
      </c>
      <c r="C159" s="2" t="s">
        <v>212</v>
      </c>
      <c r="D159" s="2" t="s">
        <v>213</v>
      </c>
      <c r="E159" s="2" t="s">
        <v>214</v>
      </c>
      <c r="F159" s="3">
        <v>45597</v>
      </c>
      <c r="G159" s="2" t="s">
        <v>27</v>
      </c>
      <c r="H159" s="4">
        <v>4</v>
      </c>
      <c r="I159" s="2" t="s">
        <v>30</v>
      </c>
      <c r="J159" s="2" t="s">
        <v>170</v>
      </c>
      <c r="K159" s="2" t="s">
        <v>171</v>
      </c>
      <c r="L159" s="2" t="s">
        <v>37</v>
      </c>
      <c r="M159" s="2" t="s">
        <v>39</v>
      </c>
      <c r="N159" s="7">
        <v>10</v>
      </c>
      <c r="O159" s="4">
        <v>10</v>
      </c>
      <c r="P159" s="7">
        <v>3</v>
      </c>
      <c r="Q159" s="4">
        <v>3</v>
      </c>
      <c r="R159" s="2" t="s">
        <v>29</v>
      </c>
      <c r="S159" s="2"/>
      <c r="T159" s="4">
        <f>IF(R159&lt;&gt;"Observed","",SUMIFS($O$3:O159,$C$3:C159,C159,$R$3:R159,"Observed"))</f>
        <v>28</v>
      </c>
      <c r="U159" s="4">
        <f>IF(R159&lt;&gt;"Observed","",SUMIFS($Q$3:Q159,$C$3:C159,C159,$R$3:R159,"Observed"))</f>
        <v>3</v>
      </c>
      <c r="V159" s="4">
        <f t="shared" si="2"/>
        <v>25</v>
      </c>
    </row>
    <row r="160" spans="1:22">
      <c r="A160" s="2" t="s">
        <v>23</v>
      </c>
      <c r="B160" s="4">
        <v>10</v>
      </c>
      <c r="C160" s="2" t="s">
        <v>212</v>
      </c>
      <c r="D160" s="2" t="s">
        <v>213</v>
      </c>
      <c r="E160" s="2" t="s">
        <v>214</v>
      </c>
      <c r="F160" s="3">
        <v>45597</v>
      </c>
      <c r="G160" s="2" t="s">
        <v>27</v>
      </c>
      <c r="H160" s="4">
        <v>5</v>
      </c>
      <c r="I160" s="2" t="s">
        <v>30</v>
      </c>
      <c r="J160" s="2" t="s">
        <v>171</v>
      </c>
      <c r="K160" s="2" t="s">
        <v>172</v>
      </c>
      <c r="L160" s="2" t="s">
        <v>39</v>
      </c>
      <c r="M160" s="2" t="s">
        <v>41</v>
      </c>
      <c r="N160" s="7">
        <v>8</v>
      </c>
      <c r="O160" s="4">
        <v>8</v>
      </c>
      <c r="P160" s="7">
        <v>0</v>
      </c>
      <c r="Q160" s="4">
        <v>0</v>
      </c>
      <c r="R160" s="2" t="s">
        <v>29</v>
      </c>
      <c r="S160" s="2"/>
      <c r="T160" s="4">
        <f>IF(R160&lt;&gt;"Observed","",SUMIFS($O$3:O160,$C$3:C160,C160,$R$3:R160,"Observed"))</f>
        <v>36</v>
      </c>
      <c r="U160" s="4">
        <f>IF(R160&lt;&gt;"Observed","",SUMIFS($Q$3:Q160,$C$3:C160,C160,$R$3:R160,"Observed"))</f>
        <v>3</v>
      </c>
      <c r="V160" s="4">
        <f t="shared" si="2"/>
        <v>33</v>
      </c>
    </row>
    <row r="161" spans="1:22">
      <c r="A161" s="2" t="s">
        <v>23</v>
      </c>
      <c r="B161" s="4">
        <v>10</v>
      </c>
      <c r="C161" s="2" t="s">
        <v>212</v>
      </c>
      <c r="D161" s="2" t="s">
        <v>213</v>
      </c>
      <c r="E161" s="2" t="s">
        <v>214</v>
      </c>
      <c r="F161" s="3">
        <v>45597</v>
      </c>
      <c r="G161" s="2" t="s">
        <v>27</v>
      </c>
      <c r="H161" s="4">
        <v>6</v>
      </c>
      <c r="I161" s="2" t="s">
        <v>30</v>
      </c>
      <c r="J161" s="2" t="s">
        <v>172</v>
      </c>
      <c r="K161" s="2" t="s">
        <v>175</v>
      </c>
      <c r="L161" s="2" t="s">
        <v>41</v>
      </c>
      <c r="M161" s="2" t="s">
        <v>43</v>
      </c>
      <c r="N161" s="7">
        <v>11</v>
      </c>
      <c r="O161" s="4">
        <v>11</v>
      </c>
      <c r="P161" s="7">
        <v>1</v>
      </c>
      <c r="Q161" s="4">
        <v>1</v>
      </c>
      <c r="R161" s="2" t="s">
        <v>29</v>
      </c>
      <c r="S161" s="2"/>
      <c r="T161" s="4">
        <f>IF(R161&lt;&gt;"Observed","",SUMIFS($O$3:O161,$C$3:C161,C161,$R$3:R161,"Observed"))</f>
        <v>47</v>
      </c>
      <c r="U161" s="4">
        <f>IF(R161&lt;&gt;"Observed","",SUMIFS($Q$3:Q161,$C$3:C161,C161,$R$3:R161,"Observed"))</f>
        <v>4</v>
      </c>
      <c r="V161" s="4">
        <f t="shared" si="2"/>
        <v>43</v>
      </c>
    </row>
    <row r="162" spans="1:22">
      <c r="A162" s="2" t="s">
        <v>23</v>
      </c>
      <c r="B162" s="4">
        <v>10</v>
      </c>
      <c r="C162" s="2" t="s">
        <v>212</v>
      </c>
      <c r="D162" s="2" t="s">
        <v>213</v>
      </c>
      <c r="E162" s="2" t="s">
        <v>214</v>
      </c>
      <c r="F162" s="3">
        <v>45597</v>
      </c>
      <c r="G162" s="2" t="s">
        <v>27</v>
      </c>
      <c r="H162" s="4">
        <v>7</v>
      </c>
      <c r="I162" s="2" t="s">
        <v>30</v>
      </c>
      <c r="J162" s="2" t="s">
        <v>175</v>
      </c>
      <c r="K162" s="2" t="s">
        <v>177</v>
      </c>
      <c r="L162" s="2" t="s">
        <v>43</v>
      </c>
      <c r="M162" s="2" t="s">
        <v>45</v>
      </c>
      <c r="N162" s="7">
        <v>13</v>
      </c>
      <c r="O162" s="4">
        <v>13</v>
      </c>
      <c r="P162" s="7">
        <v>3</v>
      </c>
      <c r="Q162" s="4">
        <v>3</v>
      </c>
      <c r="R162" s="2" t="s">
        <v>29</v>
      </c>
      <c r="S162" s="2"/>
      <c r="T162" s="4">
        <f>IF(R162&lt;&gt;"Observed","",SUMIFS($O$3:O162,$C$3:C162,C162,$R$3:R162,"Observed"))</f>
        <v>60</v>
      </c>
      <c r="U162" s="4">
        <f>IF(R162&lt;&gt;"Observed","",SUMIFS($Q$3:Q162,$C$3:C162,C162,$R$3:R162,"Observed"))</f>
        <v>7</v>
      </c>
      <c r="V162" s="4">
        <f t="shared" si="2"/>
        <v>53</v>
      </c>
    </row>
    <row r="163" spans="1:22">
      <c r="A163" s="2" t="s">
        <v>23</v>
      </c>
      <c r="B163" s="4">
        <v>10</v>
      </c>
      <c r="C163" s="2" t="s">
        <v>212</v>
      </c>
      <c r="D163" s="2" t="s">
        <v>213</v>
      </c>
      <c r="E163" s="2" t="s">
        <v>214</v>
      </c>
      <c r="F163" s="3">
        <v>45597</v>
      </c>
      <c r="G163" s="2" t="s">
        <v>27</v>
      </c>
      <c r="H163" s="4">
        <v>8</v>
      </c>
      <c r="I163" s="2" t="s">
        <v>30</v>
      </c>
      <c r="J163" s="2" t="s">
        <v>177</v>
      </c>
      <c r="K163" s="2" t="s">
        <v>178</v>
      </c>
      <c r="L163" s="2" t="s">
        <v>45</v>
      </c>
      <c r="M163" s="2" t="s">
        <v>48</v>
      </c>
      <c r="N163" s="7">
        <v>13</v>
      </c>
      <c r="O163" s="4">
        <v>13</v>
      </c>
      <c r="P163" s="7">
        <v>6</v>
      </c>
      <c r="Q163" s="4">
        <v>6</v>
      </c>
      <c r="R163" s="2" t="s">
        <v>29</v>
      </c>
      <c r="S163" s="2"/>
      <c r="T163" s="4">
        <f>IF(R163&lt;&gt;"Observed","",SUMIFS($O$3:O163,$C$3:C163,C163,$R$3:R163,"Observed"))</f>
        <v>73</v>
      </c>
      <c r="U163" s="4">
        <f>IF(R163&lt;&gt;"Observed","",SUMIFS($Q$3:Q163,$C$3:C163,C163,$R$3:R163,"Observed"))</f>
        <v>13</v>
      </c>
      <c r="V163" s="4">
        <f t="shared" si="2"/>
        <v>60</v>
      </c>
    </row>
    <row r="164" spans="1:22">
      <c r="A164" s="2" t="s">
        <v>23</v>
      </c>
      <c r="B164" s="4">
        <v>10</v>
      </c>
      <c r="C164" s="2" t="s">
        <v>212</v>
      </c>
      <c r="D164" s="2" t="s">
        <v>213</v>
      </c>
      <c r="E164" s="2" t="s">
        <v>214</v>
      </c>
      <c r="F164" s="3">
        <v>45597</v>
      </c>
      <c r="G164" s="2" t="s">
        <v>27</v>
      </c>
      <c r="H164" s="4">
        <v>9</v>
      </c>
      <c r="I164" s="2" t="s">
        <v>30</v>
      </c>
      <c r="J164" s="2" t="s">
        <v>178</v>
      </c>
      <c r="K164" s="2" t="s">
        <v>215</v>
      </c>
      <c r="L164" s="2" t="s">
        <v>48</v>
      </c>
      <c r="M164" s="2" t="s">
        <v>50</v>
      </c>
      <c r="N164" s="7">
        <v>12</v>
      </c>
      <c r="O164" s="4">
        <v>12</v>
      </c>
      <c r="P164" s="7">
        <v>12</v>
      </c>
      <c r="Q164" s="4">
        <v>12</v>
      </c>
      <c r="R164" s="2" t="s">
        <v>29</v>
      </c>
      <c r="S164" s="2"/>
      <c r="T164" s="4">
        <f>IF(R164&lt;&gt;"Observed","",SUMIFS($O$3:O164,$C$3:C164,C164,$R$3:R164,"Observed"))</f>
        <v>85</v>
      </c>
      <c r="U164" s="4">
        <f>IF(R164&lt;&gt;"Observed","",SUMIFS($Q$3:Q164,$C$3:C164,C164,$R$3:R164,"Observed"))</f>
        <v>25</v>
      </c>
      <c r="V164" s="4">
        <f t="shared" si="2"/>
        <v>60</v>
      </c>
    </row>
    <row r="165" spans="1:22">
      <c r="A165" s="2" t="s">
        <v>23</v>
      </c>
      <c r="B165" s="4">
        <v>10</v>
      </c>
      <c r="C165" s="2" t="s">
        <v>212</v>
      </c>
      <c r="D165" s="2" t="s">
        <v>213</v>
      </c>
      <c r="E165" s="2" t="s">
        <v>214</v>
      </c>
      <c r="F165" s="3">
        <v>45597</v>
      </c>
      <c r="G165" s="2" t="s">
        <v>27</v>
      </c>
      <c r="H165" s="4">
        <v>10</v>
      </c>
      <c r="I165" s="2" t="s">
        <v>30</v>
      </c>
      <c r="J165" s="2" t="s">
        <v>215</v>
      </c>
      <c r="K165" s="2" t="s">
        <v>216</v>
      </c>
      <c r="L165" s="2" t="s">
        <v>50</v>
      </c>
      <c r="M165" s="2" t="s">
        <v>52</v>
      </c>
      <c r="N165" s="7">
        <v>7</v>
      </c>
      <c r="O165" s="4">
        <v>7</v>
      </c>
      <c r="P165" s="7">
        <v>15</v>
      </c>
      <c r="Q165" s="4">
        <v>15</v>
      </c>
      <c r="R165" s="2" t="s">
        <v>29</v>
      </c>
      <c r="S165" s="2"/>
      <c r="T165" s="4">
        <f>IF(R165&lt;&gt;"Observed","",SUMIFS($O$3:O165,$C$3:C165,C165,$R$3:R165,"Observed"))</f>
        <v>92</v>
      </c>
      <c r="U165" s="4">
        <f>IF(R165&lt;&gt;"Observed","",SUMIFS($Q$3:Q165,$C$3:C165,C165,$R$3:R165,"Observed"))</f>
        <v>40</v>
      </c>
      <c r="V165" s="4">
        <f t="shared" si="2"/>
        <v>52</v>
      </c>
    </row>
    <row r="166" spans="1:22">
      <c r="A166" s="2" t="s">
        <v>23</v>
      </c>
      <c r="B166" s="4">
        <v>10</v>
      </c>
      <c r="C166" s="2" t="s">
        <v>212</v>
      </c>
      <c r="D166" s="2" t="s">
        <v>213</v>
      </c>
      <c r="E166" s="2" t="s">
        <v>214</v>
      </c>
      <c r="F166" s="3">
        <v>45597</v>
      </c>
      <c r="G166" s="2" t="s">
        <v>27</v>
      </c>
      <c r="H166" s="4">
        <v>11</v>
      </c>
      <c r="I166" s="2" t="s">
        <v>30</v>
      </c>
      <c r="J166" s="2" t="s">
        <v>216</v>
      </c>
      <c r="K166" s="2" t="s">
        <v>217</v>
      </c>
      <c r="L166" s="2" t="s">
        <v>52</v>
      </c>
      <c r="M166" s="2" t="s">
        <v>54</v>
      </c>
      <c r="N166" s="7">
        <v>5</v>
      </c>
      <c r="O166" s="4">
        <v>5</v>
      </c>
      <c r="P166" s="7">
        <v>15</v>
      </c>
      <c r="Q166" s="4">
        <v>15</v>
      </c>
      <c r="R166" s="2" t="s">
        <v>29</v>
      </c>
      <c r="S166" s="2"/>
      <c r="T166" s="4">
        <f>IF(R166&lt;&gt;"Observed","",SUMIFS($O$3:O166,$C$3:C166,C166,$R$3:R166,"Observed"))</f>
        <v>97</v>
      </c>
      <c r="U166" s="4">
        <f>IF(R166&lt;&gt;"Observed","",SUMIFS($Q$3:Q166,$C$3:C166,C166,$R$3:R166,"Observed"))</f>
        <v>55</v>
      </c>
      <c r="V166" s="4">
        <f t="shared" si="2"/>
        <v>42</v>
      </c>
    </row>
    <row r="167" spans="1:22">
      <c r="A167" s="2" t="s">
        <v>23</v>
      </c>
      <c r="B167" s="4">
        <v>10</v>
      </c>
      <c r="C167" s="2" t="s">
        <v>212</v>
      </c>
      <c r="D167" s="2" t="s">
        <v>213</v>
      </c>
      <c r="E167" s="2" t="s">
        <v>214</v>
      </c>
      <c r="F167" s="3">
        <v>45597</v>
      </c>
      <c r="G167" s="2" t="s">
        <v>27</v>
      </c>
      <c r="H167" s="4">
        <v>12</v>
      </c>
      <c r="I167" s="2" t="s">
        <v>30</v>
      </c>
      <c r="J167" s="2" t="s">
        <v>217</v>
      </c>
      <c r="K167" s="2" t="s">
        <v>218</v>
      </c>
      <c r="L167" s="2" t="s">
        <v>54</v>
      </c>
      <c r="M167" s="2" t="s">
        <v>57</v>
      </c>
      <c r="N167" s="7">
        <v>3</v>
      </c>
      <c r="O167" s="4">
        <v>3</v>
      </c>
      <c r="P167" s="7">
        <v>11</v>
      </c>
      <c r="Q167" s="4">
        <v>11</v>
      </c>
      <c r="R167" s="2" t="s">
        <v>29</v>
      </c>
      <c r="S167" s="2"/>
      <c r="T167" s="4">
        <f>IF(R167&lt;&gt;"Observed","",SUMIFS($O$3:O167,$C$3:C167,C167,$R$3:R167,"Observed"))</f>
        <v>100</v>
      </c>
      <c r="U167" s="4">
        <f>IF(R167&lt;&gt;"Observed","",SUMIFS($Q$3:Q167,$C$3:C167,C167,$R$3:R167,"Observed"))</f>
        <v>66</v>
      </c>
      <c r="V167" s="4">
        <f t="shared" si="2"/>
        <v>34</v>
      </c>
    </row>
    <row r="168" spans="1:22">
      <c r="A168" s="2" t="s">
        <v>23</v>
      </c>
      <c r="B168" s="4">
        <v>10</v>
      </c>
      <c r="C168" s="2" t="s">
        <v>212</v>
      </c>
      <c r="D168" s="2" t="s">
        <v>213</v>
      </c>
      <c r="E168" s="2" t="s">
        <v>214</v>
      </c>
      <c r="F168" s="3">
        <v>45597</v>
      </c>
      <c r="G168" s="2" t="s">
        <v>27</v>
      </c>
      <c r="H168" s="4">
        <v>13</v>
      </c>
      <c r="I168" s="2" t="s">
        <v>30</v>
      </c>
      <c r="J168" s="2" t="s">
        <v>218</v>
      </c>
      <c r="K168" s="2" t="s">
        <v>219</v>
      </c>
      <c r="L168" s="2" t="s">
        <v>57</v>
      </c>
      <c r="M168" s="2" t="s">
        <v>59</v>
      </c>
      <c r="N168" s="7">
        <v>1</v>
      </c>
      <c r="O168" s="4">
        <v>1</v>
      </c>
      <c r="P168" s="7">
        <v>11</v>
      </c>
      <c r="Q168" s="4">
        <v>11</v>
      </c>
      <c r="R168" s="2" t="s">
        <v>29</v>
      </c>
      <c r="S168" s="2"/>
      <c r="T168" s="4">
        <f>IF(R168&lt;&gt;"Observed","",SUMIFS($O$3:O168,$C$3:C168,C168,$R$3:R168,"Observed"))</f>
        <v>101</v>
      </c>
      <c r="U168" s="4">
        <f>IF(R168&lt;&gt;"Observed","",SUMIFS($Q$3:Q168,$C$3:C168,C168,$R$3:R168,"Observed"))</f>
        <v>77</v>
      </c>
      <c r="V168" s="4">
        <f t="shared" si="2"/>
        <v>24</v>
      </c>
    </row>
    <row r="169" spans="1:22">
      <c r="A169" s="2" t="s">
        <v>23</v>
      </c>
      <c r="B169" s="4">
        <v>10</v>
      </c>
      <c r="C169" s="2" t="s">
        <v>212</v>
      </c>
      <c r="D169" s="2" t="s">
        <v>213</v>
      </c>
      <c r="E169" s="2" t="s">
        <v>214</v>
      </c>
      <c r="F169" s="3">
        <v>45597</v>
      </c>
      <c r="G169" s="2" t="s">
        <v>27</v>
      </c>
      <c r="H169" s="4">
        <v>14</v>
      </c>
      <c r="I169" s="2" t="s">
        <v>30</v>
      </c>
      <c r="J169" s="2" t="s">
        <v>219</v>
      </c>
      <c r="K169" s="2" t="s">
        <v>220</v>
      </c>
      <c r="L169" s="2" t="s">
        <v>59</v>
      </c>
      <c r="M169" s="2" t="s">
        <v>57</v>
      </c>
      <c r="N169" s="7">
        <v>4</v>
      </c>
      <c r="O169" s="4">
        <v>4</v>
      </c>
      <c r="P169" s="7">
        <v>11</v>
      </c>
      <c r="Q169" s="4">
        <v>11</v>
      </c>
      <c r="R169" s="2" t="s">
        <v>29</v>
      </c>
      <c r="S169" s="2"/>
      <c r="T169" s="4">
        <f>IF(R169&lt;&gt;"Observed","",SUMIFS($O$3:O169,$C$3:C169,C169,$R$3:R169,"Observed"))</f>
        <v>105</v>
      </c>
      <c r="U169" s="4">
        <f>IF(R169&lt;&gt;"Observed","",SUMIFS($Q$3:Q169,$C$3:C169,C169,$R$3:R169,"Observed"))</f>
        <v>88</v>
      </c>
      <c r="V169" s="4">
        <f t="shared" si="2"/>
        <v>17</v>
      </c>
    </row>
    <row r="170" spans="1:22">
      <c r="A170" s="2" t="s">
        <v>23</v>
      </c>
      <c r="B170" s="4">
        <v>10</v>
      </c>
      <c r="C170" s="2" t="s">
        <v>212</v>
      </c>
      <c r="D170" s="2" t="s">
        <v>213</v>
      </c>
      <c r="E170" s="2" t="s">
        <v>214</v>
      </c>
      <c r="F170" s="3">
        <v>45597</v>
      </c>
      <c r="G170" s="2" t="s">
        <v>27</v>
      </c>
      <c r="H170" s="4">
        <v>15</v>
      </c>
      <c r="I170" s="2" t="s">
        <v>30</v>
      </c>
      <c r="J170" s="2" t="s">
        <v>220</v>
      </c>
      <c r="K170" s="2" t="s">
        <v>221</v>
      </c>
      <c r="L170" s="2" t="s">
        <v>57</v>
      </c>
      <c r="M170" s="2" t="s">
        <v>54</v>
      </c>
      <c r="N170" s="7">
        <v>2</v>
      </c>
      <c r="O170" s="4">
        <v>2</v>
      </c>
      <c r="P170" s="7">
        <v>3</v>
      </c>
      <c r="Q170" s="4">
        <v>3</v>
      </c>
      <c r="R170" s="2" t="s">
        <v>29</v>
      </c>
      <c r="S170" s="2"/>
      <c r="T170" s="4">
        <f>IF(R170&lt;&gt;"Observed","",SUMIFS($O$3:O170,$C$3:C170,C170,$R$3:R170,"Observed"))</f>
        <v>107</v>
      </c>
      <c r="U170" s="4">
        <f>IF(R170&lt;&gt;"Observed","",SUMIFS($Q$3:Q170,$C$3:C170,C170,$R$3:R170,"Observed"))</f>
        <v>91</v>
      </c>
      <c r="V170" s="4">
        <f t="shared" si="2"/>
        <v>16</v>
      </c>
    </row>
    <row r="171" spans="1:22">
      <c r="A171" s="2" t="s">
        <v>23</v>
      </c>
      <c r="B171" s="4">
        <v>10</v>
      </c>
      <c r="C171" s="2" t="s">
        <v>212</v>
      </c>
      <c r="D171" s="2" t="s">
        <v>213</v>
      </c>
      <c r="E171" s="2" t="s">
        <v>214</v>
      </c>
      <c r="F171" s="3">
        <v>45597</v>
      </c>
      <c r="G171" s="2" t="s">
        <v>27</v>
      </c>
      <c r="H171" s="4">
        <v>16</v>
      </c>
      <c r="I171" s="2" t="s">
        <v>30</v>
      </c>
      <c r="J171" s="2" t="s">
        <v>221</v>
      </c>
      <c r="K171" s="2" t="s">
        <v>222</v>
      </c>
      <c r="L171" s="2" t="s">
        <v>54</v>
      </c>
      <c r="M171" s="2" t="s">
        <v>52</v>
      </c>
      <c r="N171" s="2" t="s">
        <v>73</v>
      </c>
      <c r="O171" s="4"/>
      <c r="P171" s="2" t="s">
        <v>73</v>
      </c>
      <c r="Q171" s="4"/>
      <c r="R171" s="2" t="s">
        <v>113</v>
      </c>
      <c r="S171" s="2" t="s">
        <v>179</v>
      </c>
      <c r="T171" s="4" t="str">
        <f>IF(R171&lt;&gt;"Observed","",SUMIFS($O$3:O171,$C$3:C171,C171,$R$3:R171,"Observed"))</f>
        <v/>
      </c>
      <c r="U171" s="4" t="str">
        <f>IF(R171&lt;&gt;"Observed","",SUMIFS($Q$3:Q171,$C$3:C171,C171,$R$3:R171,"Observed"))</f>
        <v/>
      </c>
      <c r="V171" s="4" t="str">
        <f t="shared" si="2"/>
        <v/>
      </c>
    </row>
    <row r="172" spans="1:22">
      <c r="A172" s="2" t="s">
        <v>23</v>
      </c>
      <c r="B172" s="4">
        <v>10</v>
      </c>
      <c r="C172" s="2" t="s">
        <v>212</v>
      </c>
      <c r="D172" s="2" t="s">
        <v>213</v>
      </c>
      <c r="E172" s="2" t="s">
        <v>214</v>
      </c>
      <c r="F172" s="3">
        <v>45597</v>
      </c>
      <c r="G172" s="2" t="s">
        <v>27</v>
      </c>
      <c r="H172" s="4">
        <v>17</v>
      </c>
      <c r="I172" s="2" t="s">
        <v>30</v>
      </c>
      <c r="J172" s="2" t="s">
        <v>222</v>
      </c>
      <c r="K172" s="2" t="s">
        <v>223</v>
      </c>
      <c r="L172" s="2" t="s">
        <v>52</v>
      </c>
      <c r="M172" s="2" t="s">
        <v>50</v>
      </c>
      <c r="N172" s="2" t="s">
        <v>73</v>
      </c>
      <c r="O172" s="4"/>
      <c r="P172" s="2" t="s">
        <v>73</v>
      </c>
      <c r="Q172" s="4"/>
      <c r="R172" s="2" t="s">
        <v>113</v>
      </c>
      <c r="S172" s="2" t="s">
        <v>179</v>
      </c>
      <c r="T172" s="4" t="str">
        <f>IF(R172&lt;&gt;"Observed","",SUMIFS($O$3:O172,$C$3:C172,C172,$R$3:R172,"Observed"))</f>
        <v/>
      </c>
      <c r="U172" s="4" t="str">
        <f>IF(R172&lt;&gt;"Observed","",SUMIFS($Q$3:Q172,$C$3:C172,C172,$R$3:R172,"Observed"))</f>
        <v/>
      </c>
      <c r="V172" s="4" t="str">
        <f t="shared" si="2"/>
        <v/>
      </c>
    </row>
    <row r="173" spans="1:22">
      <c r="A173" s="2" t="s">
        <v>23</v>
      </c>
      <c r="B173" s="4">
        <v>11</v>
      </c>
      <c r="C173" s="2" t="s">
        <v>224</v>
      </c>
      <c r="D173" s="2" t="s">
        <v>213</v>
      </c>
      <c r="E173" s="2" t="s">
        <v>214</v>
      </c>
      <c r="F173" s="3">
        <v>45716</v>
      </c>
      <c r="G173" s="2" t="s">
        <v>225</v>
      </c>
      <c r="H173" s="4">
        <v>1</v>
      </c>
      <c r="I173" s="2" t="s">
        <v>28</v>
      </c>
      <c r="J173" s="2" t="s">
        <v>28</v>
      </c>
      <c r="K173" s="2"/>
      <c r="L173" s="2"/>
      <c r="M173" s="2"/>
      <c r="N173" s="7">
        <v>20</v>
      </c>
      <c r="O173" s="4">
        <v>20</v>
      </c>
      <c r="P173" s="7">
        <v>0</v>
      </c>
      <c r="Q173" s="4">
        <v>0</v>
      </c>
      <c r="R173" s="2" t="s">
        <v>29</v>
      </c>
      <c r="S173" s="2"/>
      <c r="T173" s="4">
        <f>IF(R173&lt;&gt;"Observed","",SUMIFS($O$3:O173,$C$3:C173,C173,$R$3:R173,"Observed"))</f>
        <v>20</v>
      </c>
      <c r="U173" s="4">
        <f>IF(R173&lt;&gt;"Observed","",SUMIFS($Q$3:Q173,$C$3:C173,C173,$R$3:R173,"Observed"))</f>
        <v>0</v>
      </c>
      <c r="V173" s="4">
        <f t="shared" si="2"/>
        <v>20</v>
      </c>
    </row>
    <row r="174" spans="1:22">
      <c r="A174" s="2" t="s">
        <v>23</v>
      </c>
      <c r="B174" s="4">
        <v>11</v>
      </c>
      <c r="C174" s="2" t="s">
        <v>224</v>
      </c>
      <c r="D174" s="2" t="s">
        <v>213</v>
      </c>
      <c r="E174" s="2" t="s">
        <v>214</v>
      </c>
      <c r="F174" s="3">
        <v>45716</v>
      </c>
      <c r="G174" s="2" t="s">
        <v>225</v>
      </c>
      <c r="H174" s="4">
        <v>2</v>
      </c>
      <c r="I174" s="2" t="s">
        <v>30</v>
      </c>
      <c r="J174" s="2" t="s">
        <v>226</v>
      </c>
      <c r="K174" s="2" t="s">
        <v>227</v>
      </c>
      <c r="L174" s="2" t="s">
        <v>33</v>
      </c>
      <c r="M174" s="2" t="s">
        <v>34</v>
      </c>
      <c r="N174" s="7">
        <v>20</v>
      </c>
      <c r="O174" s="4">
        <v>20</v>
      </c>
      <c r="P174" s="7">
        <v>0</v>
      </c>
      <c r="Q174" s="4">
        <v>0</v>
      </c>
      <c r="R174" s="2" t="s">
        <v>29</v>
      </c>
      <c r="S174" s="2"/>
      <c r="T174" s="4">
        <f>IF(R174&lt;&gt;"Observed","",SUMIFS($O$3:O174,$C$3:C174,C174,$R$3:R174,"Observed"))</f>
        <v>40</v>
      </c>
      <c r="U174" s="4">
        <f>IF(R174&lt;&gt;"Observed","",SUMIFS($Q$3:Q174,$C$3:C174,C174,$R$3:R174,"Observed"))</f>
        <v>0</v>
      </c>
      <c r="V174" s="4">
        <f t="shared" si="2"/>
        <v>40</v>
      </c>
    </row>
    <row r="175" spans="1:22">
      <c r="A175" s="2" t="s">
        <v>23</v>
      </c>
      <c r="B175" s="4">
        <v>11</v>
      </c>
      <c r="C175" s="2" t="s">
        <v>224</v>
      </c>
      <c r="D175" s="2" t="s">
        <v>213</v>
      </c>
      <c r="E175" s="2" t="s">
        <v>214</v>
      </c>
      <c r="F175" s="3">
        <v>45716</v>
      </c>
      <c r="G175" s="2" t="s">
        <v>225</v>
      </c>
      <c r="H175" s="4">
        <v>3</v>
      </c>
      <c r="I175" s="2" t="s">
        <v>30</v>
      </c>
      <c r="J175" s="2" t="s">
        <v>227</v>
      </c>
      <c r="K175" s="2" t="s">
        <v>228</v>
      </c>
      <c r="L175" s="2" t="s">
        <v>34</v>
      </c>
      <c r="M175" s="2" t="s">
        <v>37</v>
      </c>
      <c r="N175" s="7">
        <v>23</v>
      </c>
      <c r="O175" s="4">
        <v>23</v>
      </c>
      <c r="P175" s="7">
        <v>1</v>
      </c>
      <c r="Q175" s="4">
        <v>1</v>
      </c>
      <c r="R175" s="2" t="s">
        <v>29</v>
      </c>
      <c r="S175" s="2"/>
      <c r="T175" s="4">
        <f>IF(R175&lt;&gt;"Observed","",SUMIFS($O$3:O175,$C$3:C175,C175,$R$3:R175,"Observed"))</f>
        <v>63</v>
      </c>
      <c r="U175" s="4">
        <f>IF(R175&lt;&gt;"Observed","",SUMIFS($Q$3:Q175,$C$3:C175,C175,$R$3:R175,"Observed"))</f>
        <v>1</v>
      </c>
      <c r="V175" s="4">
        <f t="shared" si="2"/>
        <v>62</v>
      </c>
    </row>
    <row r="176" spans="1:22">
      <c r="A176" s="2" t="s">
        <v>23</v>
      </c>
      <c r="B176" s="4">
        <v>11</v>
      </c>
      <c r="C176" s="2" t="s">
        <v>224</v>
      </c>
      <c r="D176" s="2" t="s">
        <v>213</v>
      </c>
      <c r="E176" s="2" t="s">
        <v>214</v>
      </c>
      <c r="F176" s="3">
        <v>45716</v>
      </c>
      <c r="G176" s="2" t="s">
        <v>225</v>
      </c>
      <c r="H176" s="4">
        <v>4</v>
      </c>
      <c r="I176" s="2" t="s">
        <v>30</v>
      </c>
      <c r="J176" s="2" t="s">
        <v>228</v>
      </c>
      <c r="K176" s="2" t="s">
        <v>229</v>
      </c>
      <c r="L176" s="2" t="s">
        <v>37</v>
      </c>
      <c r="M176" s="2" t="s">
        <v>39</v>
      </c>
      <c r="N176" s="7">
        <v>29</v>
      </c>
      <c r="O176" s="4">
        <v>29</v>
      </c>
      <c r="P176" s="7">
        <v>1</v>
      </c>
      <c r="Q176" s="4">
        <v>1</v>
      </c>
      <c r="R176" s="2" t="s">
        <v>29</v>
      </c>
      <c r="S176" s="2"/>
      <c r="T176" s="4">
        <f>IF(R176&lt;&gt;"Observed","",SUMIFS($O$3:O176,$C$3:C176,C176,$R$3:R176,"Observed"))</f>
        <v>92</v>
      </c>
      <c r="U176" s="4">
        <f>IF(R176&lt;&gt;"Observed","",SUMIFS($Q$3:Q176,$C$3:C176,C176,$R$3:R176,"Observed"))</f>
        <v>2</v>
      </c>
      <c r="V176" s="4">
        <f t="shared" si="2"/>
        <v>90</v>
      </c>
    </row>
    <row r="177" spans="1:22">
      <c r="A177" s="2" t="s">
        <v>23</v>
      </c>
      <c r="B177" s="4">
        <v>11</v>
      </c>
      <c r="C177" s="2" t="s">
        <v>224</v>
      </c>
      <c r="D177" s="2" t="s">
        <v>213</v>
      </c>
      <c r="E177" s="2" t="s">
        <v>214</v>
      </c>
      <c r="F177" s="3">
        <v>45716</v>
      </c>
      <c r="G177" s="2" t="s">
        <v>225</v>
      </c>
      <c r="H177" s="4">
        <v>5</v>
      </c>
      <c r="I177" s="2" t="s">
        <v>30</v>
      </c>
      <c r="J177" s="2" t="s">
        <v>229</v>
      </c>
      <c r="K177" s="2" t="s">
        <v>230</v>
      </c>
      <c r="L177" s="2" t="s">
        <v>39</v>
      </c>
      <c r="M177" s="2" t="s">
        <v>41</v>
      </c>
      <c r="N177" s="7">
        <v>25</v>
      </c>
      <c r="O177" s="4">
        <v>25</v>
      </c>
      <c r="P177" s="7">
        <v>3</v>
      </c>
      <c r="Q177" s="4">
        <v>3</v>
      </c>
      <c r="R177" s="2" t="s">
        <v>29</v>
      </c>
      <c r="S177" s="2"/>
      <c r="T177" s="4">
        <f>IF(R177&lt;&gt;"Observed","",SUMIFS($O$3:O177,$C$3:C177,C177,$R$3:R177,"Observed"))</f>
        <v>117</v>
      </c>
      <c r="U177" s="4">
        <f>IF(R177&lt;&gt;"Observed","",SUMIFS($Q$3:Q177,$C$3:C177,C177,$R$3:R177,"Observed"))</f>
        <v>5</v>
      </c>
      <c r="V177" s="4">
        <f t="shared" si="2"/>
        <v>112</v>
      </c>
    </row>
    <row r="178" spans="1:22">
      <c r="A178" s="2" t="s">
        <v>23</v>
      </c>
      <c r="B178" s="4">
        <v>11</v>
      </c>
      <c r="C178" s="2" t="s">
        <v>224</v>
      </c>
      <c r="D178" s="2" t="s">
        <v>213</v>
      </c>
      <c r="E178" s="2" t="s">
        <v>214</v>
      </c>
      <c r="F178" s="3">
        <v>45716</v>
      </c>
      <c r="G178" s="2" t="s">
        <v>225</v>
      </c>
      <c r="H178" s="4">
        <v>6</v>
      </c>
      <c r="I178" s="2" t="s">
        <v>30</v>
      </c>
      <c r="J178" s="2" t="s">
        <v>230</v>
      </c>
      <c r="K178" s="2" t="s">
        <v>231</v>
      </c>
      <c r="L178" s="2" t="s">
        <v>41</v>
      </c>
      <c r="M178" s="2" t="s">
        <v>43</v>
      </c>
      <c r="N178" s="7">
        <v>16</v>
      </c>
      <c r="O178" s="4">
        <v>16</v>
      </c>
      <c r="P178" s="7">
        <v>3</v>
      </c>
      <c r="Q178" s="4">
        <v>3</v>
      </c>
      <c r="R178" s="2" t="s">
        <v>29</v>
      </c>
      <c r="S178" s="2"/>
      <c r="T178" s="4">
        <f>IF(R178&lt;&gt;"Observed","",SUMIFS($O$3:O178,$C$3:C178,C178,$R$3:R178,"Observed"))</f>
        <v>133</v>
      </c>
      <c r="U178" s="4">
        <f>IF(R178&lt;&gt;"Observed","",SUMIFS($Q$3:Q178,$C$3:C178,C178,$R$3:R178,"Observed"))</f>
        <v>8</v>
      </c>
      <c r="V178" s="4">
        <f t="shared" si="2"/>
        <v>125</v>
      </c>
    </row>
    <row r="179" spans="1:22">
      <c r="A179" s="2" t="s">
        <v>23</v>
      </c>
      <c r="B179" s="4">
        <v>11</v>
      </c>
      <c r="C179" s="2" t="s">
        <v>224</v>
      </c>
      <c r="D179" s="2" t="s">
        <v>213</v>
      </c>
      <c r="E179" s="2" t="s">
        <v>214</v>
      </c>
      <c r="F179" s="3">
        <v>45716</v>
      </c>
      <c r="G179" s="2" t="s">
        <v>225</v>
      </c>
      <c r="H179" s="4">
        <v>7</v>
      </c>
      <c r="I179" s="2" t="s">
        <v>30</v>
      </c>
      <c r="J179" s="2" t="s">
        <v>231</v>
      </c>
      <c r="K179" s="2" t="s">
        <v>232</v>
      </c>
      <c r="L179" s="2" t="s">
        <v>43</v>
      </c>
      <c r="M179" s="2" t="s">
        <v>45</v>
      </c>
      <c r="N179" s="7">
        <v>25</v>
      </c>
      <c r="O179" s="4">
        <v>25</v>
      </c>
      <c r="P179" s="7">
        <v>10</v>
      </c>
      <c r="Q179" s="4">
        <v>10</v>
      </c>
      <c r="R179" s="2" t="s">
        <v>29</v>
      </c>
      <c r="S179" s="2"/>
      <c r="T179" s="4">
        <f>IF(R179&lt;&gt;"Observed","",SUMIFS($O$3:O179,$C$3:C179,C179,$R$3:R179,"Observed"))</f>
        <v>158</v>
      </c>
      <c r="U179" s="4">
        <f>IF(R179&lt;&gt;"Observed","",SUMIFS($Q$3:Q179,$C$3:C179,C179,$R$3:R179,"Observed"))</f>
        <v>18</v>
      </c>
      <c r="V179" s="4">
        <f t="shared" si="2"/>
        <v>140</v>
      </c>
    </row>
    <row r="180" spans="1:22">
      <c r="A180" s="2" t="s">
        <v>23</v>
      </c>
      <c r="B180" s="4">
        <v>11</v>
      </c>
      <c r="C180" s="2" t="s">
        <v>224</v>
      </c>
      <c r="D180" s="2" t="s">
        <v>213</v>
      </c>
      <c r="E180" s="2" t="s">
        <v>214</v>
      </c>
      <c r="F180" s="3">
        <v>45716</v>
      </c>
      <c r="G180" s="2" t="s">
        <v>225</v>
      </c>
      <c r="H180" s="4">
        <v>8</v>
      </c>
      <c r="I180" s="2" t="s">
        <v>30</v>
      </c>
      <c r="J180" s="2" t="s">
        <v>232</v>
      </c>
      <c r="K180" s="2" t="s">
        <v>233</v>
      </c>
      <c r="L180" s="2" t="s">
        <v>45</v>
      </c>
      <c r="M180" s="2" t="s">
        <v>48</v>
      </c>
      <c r="N180" s="7">
        <v>27</v>
      </c>
      <c r="O180" s="4">
        <v>27</v>
      </c>
      <c r="P180" s="7">
        <v>9</v>
      </c>
      <c r="Q180" s="4">
        <v>9</v>
      </c>
      <c r="R180" s="2" t="s">
        <v>29</v>
      </c>
      <c r="S180" s="2"/>
      <c r="T180" s="4">
        <f>IF(R180&lt;&gt;"Observed","",SUMIFS($O$3:O180,$C$3:C180,C180,$R$3:R180,"Observed"))</f>
        <v>185</v>
      </c>
      <c r="U180" s="4">
        <f>IF(R180&lt;&gt;"Observed","",SUMIFS($Q$3:Q180,$C$3:C180,C180,$R$3:R180,"Observed"))</f>
        <v>27</v>
      </c>
      <c r="V180" s="4">
        <f t="shared" si="2"/>
        <v>158</v>
      </c>
    </row>
    <row r="181" spans="1:22">
      <c r="A181" s="2" t="s">
        <v>23</v>
      </c>
      <c r="B181" s="4">
        <v>11</v>
      </c>
      <c r="C181" s="2" t="s">
        <v>224</v>
      </c>
      <c r="D181" s="2" t="s">
        <v>213</v>
      </c>
      <c r="E181" s="2" t="s">
        <v>214</v>
      </c>
      <c r="F181" s="3">
        <v>45716</v>
      </c>
      <c r="G181" s="2" t="s">
        <v>225</v>
      </c>
      <c r="H181" s="4">
        <v>9</v>
      </c>
      <c r="I181" s="2" t="s">
        <v>30</v>
      </c>
      <c r="J181" s="2" t="s">
        <v>233</v>
      </c>
      <c r="K181" s="2" t="s">
        <v>234</v>
      </c>
      <c r="L181" s="2" t="s">
        <v>48</v>
      </c>
      <c r="M181" s="2" t="s">
        <v>50</v>
      </c>
      <c r="N181" s="7">
        <v>14</v>
      </c>
      <c r="O181" s="4">
        <v>14</v>
      </c>
      <c r="P181" s="7">
        <v>24</v>
      </c>
      <c r="Q181" s="4">
        <v>24</v>
      </c>
      <c r="R181" s="2" t="s">
        <v>29</v>
      </c>
      <c r="S181" s="2"/>
      <c r="T181" s="4">
        <f>IF(R181&lt;&gt;"Observed","",SUMIFS($O$3:O181,$C$3:C181,C181,$R$3:R181,"Observed"))</f>
        <v>199</v>
      </c>
      <c r="U181" s="4">
        <f>IF(R181&lt;&gt;"Observed","",SUMIFS($Q$3:Q181,$C$3:C181,C181,$R$3:R181,"Observed"))</f>
        <v>51</v>
      </c>
      <c r="V181" s="4">
        <f t="shared" si="2"/>
        <v>148</v>
      </c>
    </row>
    <row r="182" spans="1:22">
      <c r="A182" s="2" t="s">
        <v>23</v>
      </c>
      <c r="B182" s="4">
        <v>11</v>
      </c>
      <c r="C182" s="2" t="s">
        <v>224</v>
      </c>
      <c r="D182" s="2" t="s">
        <v>213</v>
      </c>
      <c r="E182" s="2" t="s">
        <v>214</v>
      </c>
      <c r="F182" s="3">
        <v>45716</v>
      </c>
      <c r="G182" s="2" t="s">
        <v>225</v>
      </c>
      <c r="H182" s="4">
        <v>10</v>
      </c>
      <c r="I182" s="2" t="s">
        <v>30</v>
      </c>
      <c r="J182" s="2" t="s">
        <v>234</v>
      </c>
      <c r="K182" s="2" t="s">
        <v>235</v>
      </c>
      <c r="L182" s="2" t="s">
        <v>50</v>
      </c>
      <c r="M182" s="2" t="s">
        <v>52</v>
      </c>
      <c r="N182" s="7">
        <v>15</v>
      </c>
      <c r="O182" s="4">
        <v>15</v>
      </c>
      <c r="P182" s="7">
        <v>22</v>
      </c>
      <c r="Q182" s="4">
        <v>22</v>
      </c>
      <c r="R182" s="2" t="s">
        <v>29</v>
      </c>
      <c r="S182" s="2"/>
      <c r="T182" s="4">
        <f>IF(R182&lt;&gt;"Observed","",SUMIFS($O$3:O182,$C$3:C182,C182,$R$3:R182,"Observed"))</f>
        <v>214</v>
      </c>
      <c r="U182" s="4">
        <f>IF(R182&lt;&gt;"Observed","",SUMIFS($Q$3:Q182,$C$3:C182,C182,$R$3:R182,"Observed"))</f>
        <v>73</v>
      </c>
      <c r="V182" s="4">
        <f t="shared" si="2"/>
        <v>141</v>
      </c>
    </row>
    <row r="183" spans="1:22">
      <c r="A183" s="2" t="s">
        <v>23</v>
      </c>
      <c r="B183" s="4">
        <v>11</v>
      </c>
      <c r="C183" s="2" t="s">
        <v>224</v>
      </c>
      <c r="D183" s="2" t="s">
        <v>213</v>
      </c>
      <c r="E183" s="2" t="s">
        <v>214</v>
      </c>
      <c r="F183" s="3">
        <v>45716</v>
      </c>
      <c r="G183" s="2" t="s">
        <v>225</v>
      </c>
      <c r="H183" s="4">
        <v>11</v>
      </c>
      <c r="I183" s="2" t="s">
        <v>30</v>
      </c>
      <c r="J183" s="2" t="s">
        <v>235</v>
      </c>
      <c r="K183" s="2" t="s">
        <v>236</v>
      </c>
      <c r="L183" s="2" t="s">
        <v>52</v>
      </c>
      <c r="M183" s="2" t="s">
        <v>54</v>
      </c>
      <c r="N183" s="7">
        <v>7</v>
      </c>
      <c r="O183" s="4">
        <v>7</v>
      </c>
      <c r="P183" s="7">
        <v>36</v>
      </c>
      <c r="Q183" s="4">
        <v>36</v>
      </c>
      <c r="R183" s="2" t="s">
        <v>29</v>
      </c>
      <c r="S183" s="2"/>
      <c r="T183" s="4">
        <f>IF(R183&lt;&gt;"Observed","",SUMIFS($O$3:O183,$C$3:C183,C183,$R$3:R183,"Observed"))</f>
        <v>221</v>
      </c>
      <c r="U183" s="4">
        <f>IF(R183&lt;&gt;"Observed","",SUMIFS($Q$3:Q183,$C$3:C183,C183,$R$3:R183,"Observed"))</f>
        <v>109</v>
      </c>
      <c r="V183" s="4">
        <f t="shared" si="2"/>
        <v>112</v>
      </c>
    </row>
    <row r="184" spans="1:22">
      <c r="A184" s="2" t="s">
        <v>23</v>
      </c>
      <c r="B184" s="4">
        <v>11</v>
      </c>
      <c r="C184" s="2" t="s">
        <v>224</v>
      </c>
      <c r="D184" s="2" t="s">
        <v>213</v>
      </c>
      <c r="E184" s="2" t="s">
        <v>214</v>
      </c>
      <c r="F184" s="3">
        <v>45716</v>
      </c>
      <c r="G184" s="2" t="s">
        <v>225</v>
      </c>
      <c r="H184" s="4">
        <v>12</v>
      </c>
      <c r="I184" s="2" t="s">
        <v>30</v>
      </c>
      <c r="J184" s="2" t="s">
        <v>236</v>
      </c>
      <c r="K184" s="2" t="s">
        <v>237</v>
      </c>
      <c r="L184" s="2" t="s">
        <v>54</v>
      </c>
      <c r="M184" s="2" t="s">
        <v>57</v>
      </c>
      <c r="N184" s="7">
        <v>6</v>
      </c>
      <c r="O184" s="4">
        <v>6</v>
      </c>
      <c r="P184" s="7">
        <v>41</v>
      </c>
      <c r="Q184" s="4">
        <v>41</v>
      </c>
      <c r="R184" s="2" t="s">
        <v>29</v>
      </c>
      <c r="S184" s="2"/>
      <c r="T184" s="4">
        <f>IF(R184&lt;&gt;"Observed","",SUMIFS($O$3:O184,$C$3:C184,C184,$R$3:R184,"Observed"))</f>
        <v>227</v>
      </c>
      <c r="U184" s="4">
        <f>IF(R184&lt;&gt;"Observed","",SUMIFS($Q$3:Q184,$C$3:C184,C184,$R$3:R184,"Observed"))</f>
        <v>150</v>
      </c>
      <c r="V184" s="4">
        <f t="shared" si="2"/>
        <v>77</v>
      </c>
    </row>
    <row r="185" spans="1:22">
      <c r="A185" s="2" t="s">
        <v>23</v>
      </c>
      <c r="B185" s="4">
        <v>11</v>
      </c>
      <c r="C185" s="2" t="s">
        <v>224</v>
      </c>
      <c r="D185" s="2" t="s">
        <v>213</v>
      </c>
      <c r="E185" s="2" t="s">
        <v>214</v>
      </c>
      <c r="F185" s="3">
        <v>45716</v>
      </c>
      <c r="G185" s="2" t="s">
        <v>225</v>
      </c>
      <c r="H185" s="4">
        <v>13</v>
      </c>
      <c r="I185" s="2" t="s">
        <v>30</v>
      </c>
      <c r="J185" s="2" t="s">
        <v>237</v>
      </c>
      <c r="K185" s="2" t="s">
        <v>238</v>
      </c>
      <c r="L185" s="2" t="s">
        <v>57</v>
      </c>
      <c r="M185" s="2" t="s">
        <v>59</v>
      </c>
      <c r="N185" s="7">
        <v>4</v>
      </c>
      <c r="O185" s="4">
        <v>4</v>
      </c>
      <c r="P185" s="7">
        <v>20</v>
      </c>
      <c r="Q185" s="4">
        <v>20</v>
      </c>
      <c r="R185" s="2" t="s">
        <v>29</v>
      </c>
      <c r="S185" s="2"/>
      <c r="T185" s="4">
        <f>IF(R185&lt;&gt;"Observed","",SUMIFS($O$3:O185,$C$3:C185,C185,$R$3:R185,"Observed"))</f>
        <v>231</v>
      </c>
      <c r="U185" s="4">
        <f>IF(R185&lt;&gt;"Observed","",SUMIFS($Q$3:Q185,$C$3:C185,C185,$R$3:R185,"Observed"))</f>
        <v>170</v>
      </c>
      <c r="V185" s="4">
        <f t="shared" si="2"/>
        <v>61</v>
      </c>
    </row>
    <row r="186" spans="1:22">
      <c r="A186" s="2" t="s">
        <v>23</v>
      </c>
      <c r="B186" s="4">
        <v>11</v>
      </c>
      <c r="C186" s="2" t="s">
        <v>224</v>
      </c>
      <c r="D186" s="2" t="s">
        <v>213</v>
      </c>
      <c r="E186" s="2" t="s">
        <v>214</v>
      </c>
      <c r="F186" s="3">
        <v>45716</v>
      </c>
      <c r="G186" s="2" t="s">
        <v>225</v>
      </c>
      <c r="H186" s="4">
        <v>14</v>
      </c>
      <c r="I186" s="2" t="s">
        <v>30</v>
      </c>
      <c r="J186" s="2" t="s">
        <v>238</v>
      </c>
      <c r="K186" s="2" t="s">
        <v>239</v>
      </c>
      <c r="L186" s="2" t="s">
        <v>59</v>
      </c>
      <c r="M186" s="2" t="s">
        <v>57</v>
      </c>
      <c r="N186" s="7">
        <v>2</v>
      </c>
      <c r="O186" s="4">
        <v>2</v>
      </c>
      <c r="P186" s="7">
        <v>26</v>
      </c>
      <c r="Q186" s="4">
        <v>26</v>
      </c>
      <c r="R186" s="2" t="s">
        <v>29</v>
      </c>
      <c r="S186" s="2"/>
      <c r="T186" s="4">
        <f>IF(R186&lt;&gt;"Observed","",SUMIFS($O$3:O186,$C$3:C186,C186,$R$3:R186,"Observed"))</f>
        <v>233</v>
      </c>
      <c r="U186" s="4">
        <f>IF(R186&lt;&gt;"Observed","",SUMIFS($Q$3:Q186,$C$3:C186,C186,$R$3:R186,"Observed"))</f>
        <v>196</v>
      </c>
      <c r="V186" s="4">
        <f t="shared" si="2"/>
        <v>37</v>
      </c>
    </row>
    <row r="187" spans="1:22">
      <c r="A187" s="2" t="s">
        <v>23</v>
      </c>
      <c r="B187" s="4">
        <v>11</v>
      </c>
      <c r="C187" s="2" t="s">
        <v>224</v>
      </c>
      <c r="D187" s="2" t="s">
        <v>213</v>
      </c>
      <c r="E187" s="2" t="s">
        <v>214</v>
      </c>
      <c r="F187" s="3">
        <v>45716</v>
      </c>
      <c r="G187" s="2" t="s">
        <v>225</v>
      </c>
      <c r="H187" s="4">
        <v>15</v>
      </c>
      <c r="I187" s="2" t="s">
        <v>30</v>
      </c>
      <c r="J187" s="2" t="s">
        <v>239</v>
      </c>
      <c r="K187" s="2" t="s">
        <v>240</v>
      </c>
      <c r="L187" s="2" t="s">
        <v>57</v>
      </c>
      <c r="M187" s="2" t="s">
        <v>54</v>
      </c>
      <c r="N187" s="7">
        <v>1</v>
      </c>
      <c r="O187" s="4">
        <v>1</v>
      </c>
      <c r="P187" s="7">
        <v>12</v>
      </c>
      <c r="Q187" s="4">
        <v>12</v>
      </c>
      <c r="R187" s="2" t="s">
        <v>29</v>
      </c>
      <c r="S187" s="2"/>
      <c r="T187" s="4">
        <f>IF(R187&lt;&gt;"Observed","",SUMIFS($O$3:O187,$C$3:C187,C187,$R$3:R187,"Observed"))</f>
        <v>234</v>
      </c>
      <c r="U187" s="4">
        <f>IF(R187&lt;&gt;"Observed","",SUMIFS($Q$3:Q187,$C$3:C187,C187,$R$3:R187,"Observed"))</f>
        <v>208</v>
      </c>
      <c r="V187" s="4">
        <f t="shared" si="2"/>
        <v>26</v>
      </c>
    </row>
    <row r="188" spans="1:22">
      <c r="A188" s="2" t="s">
        <v>23</v>
      </c>
      <c r="B188" s="4">
        <v>11</v>
      </c>
      <c r="C188" s="2" t="s">
        <v>224</v>
      </c>
      <c r="D188" s="2" t="s">
        <v>213</v>
      </c>
      <c r="E188" s="2" t="s">
        <v>214</v>
      </c>
      <c r="F188" s="3">
        <v>45716</v>
      </c>
      <c r="G188" s="2" t="s">
        <v>225</v>
      </c>
      <c r="H188" s="4">
        <v>16</v>
      </c>
      <c r="I188" s="2" t="s">
        <v>30</v>
      </c>
      <c r="J188" s="2" t="s">
        <v>240</v>
      </c>
      <c r="K188" s="2" t="s">
        <v>241</v>
      </c>
      <c r="L188" s="2" t="s">
        <v>54</v>
      </c>
      <c r="M188" s="2" t="s">
        <v>52</v>
      </c>
      <c r="N188" s="7">
        <v>1</v>
      </c>
      <c r="O188" s="4">
        <v>1</v>
      </c>
      <c r="P188" s="7">
        <v>6</v>
      </c>
      <c r="Q188" s="4">
        <v>6</v>
      </c>
      <c r="R188" s="2" t="s">
        <v>29</v>
      </c>
      <c r="S188" s="2"/>
      <c r="T188" s="4">
        <f>IF(R188&lt;&gt;"Observed","",SUMIFS($O$3:O188,$C$3:C188,C188,$R$3:R188,"Observed"))</f>
        <v>235</v>
      </c>
      <c r="U188" s="4">
        <f>IF(R188&lt;&gt;"Observed","",SUMIFS($Q$3:Q188,$C$3:C188,C188,$R$3:R188,"Observed"))</f>
        <v>214</v>
      </c>
      <c r="V188" s="4">
        <f t="shared" si="2"/>
        <v>21</v>
      </c>
    </row>
    <row r="189" spans="1:22">
      <c r="A189" s="2" t="s">
        <v>23</v>
      </c>
      <c r="B189" s="4">
        <v>11</v>
      </c>
      <c r="C189" s="2" t="s">
        <v>224</v>
      </c>
      <c r="D189" s="2" t="s">
        <v>213</v>
      </c>
      <c r="E189" s="2" t="s">
        <v>214</v>
      </c>
      <c r="F189" s="3">
        <v>45716</v>
      </c>
      <c r="G189" s="2" t="s">
        <v>225</v>
      </c>
      <c r="H189" s="4">
        <v>17</v>
      </c>
      <c r="I189" s="2" t="s">
        <v>30</v>
      </c>
      <c r="J189" s="2" t="s">
        <v>241</v>
      </c>
      <c r="K189" s="2" t="s">
        <v>242</v>
      </c>
      <c r="L189" s="2" t="s">
        <v>52</v>
      </c>
      <c r="M189" s="2" t="s">
        <v>50</v>
      </c>
      <c r="N189" s="7">
        <v>0</v>
      </c>
      <c r="O189" s="4">
        <v>0</v>
      </c>
      <c r="P189" s="7">
        <v>5</v>
      </c>
      <c r="Q189" s="4">
        <v>5</v>
      </c>
      <c r="R189" s="2" t="s">
        <v>29</v>
      </c>
      <c r="S189" s="2"/>
      <c r="T189" s="4">
        <f>IF(R189&lt;&gt;"Observed","",SUMIFS($O$3:O189,$C$3:C189,C189,$R$3:R189,"Observed"))</f>
        <v>235</v>
      </c>
      <c r="U189" s="4">
        <f>IF(R189&lt;&gt;"Observed","",SUMIFS($Q$3:Q189,$C$3:C189,C189,$R$3:R189,"Observed"))</f>
        <v>219</v>
      </c>
      <c r="V189" s="4">
        <f t="shared" si="2"/>
        <v>16</v>
      </c>
    </row>
    <row r="190" spans="1:22">
      <c r="A190" s="2" t="s">
        <v>23</v>
      </c>
      <c r="B190" s="4">
        <v>12</v>
      </c>
      <c r="C190" s="2" t="s">
        <v>243</v>
      </c>
      <c r="D190" s="2" t="s">
        <v>25</v>
      </c>
      <c r="E190" s="2" t="s">
        <v>26</v>
      </c>
      <c r="F190" s="3">
        <v>45730</v>
      </c>
      <c r="G190" s="2" t="s">
        <v>135</v>
      </c>
      <c r="H190" s="4">
        <v>1</v>
      </c>
      <c r="I190" s="2" t="s">
        <v>28</v>
      </c>
      <c r="J190" s="2" t="s">
        <v>28</v>
      </c>
      <c r="K190" s="2"/>
      <c r="L190" s="2"/>
      <c r="M190" s="2"/>
      <c r="N190" s="7">
        <v>15</v>
      </c>
      <c r="O190" s="4">
        <v>15</v>
      </c>
      <c r="P190" s="7">
        <v>1</v>
      </c>
      <c r="Q190" s="4">
        <v>1</v>
      </c>
      <c r="R190" s="2" t="s">
        <v>29</v>
      </c>
      <c r="S190" s="2"/>
      <c r="T190" s="4">
        <f>IF(R190&lt;&gt;"Observed","",SUMIFS($O$3:O190,$C$3:C190,C190,$R$3:R190,"Observed"))</f>
        <v>15</v>
      </c>
      <c r="U190" s="4">
        <f>IF(R190&lt;&gt;"Observed","",SUMIFS($Q$3:Q190,$C$3:C190,C190,$R$3:R190,"Observed"))</f>
        <v>1</v>
      </c>
      <c r="V190" s="4">
        <f t="shared" si="2"/>
        <v>14</v>
      </c>
    </row>
    <row r="191" spans="1:22">
      <c r="A191" s="2" t="s">
        <v>23</v>
      </c>
      <c r="B191" s="4">
        <v>12</v>
      </c>
      <c r="C191" s="2" t="s">
        <v>243</v>
      </c>
      <c r="D191" s="2" t="s">
        <v>25</v>
      </c>
      <c r="E191" s="2" t="s">
        <v>26</v>
      </c>
      <c r="F191" s="3">
        <v>45730</v>
      </c>
      <c r="G191" s="2" t="s">
        <v>135</v>
      </c>
      <c r="H191" s="4">
        <v>2</v>
      </c>
      <c r="I191" s="2" t="s">
        <v>30</v>
      </c>
      <c r="J191" s="2" t="s">
        <v>169</v>
      </c>
      <c r="K191" s="2" t="s">
        <v>170</v>
      </c>
      <c r="L191" s="2" t="s">
        <v>33</v>
      </c>
      <c r="M191" s="2" t="s">
        <v>34</v>
      </c>
      <c r="N191" s="7">
        <v>2</v>
      </c>
      <c r="O191" s="4">
        <v>2</v>
      </c>
      <c r="P191" s="7">
        <v>2</v>
      </c>
      <c r="Q191" s="4">
        <v>2</v>
      </c>
      <c r="R191" s="2" t="s">
        <v>29</v>
      </c>
      <c r="S191" s="2"/>
      <c r="T191" s="4">
        <f>IF(R191&lt;&gt;"Observed","",SUMIFS($O$3:O191,$C$3:C191,C191,$R$3:R191,"Observed"))</f>
        <v>17</v>
      </c>
      <c r="U191" s="4">
        <f>IF(R191&lt;&gt;"Observed","",SUMIFS($Q$3:Q191,$C$3:C191,C191,$R$3:R191,"Observed"))</f>
        <v>3</v>
      </c>
      <c r="V191" s="4">
        <f t="shared" si="2"/>
        <v>14</v>
      </c>
    </row>
    <row r="192" spans="1:22">
      <c r="A192" s="2" t="s">
        <v>23</v>
      </c>
      <c r="B192" s="4">
        <v>12</v>
      </c>
      <c r="C192" s="2" t="s">
        <v>243</v>
      </c>
      <c r="D192" s="2" t="s">
        <v>25</v>
      </c>
      <c r="E192" s="2" t="s">
        <v>26</v>
      </c>
      <c r="F192" s="3">
        <v>45730</v>
      </c>
      <c r="G192" s="2" t="s">
        <v>135</v>
      </c>
      <c r="H192" s="4">
        <v>3</v>
      </c>
      <c r="I192" s="2" t="s">
        <v>30</v>
      </c>
      <c r="J192" s="2" t="s">
        <v>170</v>
      </c>
      <c r="K192" s="2" t="s">
        <v>171</v>
      </c>
      <c r="L192" s="2" t="s">
        <v>34</v>
      </c>
      <c r="M192" s="2" t="s">
        <v>37</v>
      </c>
      <c r="N192" s="7">
        <v>0</v>
      </c>
      <c r="O192" s="4">
        <v>0</v>
      </c>
      <c r="P192" s="7">
        <v>2</v>
      </c>
      <c r="Q192" s="4">
        <v>2</v>
      </c>
      <c r="R192" s="2" t="s">
        <v>29</v>
      </c>
      <c r="S192" s="2"/>
      <c r="T192" s="4">
        <f>IF(R192&lt;&gt;"Observed","",SUMIFS($O$3:O192,$C$3:C192,C192,$R$3:R192,"Observed"))</f>
        <v>17</v>
      </c>
      <c r="U192" s="4">
        <f>IF(R192&lt;&gt;"Observed","",SUMIFS($Q$3:Q192,$C$3:C192,C192,$R$3:R192,"Observed"))</f>
        <v>5</v>
      </c>
      <c r="V192" s="4">
        <f t="shared" si="2"/>
        <v>12</v>
      </c>
    </row>
    <row r="193" spans="1:22">
      <c r="A193" s="2" t="s">
        <v>23</v>
      </c>
      <c r="B193" s="4">
        <v>12</v>
      </c>
      <c r="C193" s="2" t="s">
        <v>243</v>
      </c>
      <c r="D193" s="2" t="s">
        <v>25</v>
      </c>
      <c r="E193" s="2" t="s">
        <v>26</v>
      </c>
      <c r="F193" s="3">
        <v>45730</v>
      </c>
      <c r="G193" s="2" t="s">
        <v>135</v>
      </c>
      <c r="H193" s="4">
        <v>4</v>
      </c>
      <c r="I193" s="2" t="s">
        <v>30</v>
      </c>
      <c r="J193" s="2" t="s">
        <v>171</v>
      </c>
      <c r="K193" s="2" t="s">
        <v>172</v>
      </c>
      <c r="L193" s="2" t="s">
        <v>37</v>
      </c>
      <c r="M193" s="2" t="s">
        <v>39</v>
      </c>
      <c r="N193" s="7">
        <v>2</v>
      </c>
      <c r="O193" s="4">
        <v>2</v>
      </c>
      <c r="P193" s="7">
        <v>0</v>
      </c>
      <c r="Q193" s="4">
        <v>0</v>
      </c>
      <c r="R193" s="2" t="s">
        <v>29</v>
      </c>
      <c r="S193" s="2"/>
      <c r="T193" s="4">
        <f>IF(R193&lt;&gt;"Observed","",SUMIFS($O$3:O193,$C$3:C193,C193,$R$3:R193,"Observed"))</f>
        <v>19</v>
      </c>
      <c r="U193" s="4">
        <f>IF(R193&lt;&gt;"Observed","",SUMIFS($Q$3:Q193,$C$3:C193,C193,$R$3:R193,"Observed"))</f>
        <v>5</v>
      </c>
      <c r="V193" s="4">
        <f t="shared" si="2"/>
        <v>14</v>
      </c>
    </row>
    <row r="194" spans="1:22">
      <c r="A194" s="2" t="s">
        <v>23</v>
      </c>
      <c r="B194" s="4">
        <v>12</v>
      </c>
      <c r="C194" s="2" t="s">
        <v>243</v>
      </c>
      <c r="D194" s="2" t="s">
        <v>25</v>
      </c>
      <c r="E194" s="2" t="s">
        <v>26</v>
      </c>
      <c r="F194" s="3">
        <v>45730</v>
      </c>
      <c r="G194" s="2" t="s">
        <v>135</v>
      </c>
      <c r="H194" s="4">
        <v>5</v>
      </c>
      <c r="I194" s="2" t="s">
        <v>30</v>
      </c>
      <c r="J194" s="2" t="s">
        <v>172</v>
      </c>
      <c r="K194" s="2" t="s">
        <v>175</v>
      </c>
      <c r="L194" s="2" t="s">
        <v>39</v>
      </c>
      <c r="M194" s="2" t="s">
        <v>41</v>
      </c>
      <c r="N194" s="7">
        <v>6</v>
      </c>
      <c r="O194" s="4">
        <v>6</v>
      </c>
      <c r="P194" s="7">
        <v>2</v>
      </c>
      <c r="Q194" s="4">
        <v>2</v>
      </c>
      <c r="R194" s="2" t="s">
        <v>29</v>
      </c>
      <c r="S194" s="2"/>
      <c r="T194" s="4">
        <f>IF(R194&lt;&gt;"Observed","",SUMIFS($O$3:O194,$C$3:C194,C194,$R$3:R194,"Observed"))</f>
        <v>25</v>
      </c>
      <c r="U194" s="4">
        <f>IF(R194&lt;&gt;"Observed","",SUMIFS($Q$3:Q194,$C$3:C194,C194,$R$3:R194,"Observed"))</f>
        <v>7</v>
      </c>
      <c r="V194" s="4">
        <f t="shared" si="2"/>
        <v>18</v>
      </c>
    </row>
    <row r="195" spans="1:22">
      <c r="A195" s="2" t="s">
        <v>23</v>
      </c>
      <c r="B195" s="4">
        <v>12</v>
      </c>
      <c r="C195" s="2" t="s">
        <v>243</v>
      </c>
      <c r="D195" s="2" t="s">
        <v>25</v>
      </c>
      <c r="E195" s="2" t="s">
        <v>26</v>
      </c>
      <c r="F195" s="3">
        <v>45730</v>
      </c>
      <c r="G195" s="2" t="s">
        <v>135</v>
      </c>
      <c r="H195" s="4">
        <v>6</v>
      </c>
      <c r="I195" s="2" t="s">
        <v>30</v>
      </c>
      <c r="J195" s="2" t="s">
        <v>175</v>
      </c>
      <c r="K195" s="2" t="s">
        <v>177</v>
      </c>
      <c r="L195" s="2" t="s">
        <v>41</v>
      </c>
      <c r="M195" s="2" t="s">
        <v>43</v>
      </c>
      <c r="N195" s="7">
        <v>6</v>
      </c>
      <c r="O195" s="4">
        <v>6</v>
      </c>
      <c r="P195" s="7">
        <v>3</v>
      </c>
      <c r="Q195" s="4">
        <v>3</v>
      </c>
      <c r="R195" s="2" t="s">
        <v>29</v>
      </c>
      <c r="S195" s="2"/>
      <c r="T195" s="4">
        <f>IF(R195&lt;&gt;"Observed","",SUMIFS($O$3:O195,$C$3:C195,C195,$R$3:R195,"Observed"))</f>
        <v>31</v>
      </c>
      <c r="U195" s="4">
        <f>IF(R195&lt;&gt;"Observed","",SUMIFS($Q$3:Q195,$C$3:C195,C195,$R$3:R195,"Observed"))</f>
        <v>10</v>
      </c>
      <c r="V195" s="4">
        <f t="shared" ref="V195:V258" si="3">IF(R195&lt;&gt;"Observed","",T195-U195)</f>
        <v>21</v>
      </c>
    </row>
    <row r="196" spans="1:22">
      <c r="A196" s="2" t="s">
        <v>23</v>
      </c>
      <c r="B196" s="4">
        <v>12</v>
      </c>
      <c r="C196" s="2" t="s">
        <v>243</v>
      </c>
      <c r="D196" s="2" t="s">
        <v>25</v>
      </c>
      <c r="E196" s="2" t="s">
        <v>26</v>
      </c>
      <c r="F196" s="3">
        <v>45730</v>
      </c>
      <c r="G196" s="2" t="s">
        <v>135</v>
      </c>
      <c r="H196" s="4">
        <v>7</v>
      </c>
      <c r="I196" s="2" t="s">
        <v>30</v>
      </c>
      <c r="J196" s="2" t="s">
        <v>177</v>
      </c>
      <c r="K196" s="2" t="s">
        <v>178</v>
      </c>
      <c r="L196" s="2" t="s">
        <v>43</v>
      </c>
      <c r="M196" s="2" t="s">
        <v>45</v>
      </c>
      <c r="N196" s="7">
        <v>7</v>
      </c>
      <c r="O196" s="4">
        <v>7</v>
      </c>
      <c r="P196" s="7">
        <v>1</v>
      </c>
      <c r="Q196" s="4">
        <v>1</v>
      </c>
      <c r="R196" s="2" t="s">
        <v>29</v>
      </c>
      <c r="S196" s="2"/>
      <c r="T196" s="4">
        <f>IF(R196&lt;&gt;"Observed","",SUMIFS($O$3:O196,$C$3:C196,C196,$R$3:R196,"Observed"))</f>
        <v>38</v>
      </c>
      <c r="U196" s="4">
        <f>IF(R196&lt;&gt;"Observed","",SUMIFS($Q$3:Q196,$C$3:C196,C196,$R$3:R196,"Observed"))</f>
        <v>11</v>
      </c>
      <c r="V196" s="4">
        <f t="shared" si="3"/>
        <v>27</v>
      </c>
    </row>
    <row r="197" spans="1:22">
      <c r="A197" s="2" t="s">
        <v>23</v>
      </c>
      <c r="B197" s="4">
        <v>12</v>
      </c>
      <c r="C197" s="2" t="s">
        <v>243</v>
      </c>
      <c r="D197" s="2" t="s">
        <v>25</v>
      </c>
      <c r="E197" s="2" t="s">
        <v>26</v>
      </c>
      <c r="F197" s="3">
        <v>45730</v>
      </c>
      <c r="G197" s="2" t="s">
        <v>135</v>
      </c>
      <c r="H197" s="4">
        <v>8</v>
      </c>
      <c r="I197" s="2" t="s">
        <v>30</v>
      </c>
      <c r="J197" s="2" t="s">
        <v>178</v>
      </c>
      <c r="K197" s="2" t="s">
        <v>215</v>
      </c>
      <c r="L197" s="2" t="s">
        <v>45</v>
      </c>
      <c r="M197" s="2" t="s">
        <v>48</v>
      </c>
      <c r="N197" s="7">
        <v>3</v>
      </c>
      <c r="O197" s="4">
        <v>3</v>
      </c>
      <c r="P197" s="7">
        <v>1</v>
      </c>
      <c r="Q197" s="4">
        <v>1</v>
      </c>
      <c r="R197" s="2" t="s">
        <v>29</v>
      </c>
      <c r="S197" s="2"/>
      <c r="T197" s="4">
        <f>IF(R197&lt;&gt;"Observed","",SUMIFS($O$3:O197,$C$3:C197,C197,$R$3:R197,"Observed"))</f>
        <v>41</v>
      </c>
      <c r="U197" s="4">
        <f>IF(R197&lt;&gt;"Observed","",SUMIFS($Q$3:Q197,$C$3:C197,C197,$R$3:R197,"Observed"))</f>
        <v>12</v>
      </c>
      <c r="V197" s="4">
        <f t="shared" si="3"/>
        <v>29</v>
      </c>
    </row>
    <row r="198" spans="1:22">
      <c r="A198" s="2" t="s">
        <v>23</v>
      </c>
      <c r="B198" s="4">
        <v>12</v>
      </c>
      <c r="C198" s="2" t="s">
        <v>243</v>
      </c>
      <c r="D198" s="2" t="s">
        <v>25</v>
      </c>
      <c r="E198" s="2" t="s">
        <v>26</v>
      </c>
      <c r="F198" s="3">
        <v>45730</v>
      </c>
      <c r="G198" s="2" t="s">
        <v>135</v>
      </c>
      <c r="H198" s="4">
        <v>9</v>
      </c>
      <c r="I198" s="2" t="s">
        <v>30</v>
      </c>
      <c r="J198" s="2" t="s">
        <v>215</v>
      </c>
      <c r="K198" s="2" t="s">
        <v>216</v>
      </c>
      <c r="L198" s="2" t="s">
        <v>48</v>
      </c>
      <c r="M198" s="2" t="s">
        <v>50</v>
      </c>
      <c r="N198" s="7">
        <v>6</v>
      </c>
      <c r="O198" s="4">
        <v>6</v>
      </c>
      <c r="P198" s="7">
        <v>0</v>
      </c>
      <c r="Q198" s="4">
        <v>0</v>
      </c>
      <c r="R198" s="2" t="s">
        <v>29</v>
      </c>
      <c r="S198" s="2"/>
      <c r="T198" s="4">
        <f>IF(R198&lt;&gt;"Observed","",SUMIFS($O$3:O198,$C$3:C198,C198,$R$3:R198,"Observed"))</f>
        <v>47</v>
      </c>
      <c r="U198" s="4">
        <f>IF(R198&lt;&gt;"Observed","",SUMIFS($Q$3:Q198,$C$3:C198,C198,$R$3:R198,"Observed"))</f>
        <v>12</v>
      </c>
      <c r="V198" s="4">
        <f t="shared" si="3"/>
        <v>35</v>
      </c>
    </row>
    <row r="199" spans="1:22">
      <c r="A199" s="2" t="s">
        <v>23</v>
      </c>
      <c r="B199" s="4">
        <v>12</v>
      </c>
      <c r="C199" s="2" t="s">
        <v>243</v>
      </c>
      <c r="D199" s="2" t="s">
        <v>25</v>
      </c>
      <c r="E199" s="2" t="s">
        <v>26</v>
      </c>
      <c r="F199" s="3">
        <v>45730</v>
      </c>
      <c r="G199" s="2" t="s">
        <v>135</v>
      </c>
      <c r="H199" s="4">
        <v>10</v>
      </c>
      <c r="I199" s="2" t="s">
        <v>30</v>
      </c>
      <c r="J199" s="2" t="s">
        <v>216</v>
      </c>
      <c r="K199" s="2" t="s">
        <v>217</v>
      </c>
      <c r="L199" s="2" t="s">
        <v>50</v>
      </c>
      <c r="M199" s="2" t="s">
        <v>52</v>
      </c>
      <c r="N199" s="7">
        <v>7</v>
      </c>
      <c r="O199" s="4">
        <v>7</v>
      </c>
      <c r="P199" s="7">
        <v>4</v>
      </c>
      <c r="Q199" s="4">
        <v>4</v>
      </c>
      <c r="R199" s="2" t="s">
        <v>29</v>
      </c>
      <c r="S199" s="2"/>
      <c r="T199" s="4">
        <f>IF(R199&lt;&gt;"Observed","",SUMIFS($O$3:O199,$C$3:C199,C199,$R$3:R199,"Observed"))</f>
        <v>54</v>
      </c>
      <c r="U199" s="4">
        <f>IF(R199&lt;&gt;"Observed","",SUMIFS($Q$3:Q199,$C$3:C199,C199,$R$3:R199,"Observed"))</f>
        <v>16</v>
      </c>
      <c r="V199" s="4">
        <f t="shared" si="3"/>
        <v>38</v>
      </c>
    </row>
    <row r="200" spans="1:22">
      <c r="A200" s="2" t="s">
        <v>23</v>
      </c>
      <c r="B200" s="4">
        <v>12</v>
      </c>
      <c r="C200" s="2" t="s">
        <v>243</v>
      </c>
      <c r="D200" s="2" t="s">
        <v>25</v>
      </c>
      <c r="E200" s="2" t="s">
        <v>26</v>
      </c>
      <c r="F200" s="3">
        <v>45730</v>
      </c>
      <c r="G200" s="2" t="s">
        <v>135</v>
      </c>
      <c r="H200" s="4">
        <v>11</v>
      </c>
      <c r="I200" s="2" t="s">
        <v>30</v>
      </c>
      <c r="J200" s="2" t="s">
        <v>217</v>
      </c>
      <c r="K200" s="2" t="s">
        <v>218</v>
      </c>
      <c r="L200" s="2" t="s">
        <v>52</v>
      </c>
      <c r="M200" s="2" t="s">
        <v>54</v>
      </c>
      <c r="N200" s="7">
        <v>1</v>
      </c>
      <c r="O200" s="4">
        <v>1</v>
      </c>
      <c r="P200" s="7">
        <v>4</v>
      </c>
      <c r="Q200" s="4">
        <v>4</v>
      </c>
      <c r="R200" s="2" t="s">
        <v>29</v>
      </c>
      <c r="S200" s="2"/>
      <c r="T200" s="4">
        <f>IF(R200&lt;&gt;"Observed","",SUMIFS($O$3:O200,$C$3:C200,C200,$R$3:R200,"Observed"))</f>
        <v>55</v>
      </c>
      <c r="U200" s="4">
        <f>IF(R200&lt;&gt;"Observed","",SUMIFS($Q$3:Q200,$C$3:C200,C200,$R$3:R200,"Observed"))</f>
        <v>20</v>
      </c>
      <c r="V200" s="4">
        <f t="shared" si="3"/>
        <v>35</v>
      </c>
    </row>
    <row r="201" spans="1:22">
      <c r="A201" s="2" t="s">
        <v>23</v>
      </c>
      <c r="B201" s="4">
        <v>12</v>
      </c>
      <c r="C201" s="2" t="s">
        <v>243</v>
      </c>
      <c r="D201" s="2" t="s">
        <v>25</v>
      </c>
      <c r="E201" s="2" t="s">
        <v>26</v>
      </c>
      <c r="F201" s="3">
        <v>45730</v>
      </c>
      <c r="G201" s="2" t="s">
        <v>135</v>
      </c>
      <c r="H201" s="4">
        <v>12</v>
      </c>
      <c r="I201" s="2" t="s">
        <v>30</v>
      </c>
      <c r="J201" s="2" t="s">
        <v>218</v>
      </c>
      <c r="K201" s="2" t="s">
        <v>219</v>
      </c>
      <c r="L201" s="2" t="s">
        <v>54</v>
      </c>
      <c r="M201" s="2" t="s">
        <v>57</v>
      </c>
      <c r="N201" s="7">
        <v>4</v>
      </c>
      <c r="O201" s="4">
        <v>4</v>
      </c>
      <c r="P201" s="7">
        <v>5</v>
      </c>
      <c r="Q201" s="4">
        <v>5</v>
      </c>
      <c r="R201" s="2" t="s">
        <v>29</v>
      </c>
      <c r="S201" s="2"/>
      <c r="T201" s="4">
        <f>IF(R201&lt;&gt;"Observed","",SUMIFS($O$3:O201,$C$3:C201,C201,$R$3:R201,"Observed"))</f>
        <v>59</v>
      </c>
      <c r="U201" s="4">
        <f>IF(R201&lt;&gt;"Observed","",SUMIFS($Q$3:Q201,$C$3:C201,C201,$R$3:R201,"Observed"))</f>
        <v>25</v>
      </c>
      <c r="V201" s="4">
        <f t="shared" si="3"/>
        <v>34</v>
      </c>
    </row>
    <row r="202" spans="1:22">
      <c r="A202" s="2" t="s">
        <v>23</v>
      </c>
      <c r="B202" s="4">
        <v>12</v>
      </c>
      <c r="C202" s="2" t="s">
        <v>243</v>
      </c>
      <c r="D202" s="2" t="s">
        <v>25</v>
      </c>
      <c r="E202" s="2" t="s">
        <v>26</v>
      </c>
      <c r="F202" s="3">
        <v>45730</v>
      </c>
      <c r="G202" s="2" t="s">
        <v>135</v>
      </c>
      <c r="H202" s="4">
        <v>13</v>
      </c>
      <c r="I202" s="2" t="s">
        <v>30</v>
      </c>
      <c r="J202" s="2" t="s">
        <v>219</v>
      </c>
      <c r="K202" s="2" t="s">
        <v>220</v>
      </c>
      <c r="L202" s="2" t="s">
        <v>57</v>
      </c>
      <c r="M202" s="2" t="s">
        <v>59</v>
      </c>
      <c r="N202" s="7">
        <v>0</v>
      </c>
      <c r="O202" s="4">
        <v>0</v>
      </c>
      <c r="P202" s="7">
        <v>6</v>
      </c>
      <c r="Q202" s="4">
        <v>6</v>
      </c>
      <c r="R202" s="2" t="s">
        <v>29</v>
      </c>
      <c r="S202" s="2"/>
      <c r="T202" s="4">
        <f>IF(R202&lt;&gt;"Observed","",SUMIFS($O$3:O202,$C$3:C202,C202,$R$3:R202,"Observed"))</f>
        <v>59</v>
      </c>
      <c r="U202" s="4">
        <f>IF(R202&lt;&gt;"Observed","",SUMIFS($Q$3:Q202,$C$3:C202,C202,$R$3:R202,"Observed"))</f>
        <v>31</v>
      </c>
      <c r="V202" s="4">
        <f t="shared" si="3"/>
        <v>28</v>
      </c>
    </row>
    <row r="203" spans="1:22">
      <c r="A203" s="2" t="s">
        <v>23</v>
      </c>
      <c r="B203" s="4">
        <v>12</v>
      </c>
      <c r="C203" s="2" t="s">
        <v>243</v>
      </c>
      <c r="D203" s="2" t="s">
        <v>25</v>
      </c>
      <c r="E203" s="2" t="s">
        <v>26</v>
      </c>
      <c r="F203" s="3">
        <v>45730</v>
      </c>
      <c r="G203" s="2" t="s">
        <v>135</v>
      </c>
      <c r="H203" s="4">
        <v>14</v>
      </c>
      <c r="I203" s="2" t="s">
        <v>30</v>
      </c>
      <c r="J203" s="2" t="s">
        <v>220</v>
      </c>
      <c r="K203" s="2" t="s">
        <v>221</v>
      </c>
      <c r="L203" s="2" t="s">
        <v>59</v>
      </c>
      <c r="M203" s="2" t="s">
        <v>57</v>
      </c>
      <c r="N203" s="7">
        <v>0</v>
      </c>
      <c r="O203" s="4">
        <v>0</v>
      </c>
      <c r="P203" s="7">
        <v>13</v>
      </c>
      <c r="Q203" s="4">
        <v>13</v>
      </c>
      <c r="R203" s="2" t="s">
        <v>29</v>
      </c>
      <c r="S203" s="2"/>
      <c r="T203" s="4">
        <f>IF(R203&lt;&gt;"Observed","",SUMIFS($O$3:O203,$C$3:C203,C203,$R$3:R203,"Observed"))</f>
        <v>59</v>
      </c>
      <c r="U203" s="4">
        <f>IF(R203&lt;&gt;"Observed","",SUMIFS($Q$3:Q203,$C$3:C203,C203,$R$3:R203,"Observed"))</f>
        <v>44</v>
      </c>
      <c r="V203" s="4">
        <f t="shared" si="3"/>
        <v>15</v>
      </c>
    </row>
    <row r="204" spans="1:22">
      <c r="A204" s="2" t="s">
        <v>23</v>
      </c>
      <c r="B204" s="4">
        <v>12</v>
      </c>
      <c r="C204" s="2" t="s">
        <v>243</v>
      </c>
      <c r="D204" s="2" t="s">
        <v>25</v>
      </c>
      <c r="E204" s="2" t="s">
        <v>26</v>
      </c>
      <c r="F204" s="3">
        <v>45730</v>
      </c>
      <c r="G204" s="2" t="s">
        <v>135</v>
      </c>
      <c r="H204" s="4">
        <v>15</v>
      </c>
      <c r="I204" s="2" t="s">
        <v>30</v>
      </c>
      <c r="J204" s="2" t="s">
        <v>221</v>
      </c>
      <c r="K204" s="2" t="s">
        <v>222</v>
      </c>
      <c r="L204" s="2" t="s">
        <v>57</v>
      </c>
      <c r="M204" s="2" t="s">
        <v>54</v>
      </c>
      <c r="N204" s="2" t="s">
        <v>73</v>
      </c>
      <c r="O204" s="4"/>
      <c r="P204" s="2" t="s">
        <v>73</v>
      </c>
      <c r="Q204" s="4"/>
      <c r="R204" s="2" t="s">
        <v>113</v>
      </c>
      <c r="S204" s="2" t="s">
        <v>179</v>
      </c>
      <c r="T204" s="4" t="str">
        <f>IF(R204&lt;&gt;"Observed","",SUMIFS($O$3:O204,$C$3:C204,C204,$R$3:R204,"Observed"))</f>
        <v/>
      </c>
      <c r="U204" s="4" t="str">
        <f>IF(R204&lt;&gt;"Observed","",SUMIFS($Q$3:Q204,$C$3:C204,C204,$R$3:R204,"Observed"))</f>
        <v/>
      </c>
      <c r="V204" s="4" t="str">
        <f t="shared" si="3"/>
        <v/>
      </c>
    </row>
    <row r="205" spans="1:22">
      <c r="A205" s="2" t="s">
        <v>23</v>
      </c>
      <c r="B205" s="4">
        <v>12</v>
      </c>
      <c r="C205" s="2" t="s">
        <v>243</v>
      </c>
      <c r="D205" s="2" t="s">
        <v>25</v>
      </c>
      <c r="E205" s="2" t="s">
        <v>26</v>
      </c>
      <c r="F205" s="3">
        <v>45730</v>
      </c>
      <c r="G205" s="2" t="s">
        <v>135</v>
      </c>
      <c r="H205" s="4">
        <v>16</v>
      </c>
      <c r="I205" s="2" t="s">
        <v>30</v>
      </c>
      <c r="J205" s="2" t="s">
        <v>222</v>
      </c>
      <c r="K205" s="2" t="s">
        <v>244</v>
      </c>
      <c r="L205" s="2" t="s">
        <v>54</v>
      </c>
      <c r="M205" s="2" t="s">
        <v>52</v>
      </c>
      <c r="N205" s="2" t="s">
        <v>73</v>
      </c>
      <c r="O205" s="4"/>
      <c r="P205" s="2" t="s">
        <v>73</v>
      </c>
      <c r="Q205" s="4"/>
      <c r="R205" s="2" t="s">
        <v>113</v>
      </c>
      <c r="S205" s="2" t="s">
        <v>179</v>
      </c>
      <c r="T205" s="4" t="str">
        <f>IF(R205&lt;&gt;"Observed","",SUMIFS($O$3:O205,$C$3:C205,C205,$R$3:R205,"Observed"))</f>
        <v/>
      </c>
      <c r="U205" s="4" t="str">
        <f>IF(R205&lt;&gt;"Observed","",SUMIFS($Q$3:Q205,$C$3:C205,C205,$R$3:R205,"Observed"))</f>
        <v/>
      </c>
      <c r="V205" s="4" t="str">
        <f t="shared" si="3"/>
        <v/>
      </c>
    </row>
    <row r="206" spans="1:22">
      <c r="A206" s="2" t="s">
        <v>23</v>
      </c>
      <c r="B206" s="4">
        <v>12</v>
      </c>
      <c r="C206" s="2" t="s">
        <v>243</v>
      </c>
      <c r="D206" s="2" t="s">
        <v>25</v>
      </c>
      <c r="E206" s="2" t="s">
        <v>26</v>
      </c>
      <c r="F206" s="3">
        <v>45730</v>
      </c>
      <c r="G206" s="2" t="s">
        <v>135</v>
      </c>
      <c r="H206" s="4">
        <v>17</v>
      </c>
      <c r="I206" s="2" t="s">
        <v>30</v>
      </c>
      <c r="J206" s="2" t="s">
        <v>244</v>
      </c>
      <c r="K206" s="2" t="s">
        <v>245</v>
      </c>
      <c r="L206" s="2" t="s">
        <v>52</v>
      </c>
      <c r="M206" s="2" t="s">
        <v>50</v>
      </c>
      <c r="N206" s="2" t="s">
        <v>73</v>
      </c>
      <c r="O206" s="4"/>
      <c r="P206" s="2" t="s">
        <v>73</v>
      </c>
      <c r="Q206" s="4"/>
      <c r="R206" s="2" t="s">
        <v>113</v>
      </c>
      <c r="S206" s="2" t="s">
        <v>179</v>
      </c>
      <c r="T206" s="4" t="str">
        <f>IF(R206&lt;&gt;"Observed","",SUMIFS($O$3:O206,$C$3:C206,C206,$R$3:R206,"Observed"))</f>
        <v/>
      </c>
      <c r="U206" s="4" t="str">
        <f>IF(R206&lt;&gt;"Observed","",SUMIFS($Q$3:Q206,$C$3:C206,C206,$R$3:R206,"Observed"))</f>
        <v/>
      </c>
      <c r="V206" s="4" t="str">
        <f t="shared" si="3"/>
        <v/>
      </c>
    </row>
    <row r="207" spans="1:22">
      <c r="A207" s="2" t="s">
        <v>23</v>
      </c>
      <c r="B207" s="4">
        <v>13</v>
      </c>
      <c r="C207" s="2" t="s">
        <v>246</v>
      </c>
      <c r="D207" s="2" t="s">
        <v>25</v>
      </c>
      <c r="E207" s="2" t="s">
        <v>26</v>
      </c>
      <c r="F207" s="3">
        <v>46038</v>
      </c>
      <c r="G207" s="2" t="s">
        <v>247</v>
      </c>
      <c r="H207" s="4">
        <v>1</v>
      </c>
      <c r="I207" s="2" t="s">
        <v>28</v>
      </c>
      <c r="J207" s="2" t="s">
        <v>28</v>
      </c>
      <c r="K207" s="2"/>
      <c r="L207" s="2"/>
      <c r="M207" s="2"/>
      <c r="N207" s="7">
        <v>31</v>
      </c>
      <c r="O207" s="4">
        <v>31</v>
      </c>
      <c r="P207" s="7">
        <v>0</v>
      </c>
      <c r="Q207" s="4">
        <v>0</v>
      </c>
      <c r="R207" s="2" t="s">
        <v>29</v>
      </c>
      <c r="S207" s="2"/>
      <c r="T207" s="4">
        <f>IF(R207&lt;&gt;"Observed","",SUMIFS($O$3:O207,$C$3:C207,C207,$R$3:R207,"Observed"))</f>
        <v>31</v>
      </c>
      <c r="U207" s="4">
        <f>IF(R207&lt;&gt;"Observed","",SUMIFS($Q$3:Q207,$C$3:C207,C207,$R$3:R207,"Observed"))</f>
        <v>0</v>
      </c>
      <c r="V207" s="4">
        <f t="shared" si="3"/>
        <v>31</v>
      </c>
    </row>
    <row r="208" spans="1:22" ht="28.5">
      <c r="A208" s="2" t="s">
        <v>23</v>
      </c>
      <c r="B208" s="4">
        <v>13</v>
      </c>
      <c r="C208" s="2" t="s">
        <v>246</v>
      </c>
      <c r="D208" s="2" t="s">
        <v>25</v>
      </c>
      <c r="E208" s="2" t="s">
        <v>26</v>
      </c>
      <c r="F208" s="3">
        <v>46038</v>
      </c>
      <c r="G208" s="2" t="s">
        <v>247</v>
      </c>
      <c r="H208" s="4">
        <v>2</v>
      </c>
      <c r="I208" s="2" t="s">
        <v>30</v>
      </c>
      <c r="J208" s="2" t="s">
        <v>248</v>
      </c>
      <c r="K208" s="2" t="s">
        <v>249</v>
      </c>
      <c r="L208" s="2" t="s">
        <v>33</v>
      </c>
      <c r="M208" s="2" t="s">
        <v>34</v>
      </c>
      <c r="N208" s="2" t="s">
        <v>250</v>
      </c>
      <c r="O208" s="4"/>
      <c r="P208" s="7">
        <v>0</v>
      </c>
      <c r="Q208" s="4"/>
      <c r="R208" s="2" t="s">
        <v>184</v>
      </c>
      <c r="S208" s="2" t="s">
        <v>251</v>
      </c>
      <c r="T208" s="4" t="str">
        <f>IF(R208&lt;&gt;"Observed","",SUMIFS($O$3:O208,$C$3:C208,C208,$R$3:R208,"Observed"))</f>
        <v/>
      </c>
      <c r="U208" s="4" t="str">
        <f>IF(R208&lt;&gt;"Observed","",SUMIFS($Q$3:Q208,$C$3:C208,C208,$R$3:R208,"Observed"))</f>
        <v/>
      </c>
      <c r="V208" s="4" t="str">
        <f t="shared" si="3"/>
        <v/>
      </c>
    </row>
    <row r="209" spans="1:22" ht="28.5">
      <c r="A209" s="2" t="s">
        <v>23</v>
      </c>
      <c r="B209" s="4">
        <v>13</v>
      </c>
      <c r="C209" s="2" t="s">
        <v>246</v>
      </c>
      <c r="D209" s="2" t="s">
        <v>25</v>
      </c>
      <c r="E209" s="2" t="s">
        <v>26</v>
      </c>
      <c r="F209" s="3">
        <v>46038</v>
      </c>
      <c r="G209" s="2" t="s">
        <v>247</v>
      </c>
      <c r="H209" s="4">
        <v>3</v>
      </c>
      <c r="I209" s="2" t="s">
        <v>30</v>
      </c>
      <c r="J209" s="2" t="s">
        <v>249</v>
      </c>
      <c r="K209" s="2" t="s">
        <v>252</v>
      </c>
      <c r="L209" s="2" t="s">
        <v>34</v>
      </c>
      <c r="M209" s="2" t="s">
        <v>37</v>
      </c>
      <c r="N209" s="2" t="s">
        <v>250</v>
      </c>
      <c r="O209" s="4"/>
      <c r="P209" s="7">
        <v>0</v>
      </c>
      <c r="Q209" s="4"/>
      <c r="R209" s="2" t="s">
        <v>184</v>
      </c>
      <c r="S209" s="2" t="s">
        <v>251</v>
      </c>
      <c r="T209" s="4" t="str">
        <f>IF(R209&lt;&gt;"Observed","",SUMIFS($O$3:O209,$C$3:C209,C209,$R$3:R209,"Observed"))</f>
        <v/>
      </c>
      <c r="U209" s="4" t="str">
        <f>IF(R209&lt;&gt;"Observed","",SUMIFS($Q$3:Q209,$C$3:C209,C209,$R$3:R209,"Observed"))</f>
        <v/>
      </c>
      <c r="V209" s="4" t="str">
        <f t="shared" si="3"/>
        <v/>
      </c>
    </row>
    <row r="210" spans="1:22">
      <c r="A210" s="2" t="s">
        <v>23</v>
      </c>
      <c r="B210" s="4">
        <v>13</v>
      </c>
      <c r="C210" s="2" t="s">
        <v>246</v>
      </c>
      <c r="D210" s="2" t="s">
        <v>25</v>
      </c>
      <c r="E210" s="2" t="s">
        <v>26</v>
      </c>
      <c r="F210" s="3">
        <v>46038</v>
      </c>
      <c r="G210" s="2" t="s">
        <v>247</v>
      </c>
      <c r="H210" s="4">
        <v>4</v>
      </c>
      <c r="I210" s="2" t="s">
        <v>30</v>
      </c>
      <c r="J210" s="2" t="s">
        <v>252</v>
      </c>
      <c r="K210" s="2" t="s">
        <v>253</v>
      </c>
      <c r="L210" s="2" t="s">
        <v>37</v>
      </c>
      <c r="M210" s="2" t="s">
        <v>39</v>
      </c>
      <c r="N210" s="7">
        <v>12</v>
      </c>
      <c r="O210" s="4">
        <v>12</v>
      </c>
      <c r="P210" s="7">
        <v>0</v>
      </c>
      <c r="Q210" s="4">
        <v>0</v>
      </c>
      <c r="R210" s="2" t="s">
        <v>29</v>
      </c>
      <c r="S210" s="2"/>
      <c r="T210" s="4">
        <f>IF(R210&lt;&gt;"Observed","",SUMIFS($O$3:O210,$C$3:C210,C210,$R$3:R210,"Observed"))</f>
        <v>43</v>
      </c>
      <c r="U210" s="4">
        <f>IF(R210&lt;&gt;"Observed","",SUMIFS($Q$3:Q210,$C$3:C210,C210,$R$3:R210,"Observed"))</f>
        <v>0</v>
      </c>
      <c r="V210" s="4">
        <f t="shared" si="3"/>
        <v>43</v>
      </c>
    </row>
    <row r="211" spans="1:22">
      <c r="A211" s="2" t="s">
        <v>23</v>
      </c>
      <c r="B211" s="4">
        <v>13</v>
      </c>
      <c r="C211" s="2" t="s">
        <v>246</v>
      </c>
      <c r="D211" s="2" t="s">
        <v>25</v>
      </c>
      <c r="E211" s="2" t="s">
        <v>26</v>
      </c>
      <c r="F211" s="3">
        <v>46038</v>
      </c>
      <c r="G211" s="2" t="s">
        <v>247</v>
      </c>
      <c r="H211" s="4">
        <v>5</v>
      </c>
      <c r="I211" s="2" t="s">
        <v>30</v>
      </c>
      <c r="J211" s="2" t="s">
        <v>253</v>
      </c>
      <c r="K211" s="2" t="s">
        <v>254</v>
      </c>
      <c r="L211" s="2" t="s">
        <v>39</v>
      </c>
      <c r="M211" s="2" t="s">
        <v>41</v>
      </c>
      <c r="N211" s="7">
        <v>22</v>
      </c>
      <c r="O211" s="4">
        <v>22</v>
      </c>
      <c r="P211" s="7">
        <v>1</v>
      </c>
      <c r="Q211" s="4">
        <v>1</v>
      </c>
      <c r="R211" s="2" t="s">
        <v>29</v>
      </c>
      <c r="S211" s="2"/>
      <c r="T211" s="4">
        <f>IF(R211&lt;&gt;"Observed","",SUMIFS($O$3:O211,$C$3:C211,C211,$R$3:R211,"Observed"))</f>
        <v>65</v>
      </c>
      <c r="U211" s="4">
        <f>IF(R211&lt;&gt;"Observed","",SUMIFS($Q$3:Q211,$C$3:C211,C211,$R$3:R211,"Observed"))</f>
        <v>1</v>
      </c>
      <c r="V211" s="4">
        <f t="shared" si="3"/>
        <v>64</v>
      </c>
    </row>
    <row r="212" spans="1:22">
      <c r="A212" s="2" t="s">
        <v>23</v>
      </c>
      <c r="B212" s="4">
        <v>13</v>
      </c>
      <c r="C212" s="2" t="s">
        <v>246</v>
      </c>
      <c r="D212" s="2" t="s">
        <v>25</v>
      </c>
      <c r="E212" s="2" t="s">
        <v>26</v>
      </c>
      <c r="F212" s="3">
        <v>46038</v>
      </c>
      <c r="G212" s="2" t="s">
        <v>247</v>
      </c>
      <c r="H212" s="4">
        <v>6</v>
      </c>
      <c r="I212" s="2" t="s">
        <v>30</v>
      </c>
      <c r="J212" s="2" t="s">
        <v>254</v>
      </c>
      <c r="K212" s="2" t="s">
        <v>255</v>
      </c>
      <c r="L212" s="2" t="s">
        <v>41</v>
      </c>
      <c r="M212" s="2" t="s">
        <v>43</v>
      </c>
      <c r="N212" s="7">
        <v>22</v>
      </c>
      <c r="O212" s="4">
        <v>22</v>
      </c>
      <c r="P212" s="7">
        <v>2</v>
      </c>
      <c r="Q212" s="4">
        <v>2</v>
      </c>
      <c r="R212" s="2" t="s">
        <v>29</v>
      </c>
      <c r="S212" s="2"/>
      <c r="T212" s="4">
        <f>IF(R212&lt;&gt;"Observed","",SUMIFS($O$3:O212,$C$3:C212,C212,$R$3:R212,"Observed"))</f>
        <v>87</v>
      </c>
      <c r="U212" s="4">
        <f>IF(R212&lt;&gt;"Observed","",SUMIFS($Q$3:Q212,$C$3:C212,C212,$R$3:R212,"Observed"))</f>
        <v>3</v>
      </c>
      <c r="V212" s="4">
        <f t="shared" si="3"/>
        <v>84</v>
      </c>
    </row>
    <row r="213" spans="1:22">
      <c r="A213" s="2" t="s">
        <v>23</v>
      </c>
      <c r="B213" s="4">
        <v>13</v>
      </c>
      <c r="C213" s="2" t="s">
        <v>246</v>
      </c>
      <c r="D213" s="2" t="s">
        <v>25</v>
      </c>
      <c r="E213" s="2" t="s">
        <v>26</v>
      </c>
      <c r="F213" s="3">
        <v>46038</v>
      </c>
      <c r="G213" s="2" t="s">
        <v>247</v>
      </c>
      <c r="H213" s="4">
        <v>7</v>
      </c>
      <c r="I213" s="2" t="s">
        <v>30</v>
      </c>
      <c r="J213" s="2" t="s">
        <v>255</v>
      </c>
      <c r="K213" s="2" t="s">
        <v>256</v>
      </c>
      <c r="L213" s="2" t="s">
        <v>43</v>
      </c>
      <c r="M213" s="2" t="s">
        <v>45</v>
      </c>
      <c r="N213" s="7">
        <v>19</v>
      </c>
      <c r="O213" s="4">
        <v>19</v>
      </c>
      <c r="P213" s="7">
        <v>8</v>
      </c>
      <c r="Q213" s="4">
        <v>8</v>
      </c>
      <c r="R213" s="2" t="s">
        <v>29</v>
      </c>
      <c r="S213" s="2"/>
      <c r="T213" s="4">
        <f>IF(R213&lt;&gt;"Observed","",SUMIFS($O$3:O213,$C$3:C213,C213,$R$3:R213,"Observed"))</f>
        <v>106</v>
      </c>
      <c r="U213" s="4">
        <f>IF(R213&lt;&gt;"Observed","",SUMIFS($Q$3:Q213,$C$3:C213,C213,$R$3:R213,"Observed"))</f>
        <v>11</v>
      </c>
      <c r="V213" s="4">
        <f t="shared" si="3"/>
        <v>95</v>
      </c>
    </row>
    <row r="214" spans="1:22">
      <c r="A214" s="2" t="s">
        <v>23</v>
      </c>
      <c r="B214" s="4">
        <v>13</v>
      </c>
      <c r="C214" s="2" t="s">
        <v>246</v>
      </c>
      <c r="D214" s="2" t="s">
        <v>25</v>
      </c>
      <c r="E214" s="2" t="s">
        <v>26</v>
      </c>
      <c r="F214" s="3">
        <v>46038</v>
      </c>
      <c r="G214" s="2" t="s">
        <v>247</v>
      </c>
      <c r="H214" s="4">
        <v>8</v>
      </c>
      <c r="I214" s="2" t="s">
        <v>30</v>
      </c>
      <c r="J214" s="2" t="s">
        <v>256</v>
      </c>
      <c r="K214" s="2" t="s">
        <v>257</v>
      </c>
      <c r="L214" s="2" t="s">
        <v>45</v>
      </c>
      <c r="M214" s="2" t="s">
        <v>48</v>
      </c>
      <c r="N214" s="7">
        <v>23</v>
      </c>
      <c r="O214" s="4">
        <v>23</v>
      </c>
      <c r="P214" s="7">
        <v>11</v>
      </c>
      <c r="Q214" s="4">
        <v>11</v>
      </c>
      <c r="R214" s="2" t="s">
        <v>29</v>
      </c>
      <c r="S214" s="2"/>
      <c r="T214" s="4">
        <f>IF(R214&lt;&gt;"Observed","",SUMIFS($O$3:O214,$C$3:C214,C214,$R$3:R214,"Observed"))</f>
        <v>129</v>
      </c>
      <c r="U214" s="4">
        <f>IF(R214&lt;&gt;"Observed","",SUMIFS($Q$3:Q214,$C$3:C214,C214,$R$3:R214,"Observed"))</f>
        <v>22</v>
      </c>
      <c r="V214" s="4">
        <f t="shared" si="3"/>
        <v>107</v>
      </c>
    </row>
    <row r="215" spans="1:22">
      <c r="A215" s="2" t="s">
        <v>23</v>
      </c>
      <c r="B215" s="4">
        <v>13</v>
      </c>
      <c r="C215" s="2" t="s">
        <v>246</v>
      </c>
      <c r="D215" s="2" t="s">
        <v>25</v>
      </c>
      <c r="E215" s="2" t="s">
        <v>26</v>
      </c>
      <c r="F215" s="3">
        <v>46038</v>
      </c>
      <c r="G215" s="2" t="s">
        <v>247</v>
      </c>
      <c r="H215" s="4">
        <v>9</v>
      </c>
      <c r="I215" s="2" t="s">
        <v>30</v>
      </c>
      <c r="J215" s="2" t="s">
        <v>257</v>
      </c>
      <c r="K215" s="2" t="s">
        <v>258</v>
      </c>
      <c r="L215" s="2" t="s">
        <v>48</v>
      </c>
      <c r="M215" s="2" t="s">
        <v>50</v>
      </c>
      <c r="N215" s="7">
        <v>14</v>
      </c>
      <c r="O215" s="4">
        <v>14</v>
      </c>
      <c r="P215" s="7">
        <v>10</v>
      </c>
      <c r="Q215" s="4">
        <v>10</v>
      </c>
      <c r="R215" s="2" t="s">
        <v>29</v>
      </c>
      <c r="S215" s="2"/>
      <c r="T215" s="4">
        <f>IF(R215&lt;&gt;"Observed","",SUMIFS($O$3:O215,$C$3:C215,C215,$R$3:R215,"Observed"))</f>
        <v>143</v>
      </c>
      <c r="U215" s="4">
        <f>IF(R215&lt;&gt;"Observed","",SUMIFS($Q$3:Q215,$C$3:C215,C215,$R$3:R215,"Observed"))</f>
        <v>32</v>
      </c>
      <c r="V215" s="4">
        <f t="shared" si="3"/>
        <v>111</v>
      </c>
    </row>
    <row r="216" spans="1:22">
      <c r="A216" s="2" t="s">
        <v>23</v>
      </c>
      <c r="B216" s="4">
        <v>13</v>
      </c>
      <c r="C216" s="2" t="s">
        <v>246</v>
      </c>
      <c r="D216" s="2" t="s">
        <v>25</v>
      </c>
      <c r="E216" s="2" t="s">
        <v>26</v>
      </c>
      <c r="F216" s="3">
        <v>46038</v>
      </c>
      <c r="G216" s="2" t="s">
        <v>247</v>
      </c>
      <c r="H216" s="4">
        <v>10</v>
      </c>
      <c r="I216" s="2" t="s">
        <v>30</v>
      </c>
      <c r="J216" s="2" t="s">
        <v>258</v>
      </c>
      <c r="K216" s="2" t="s">
        <v>259</v>
      </c>
      <c r="L216" s="2" t="s">
        <v>50</v>
      </c>
      <c r="M216" s="2" t="s">
        <v>52</v>
      </c>
      <c r="N216" s="7">
        <v>15</v>
      </c>
      <c r="O216" s="4">
        <v>15</v>
      </c>
      <c r="P216" s="7">
        <v>16</v>
      </c>
      <c r="Q216" s="4">
        <v>16</v>
      </c>
      <c r="R216" s="2" t="s">
        <v>29</v>
      </c>
      <c r="S216" s="2"/>
      <c r="T216" s="4">
        <f>IF(R216&lt;&gt;"Observed","",SUMIFS($O$3:O216,$C$3:C216,C216,$R$3:R216,"Observed"))</f>
        <v>158</v>
      </c>
      <c r="U216" s="4">
        <f>IF(R216&lt;&gt;"Observed","",SUMIFS($Q$3:Q216,$C$3:C216,C216,$R$3:R216,"Observed"))</f>
        <v>48</v>
      </c>
      <c r="V216" s="4">
        <f t="shared" si="3"/>
        <v>110</v>
      </c>
    </row>
    <row r="217" spans="1:22">
      <c r="A217" s="2" t="s">
        <v>23</v>
      </c>
      <c r="B217" s="4">
        <v>13</v>
      </c>
      <c r="C217" s="2" t="s">
        <v>246</v>
      </c>
      <c r="D217" s="2" t="s">
        <v>25</v>
      </c>
      <c r="E217" s="2" t="s">
        <v>26</v>
      </c>
      <c r="F217" s="3">
        <v>46038</v>
      </c>
      <c r="G217" s="2" t="s">
        <v>247</v>
      </c>
      <c r="H217" s="4">
        <v>11</v>
      </c>
      <c r="I217" s="2" t="s">
        <v>30</v>
      </c>
      <c r="J217" s="2" t="s">
        <v>259</v>
      </c>
      <c r="K217" s="2" t="s">
        <v>260</v>
      </c>
      <c r="L217" s="2" t="s">
        <v>52</v>
      </c>
      <c r="M217" s="2" t="s">
        <v>54</v>
      </c>
      <c r="N217" s="7">
        <v>10</v>
      </c>
      <c r="O217" s="4">
        <v>10</v>
      </c>
      <c r="P217" s="7">
        <v>16</v>
      </c>
      <c r="Q217" s="4">
        <v>16</v>
      </c>
      <c r="R217" s="2" t="s">
        <v>29</v>
      </c>
      <c r="S217" s="2"/>
      <c r="T217" s="4">
        <f>IF(R217&lt;&gt;"Observed","",SUMIFS($O$3:O217,$C$3:C217,C217,$R$3:R217,"Observed"))</f>
        <v>168</v>
      </c>
      <c r="U217" s="4">
        <f>IF(R217&lt;&gt;"Observed","",SUMIFS($Q$3:Q217,$C$3:C217,C217,$R$3:R217,"Observed"))</f>
        <v>64</v>
      </c>
      <c r="V217" s="4">
        <f t="shared" si="3"/>
        <v>104</v>
      </c>
    </row>
    <row r="218" spans="1:22">
      <c r="A218" s="2" t="s">
        <v>23</v>
      </c>
      <c r="B218" s="4">
        <v>13</v>
      </c>
      <c r="C218" s="2" t="s">
        <v>246</v>
      </c>
      <c r="D218" s="2" t="s">
        <v>25</v>
      </c>
      <c r="E218" s="2" t="s">
        <v>26</v>
      </c>
      <c r="F218" s="3">
        <v>46038</v>
      </c>
      <c r="G218" s="2" t="s">
        <v>247</v>
      </c>
      <c r="H218" s="4">
        <v>12</v>
      </c>
      <c r="I218" s="2" t="s">
        <v>30</v>
      </c>
      <c r="J218" s="2" t="s">
        <v>260</v>
      </c>
      <c r="K218" s="2" t="s">
        <v>261</v>
      </c>
      <c r="L218" s="2" t="s">
        <v>54</v>
      </c>
      <c r="M218" s="2" t="s">
        <v>57</v>
      </c>
      <c r="N218" s="7">
        <v>9</v>
      </c>
      <c r="O218" s="4">
        <v>9</v>
      </c>
      <c r="P218" s="7">
        <v>26</v>
      </c>
      <c r="Q218" s="4">
        <v>26</v>
      </c>
      <c r="R218" s="2" t="s">
        <v>29</v>
      </c>
      <c r="S218" s="2"/>
      <c r="T218" s="4">
        <f>IF(R218&lt;&gt;"Observed","",SUMIFS($O$3:O218,$C$3:C218,C218,$R$3:R218,"Observed"))</f>
        <v>177</v>
      </c>
      <c r="U218" s="4">
        <f>IF(R218&lt;&gt;"Observed","",SUMIFS($Q$3:Q218,$C$3:C218,C218,$R$3:R218,"Observed"))</f>
        <v>90</v>
      </c>
      <c r="V218" s="4">
        <f t="shared" si="3"/>
        <v>87</v>
      </c>
    </row>
    <row r="219" spans="1:22">
      <c r="A219" s="2" t="s">
        <v>23</v>
      </c>
      <c r="B219" s="4">
        <v>13</v>
      </c>
      <c r="C219" s="2" t="s">
        <v>246</v>
      </c>
      <c r="D219" s="2" t="s">
        <v>25</v>
      </c>
      <c r="E219" s="2" t="s">
        <v>26</v>
      </c>
      <c r="F219" s="3">
        <v>46038</v>
      </c>
      <c r="G219" s="2" t="s">
        <v>247</v>
      </c>
      <c r="H219" s="4">
        <v>13</v>
      </c>
      <c r="I219" s="2" t="s">
        <v>30</v>
      </c>
      <c r="J219" s="2" t="s">
        <v>261</v>
      </c>
      <c r="K219" s="2" t="s">
        <v>262</v>
      </c>
      <c r="L219" s="2" t="s">
        <v>57</v>
      </c>
      <c r="M219" s="2" t="s">
        <v>59</v>
      </c>
      <c r="N219" s="7">
        <v>4</v>
      </c>
      <c r="O219" s="4">
        <v>4</v>
      </c>
      <c r="P219" s="7">
        <v>21</v>
      </c>
      <c r="Q219" s="4">
        <v>21</v>
      </c>
      <c r="R219" s="2" t="s">
        <v>29</v>
      </c>
      <c r="S219" s="2"/>
      <c r="T219" s="4">
        <f>IF(R219&lt;&gt;"Observed","",SUMIFS($O$3:O219,$C$3:C219,C219,$R$3:R219,"Observed"))</f>
        <v>181</v>
      </c>
      <c r="U219" s="4">
        <f>IF(R219&lt;&gt;"Observed","",SUMIFS($Q$3:Q219,$C$3:C219,C219,$R$3:R219,"Observed"))</f>
        <v>111</v>
      </c>
      <c r="V219" s="4">
        <f t="shared" si="3"/>
        <v>70</v>
      </c>
    </row>
    <row r="220" spans="1:22">
      <c r="A220" s="2" t="s">
        <v>23</v>
      </c>
      <c r="B220" s="4">
        <v>13</v>
      </c>
      <c r="C220" s="2" t="s">
        <v>246</v>
      </c>
      <c r="D220" s="2" t="s">
        <v>25</v>
      </c>
      <c r="E220" s="2" t="s">
        <v>26</v>
      </c>
      <c r="F220" s="3">
        <v>46038</v>
      </c>
      <c r="G220" s="2" t="s">
        <v>247</v>
      </c>
      <c r="H220" s="4">
        <v>14</v>
      </c>
      <c r="I220" s="2" t="s">
        <v>30</v>
      </c>
      <c r="J220" s="2" t="s">
        <v>262</v>
      </c>
      <c r="K220" s="2" t="s">
        <v>263</v>
      </c>
      <c r="L220" s="2" t="s">
        <v>59</v>
      </c>
      <c r="M220" s="2" t="s">
        <v>57</v>
      </c>
      <c r="N220" s="7">
        <v>2</v>
      </c>
      <c r="O220" s="4">
        <v>2</v>
      </c>
      <c r="P220" s="7">
        <v>22</v>
      </c>
      <c r="Q220" s="4">
        <v>22</v>
      </c>
      <c r="R220" s="2" t="s">
        <v>29</v>
      </c>
      <c r="S220" s="2"/>
      <c r="T220" s="4">
        <f>IF(R220&lt;&gt;"Observed","",SUMIFS($O$3:O220,$C$3:C220,C220,$R$3:R220,"Observed"))</f>
        <v>183</v>
      </c>
      <c r="U220" s="4">
        <f>IF(R220&lt;&gt;"Observed","",SUMIFS($Q$3:Q220,$C$3:C220,C220,$R$3:R220,"Observed"))</f>
        <v>133</v>
      </c>
      <c r="V220" s="4">
        <f t="shared" si="3"/>
        <v>50</v>
      </c>
    </row>
    <row r="221" spans="1:22" ht="28.5">
      <c r="A221" s="2" t="s">
        <v>23</v>
      </c>
      <c r="B221" s="4">
        <v>13</v>
      </c>
      <c r="C221" s="2" t="s">
        <v>246</v>
      </c>
      <c r="D221" s="2" t="s">
        <v>25</v>
      </c>
      <c r="E221" s="2" t="s">
        <v>26</v>
      </c>
      <c r="F221" s="3">
        <v>46038</v>
      </c>
      <c r="G221" s="2" t="s">
        <v>247</v>
      </c>
      <c r="H221" s="4">
        <v>15</v>
      </c>
      <c r="I221" s="2" t="s">
        <v>30</v>
      </c>
      <c r="J221" s="2" t="s">
        <v>263</v>
      </c>
      <c r="K221" s="2" t="s">
        <v>264</v>
      </c>
      <c r="L221" s="2" t="s">
        <v>57</v>
      </c>
      <c r="M221" s="2" t="s">
        <v>54</v>
      </c>
      <c r="N221" s="7">
        <v>1</v>
      </c>
      <c r="O221" s="4">
        <v>1</v>
      </c>
      <c r="P221" s="7">
        <v>21</v>
      </c>
      <c r="Q221" s="4">
        <v>21</v>
      </c>
      <c r="R221" s="2" t="s">
        <v>29</v>
      </c>
      <c r="S221" s="2" t="s">
        <v>265</v>
      </c>
      <c r="T221" s="4">
        <f>IF(R221&lt;&gt;"Observed","",SUMIFS($O$3:O221,$C$3:C221,C221,$R$3:R221,"Observed"))</f>
        <v>184</v>
      </c>
      <c r="U221" s="4">
        <f>IF(R221&lt;&gt;"Observed","",SUMIFS($Q$3:Q221,$C$3:C221,C221,$R$3:R221,"Observed"))</f>
        <v>154</v>
      </c>
      <c r="V221" s="4">
        <f t="shared" si="3"/>
        <v>30</v>
      </c>
    </row>
    <row r="222" spans="1:22" ht="28.5">
      <c r="A222" s="2" t="s">
        <v>23</v>
      </c>
      <c r="B222" s="4">
        <v>13</v>
      </c>
      <c r="C222" s="2" t="s">
        <v>246</v>
      </c>
      <c r="D222" s="2" t="s">
        <v>25</v>
      </c>
      <c r="E222" s="2" t="s">
        <v>26</v>
      </c>
      <c r="F222" s="3">
        <v>46038</v>
      </c>
      <c r="G222" s="2" t="s">
        <v>247</v>
      </c>
      <c r="H222" s="4">
        <v>16</v>
      </c>
      <c r="I222" s="2" t="s">
        <v>30</v>
      </c>
      <c r="J222" s="2" t="s">
        <v>264</v>
      </c>
      <c r="K222" s="2" t="s">
        <v>266</v>
      </c>
      <c r="L222" s="2" t="s">
        <v>54</v>
      </c>
      <c r="M222" s="2" t="s">
        <v>52</v>
      </c>
      <c r="N222" s="7">
        <v>2</v>
      </c>
      <c r="O222" s="4">
        <v>2</v>
      </c>
      <c r="P222" s="7">
        <v>10</v>
      </c>
      <c r="Q222" s="4">
        <v>10</v>
      </c>
      <c r="R222" s="2" t="s">
        <v>29</v>
      </c>
      <c r="S222" s="2" t="s">
        <v>267</v>
      </c>
      <c r="T222" s="4">
        <f>IF(R222&lt;&gt;"Observed","",SUMIFS($O$3:O222,$C$3:C222,C222,$R$3:R222,"Observed"))</f>
        <v>186</v>
      </c>
      <c r="U222" s="4">
        <f>IF(R222&lt;&gt;"Observed","",SUMIFS($Q$3:Q222,$C$3:C222,C222,$R$3:R222,"Observed"))</f>
        <v>164</v>
      </c>
      <c r="V222" s="4">
        <f t="shared" si="3"/>
        <v>22</v>
      </c>
    </row>
    <row r="223" spans="1:22" ht="28.5">
      <c r="A223" s="2" t="s">
        <v>23</v>
      </c>
      <c r="B223" s="4">
        <v>13</v>
      </c>
      <c r="C223" s="2" t="s">
        <v>246</v>
      </c>
      <c r="D223" s="2" t="s">
        <v>25</v>
      </c>
      <c r="E223" s="2" t="s">
        <v>26</v>
      </c>
      <c r="F223" s="3">
        <v>46038</v>
      </c>
      <c r="G223" s="2" t="s">
        <v>247</v>
      </c>
      <c r="H223" s="4">
        <v>17</v>
      </c>
      <c r="I223" s="2" t="s">
        <v>30</v>
      </c>
      <c r="J223" s="2" t="s">
        <v>266</v>
      </c>
      <c r="K223" s="2" t="s">
        <v>268</v>
      </c>
      <c r="L223" s="2" t="s">
        <v>52</v>
      </c>
      <c r="M223" s="2" t="s">
        <v>50</v>
      </c>
      <c r="N223" s="2" t="s">
        <v>250</v>
      </c>
      <c r="O223" s="4"/>
      <c r="P223" s="2" t="s">
        <v>250</v>
      </c>
      <c r="Q223" s="4"/>
      <c r="R223" s="2" t="s">
        <v>184</v>
      </c>
      <c r="S223" s="2" t="s">
        <v>269</v>
      </c>
      <c r="T223" s="4" t="str">
        <f>IF(R223&lt;&gt;"Observed","",SUMIFS($O$3:O223,$C$3:C223,C223,$R$3:R223,"Observed"))</f>
        <v/>
      </c>
      <c r="U223" s="4" t="str">
        <f>IF(R223&lt;&gt;"Observed","",SUMIFS($Q$3:Q223,$C$3:C223,C223,$R$3:R223,"Observed"))</f>
        <v/>
      </c>
      <c r="V223" s="4" t="str">
        <f t="shared" si="3"/>
        <v/>
      </c>
    </row>
    <row r="224" spans="1:22">
      <c r="A224" s="2" t="s">
        <v>23</v>
      </c>
      <c r="B224" s="4">
        <v>14</v>
      </c>
      <c r="C224" s="2" t="s">
        <v>270</v>
      </c>
      <c r="D224" s="2" t="s">
        <v>25</v>
      </c>
      <c r="E224" s="2" t="s">
        <v>26</v>
      </c>
      <c r="F224" s="3">
        <v>46102</v>
      </c>
      <c r="G224" s="2" t="s">
        <v>271</v>
      </c>
      <c r="H224" s="4">
        <v>1</v>
      </c>
      <c r="I224" s="2" t="s">
        <v>28</v>
      </c>
      <c r="J224" s="2" t="s">
        <v>28</v>
      </c>
      <c r="K224" s="2"/>
      <c r="L224" s="2"/>
      <c r="M224" s="2"/>
      <c r="N224" s="7">
        <v>0</v>
      </c>
      <c r="O224" s="4">
        <v>0</v>
      </c>
      <c r="P224" s="7">
        <v>0</v>
      </c>
      <c r="Q224" s="4">
        <v>0</v>
      </c>
      <c r="R224" s="2" t="s">
        <v>29</v>
      </c>
      <c r="S224" s="2"/>
      <c r="T224" s="4">
        <f>IF(R224&lt;&gt;"Observed","",SUMIFS($O$3:O224,$C$3:C224,C224,$R$3:R224,"Observed"))</f>
        <v>0</v>
      </c>
      <c r="U224" s="4">
        <f>IF(R224&lt;&gt;"Observed","",SUMIFS($Q$3:Q224,$C$3:C224,C224,$R$3:R224,"Observed"))</f>
        <v>0</v>
      </c>
      <c r="V224" s="4">
        <f t="shared" si="3"/>
        <v>0</v>
      </c>
    </row>
    <row r="225" spans="1:22">
      <c r="A225" s="2" t="s">
        <v>23</v>
      </c>
      <c r="B225" s="4">
        <v>14</v>
      </c>
      <c r="C225" s="2" t="s">
        <v>270</v>
      </c>
      <c r="D225" s="2" t="s">
        <v>25</v>
      </c>
      <c r="E225" s="2" t="s">
        <v>26</v>
      </c>
      <c r="F225" s="3">
        <v>46102</v>
      </c>
      <c r="G225" s="2" t="s">
        <v>271</v>
      </c>
      <c r="H225" s="4">
        <v>2</v>
      </c>
      <c r="I225" s="2" t="s">
        <v>30</v>
      </c>
      <c r="J225" s="2" t="s">
        <v>272</v>
      </c>
      <c r="K225" s="2" t="s">
        <v>273</v>
      </c>
      <c r="L225" s="2" t="s">
        <v>33</v>
      </c>
      <c r="M225" s="2" t="s">
        <v>34</v>
      </c>
      <c r="N225" s="7">
        <v>0</v>
      </c>
      <c r="O225" s="4">
        <v>0</v>
      </c>
      <c r="P225" s="7">
        <v>0</v>
      </c>
      <c r="Q225" s="4">
        <v>0</v>
      </c>
      <c r="R225" s="2" t="s">
        <v>29</v>
      </c>
      <c r="S225" s="2"/>
      <c r="T225" s="4">
        <f>IF(R225&lt;&gt;"Observed","",SUMIFS($O$3:O225,$C$3:C225,C225,$R$3:R225,"Observed"))</f>
        <v>0</v>
      </c>
      <c r="U225" s="4">
        <f>IF(R225&lt;&gt;"Observed","",SUMIFS($Q$3:Q225,$C$3:C225,C225,$R$3:R225,"Observed"))</f>
        <v>0</v>
      </c>
      <c r="V225" s="4">
        <f t="shared" si="3"/>
        <v>0</v>
      </c>
    </row>
    <row r="226" spans="1:22">
      <c r="A226" s="2" t="s">
        <v>23</v>
      </c>
      <c r="B226" s="4">
        <v>14</v>
      </c>
      <c r="C226" s="2" t="s">
        <v>270</v>
      </c>
      <c r="D226" s="2" t="s">
        <v>25</v>
      </c>
      <c r="E226" s="2" t="s">
        <v>26</v>
      </c>
      <c r="F226" s="3">
        <v>46102</v>
      </c>
      <c r="G226" s="2" t="s">
        <v>271</v>
      </c>
      <c r="H226" s="4">
        <v>3</v>
      </c>
      <c r="I226" s="2" t="s">
        <v>30</v>
      </c>
      <c r="J226" s="2" t="s">
        <v>273</v>
      </c>
      <c r="K226" s="2" t="s">
        <v>274</v>
      </c>
      <c r="L226" s="2" t="s">
        <v>34</v>
      </c>
      <c r="M226" s="2" t="s">
        <v>37</v>
      </c>
      <c r="N226" s="7">
        <v>1</v>
      </c>
      <c r="O226" s="4">
        <v>1</v>
      </c>
      <c r="P226" s="7">
        <v>1</v>
      </c>
      <c r="Q226" s="4">
        <v>1</v>
      </c>
      <c r="R226" s="2" t="s">
        <v>29</v>
      </c>
      <c r="S226" s="2"/>
      <c r="T226" s="4">
        <f>IF(R226&lt;&gt;"Observed","",SUMIFS($O$3:O226,$C$3:C226,C226,$R$3:R226,"Observed"))</f>
        <v>1</v>
      </c>
      <c r="U226" s="4">
        <f>IF(R226&lt;&gt;"Observed","",SUMIFS($Q$3:Q226,$C$3:C226,C226,$R$3:R226,"Observed"))</f>
        <v>1</v>
      </c>
      <c r="V226" s="4">
        <f t="shared" si="3"/>
        <v>0</v>
      </c>
    </row>
    <row r="227" spans="1:22">
      <c r="A227" s="2" t="s">
        <v>23</v>
      </c>
      <c r="B227" s="4">
        <v>14</v>
      </c>
      <c r="C227" s="2" t="s">
        <v>270</v>
      </c>
      <c r="D227" s="2" t="s">
        <v>25</v>
      </c>
      <c r="E227" s="2" t="s">
        <v>26</v>
      </c>
      <c r="F227" s="3">
        <v>46102</v>
      </c>
      <c r="G227" s="2" t="s">
        <v>271</v>
      </c>
      <c r="H227" s="4">
        <v>4</v>
      </c>
      <c r="I227" s="2" t="s">
        <v>30</v>
      </c>
      <c r="J227" s="2" t="s">
        <v>274</v>
      </c>
      <c r="K227" s="2" t="s">
        <v>275</v>
      </c>
      <c r="L227" s="2" t="s">
        <v>37</v>
      </c>
      <c r="M227" s="2" t="s">
        <v>39</v>
      </c>
      <c r="N227" s="7">
        <v>2</v>
      </c>
      <c r="O227" s="4">
        <v>2</v>
      </c>
      <c r="P227" s="7">
        <v>0</v>
      </c>
      <c r="Q227" s="4">
        <v>0</v>
      </c>
      <c r="R227" s="2" t="s">
        <v>29</v>
      </c>
      <c r="S227" s="2"/>
      <c r="T227" s="4">
        <f>IF(R227&lt;&gt;"Observed","",SUMIFS($O$3:O227,$C$3:C227,C227,$R$3:R227,"Observed"))</f>
        <v>3</v>
      </c>
      <c r="U227" s="4">
        <f>IF(R227&lt;&gt;"Observed","",SUMIFS($Q$3:Q227,$C$3:C227,C227,$R$3:R227,"Observed"))</f>
        <v>1</v>
      </c>
      <c r="V227" s="4">
        <f t="shared" si="3"/>
        <v>2</v>
      </c>
    </row>
    <row r="228" spans="1:22">
      <c r="A228" s="2" t="s">
        <v>23</v>
      </c>
      <c r="B228" s="4">
        <v>14</v>
      </c>
      <c r="C228" s="2" t="s">
        <v>270</v>
      </c>
      <c r="D228" s="2" t="s">
        <v>25</v>
      </c>
      <c r="E228" s="2" t="s">
        <v>26</v>
      </c>
      <c r="F228" s="3">
        <v>46102</v>
      </c>
      <c r="G228" s="2" t="s">
        <v>271</v>
      </c>
      <c r="H228" s="4">
        <v>5</v>
      </c>
      <c r="I228" s="2" t="s">
        <v>30</v>
      </c>
      <c r="J228" s="2" t="s">
        <v>275</v>
      </c>
      <c r="K228" s="2" t="s">
        <v>276</v>
      </c>
      <c r="L228" s="2" t="s">
        <v>39</v>
      </c>
      <c r="M228" s="2" t="s">
        <v>41</v>
      </c>
      <c r="N228" s="7">
        <v>18</v>
      </c>
      <c r="O228" s="4">
        <v>18</v>
      </c>
      <c r="P228" s="7">
        <v>0</v>
      </c>
      <c r="Q228" s="4">
        <v>0</v>
      </c>
      <c r="R228" s="2" t="s">
        <v>29</v>
      </c>
      <c r="S228" s="2"/>
      <c r="T228" s="4">
        <f>IF(R228&lt;&gt;"Observed","",SUMIFS($O$3:O228,$C$3:C228,C228,$R$3:R228,"Observed"))</f>
        <v>21</v>
      </c>
      <c r="U228" s="4">
        <f>IF(R228&lt;&gt;"Observed","",SUMIFS($Q$3:Q228,$C$3:C228,C228,$R$3:R228,"Observed"))</f>
        <v>1</v>
      </c>
      <c r="V228" s="4">
        <f t="shared" si="3"/>
        <v>20</v>
      </c>
    </row>
    <row r="229" spans="1:22">
      <c r="A229" s="2" t="s">
        <v>23</v>
      </c>
      <c r="B229" s="4">
        <v>14</v>
      </c>
      <c r="C229" s="2" t="s">
        <v>270</v>
      </c>
      <c r="D229" s="2" t="s">
        <v>25</v>
      </c>
      <c r="E229" s="2" t="s">
        <v>26</v>
      </c>
      <c r="F229" s="3">
        <v>46102</v>
      </c>
      <c r="G229" s="2" t="s">
        <v>271</v>
      </c>
      <c r="H229" s="4">
        <v>6</v>
      </c>
      <c r="I229" s="2" t="s">
        <v>30</v>
      </c>
      <c r="J229" s="2" t="s">
        <v>276</v>
      </c>
      <c r="K229" s="2" t="s">
        <v>277</v>
      </c>
      <c r="L229" s="2" t="s">
        <v>41</v>
      </c>
      <c r="M229" s="2" t="s">
        <v>43</v>
      </c>
      <c r="N229" s="7">
        <v>37</v>
      </c>
      <c r="O229" s="4">
        <v>37</v>
      </c>
      <c r="P229" s="7">
        <v>2</v>
      </c>
      <c r="Q229" s="4">
        <v>2</v>
      </c>
      <c r="R229" s="2" t="s">
        <v>29</v>
      </c>
      <c r="S229" s="2"/>
      <c r="T229" s="4">
        <f>IF(R229&lt;&gt;"Observed","",SUMIFS($O$3:O229,$C$3:C229,C229,$R$3:R229,"Observed"))</f>
        <v>58</v>
      </c>
      <c r="U229" s="4">
        <f>IF(R229&lt;&gt;"Observed","",SUMIFS($Q$3:Q229,$C$3:C229,C229,$R$3:R229,"Observed"))</f>
        <v>3</v>
      </c>
      <c r="V229" s="4">
        <f t="shared" si="3"/>
        <v>55</v>
      </c>
    </row>
    <row r="230" spans="1:22">
      <c r="A230" s="2" t="s">
        <v>23</v>
      </c>
      <c r="B230" s="4">
        <v>14</v>
      </c>
      <c r="C230" s="2" t="s">
        <v>270</v>
      </c>
      <c r="D230" s="2" t="s">
        <v>25</v>
      </c>
      <c r="E230" s="2" t="s">
        <v>26</v>
      </c>
      <c r="F230" s="3">
        <v>46102</v>
      </c>
      <c r="G230" s="2" t="s">
        <v>271</v>
      </c>
      <c r="H230" s="4">
        <v>7</v>
      </c>
      <c r="I230" s="2" t="s">
        <v>30</v>
      </c>
      <c r="J230" s="2" t="s">
        <v>277</v>
      </c>
      <c r="K230" s="2" t="s">
        <v>278</v>
      </c>
      <c r="L230" s="2" t="s">
        <v>43</v>
      </c>
      <c r="M230" s="2" t="s">
        <v>45</v>
      </c>
      <c r="N230" s="7">
        <v>55</v>
      </c>
      <c r="O230" s="4">
        <v>55</v>
      </c>
      <c r="P230" s="7">
        <v>2</v>
      </c>
      <c r="Q230" s="4">
        <v>2</v>
      </c>
      <c r="R230" s="2" t="s">
        <v>29</v>
      </c>
      <c r="S230" s="2"/>
      <c r="T230" s="4">
        <f>IF(R230&lt;&gt;"Observed","",SUMIFS($O$3:O230,$C$3:C230,C230,$R$3:R230,"Observed"))</f>
        <v>113</v>
      </c>
      <c r="U230" s="4">
        <f>IF(R230&lt;&gt;"Observed","",SUMIFS($Q$3:Q230,$C$3:C230,C230,$R$3:R230,"Observed"))</f>
        <v>5</v>
      </c>
      <c r="V230" s="4">
        <f t="shared" si="3"/>
        <v>108</v>
      </c>
    </row>
    <row r="231" spans="1:22">
      <c r="A231" s="2" t="s">
        <v>23</v>
      </c>
      <c r="B231" s="4">
        <v>14</v>
      </c>
      <c r="C231" s="2" t="s">
        <v>270</v>
      </c>
      <c r="D231" s="2" t="s">
        <v>25</v>
      </c>
      <c r="E231" s="2" t="s">
        <v>26</v>
      </c>
      <c r="F231" s="3">
        <v>46102</v>
      </c>
      <c r="G231" s="2" t="s">
        <v>271</v>
      </c>
      <c r="H231" s="4">
        <v>8</v>
      </c>
      <c r="I231" s="2" t="s">
        <v>30</v>
      </c>
      <c r="J231" s="2" t="s">
        <v>278</v>
      </c>
      <c r="K231" s="2" t="s">
        <v>279</v>
      </c>
      <c r="L231" s="2" t="s">
        <v>45</v>
      </c>
      <c r="M231" s="2" t="s">
        <v>48</v>
      </c>
      <c r="N231" s="7">
        <v>76</v>
      </c>
      <c r="O231" s="4">
        <v>76</v>
      </c>
      <c r="P231" s="7">
        <v>2</v>
      </c>
      <c r="Q231" s="4">
        <v>2</v>
      </c>
      <c r="R231" s="2" t="s">
        <v>29</v>
      </c>
      <c r="S231" s="2"/>
      <c r="T231" s="4">
        <f>IF(R231&lt;&gt;"Observed","",SUMIFS($O$3:O231,$C$3:C231,C231,$R$3:R231,"Observed"))</f>
        <v>189</v>
      </c>
      <c r="U231" s="4">
        <f>IF(R231&lt;&gt;"Observed","",SUMIFS($Q$3:Q231,$C$3:C231,C231,$R$3:R231,"Observed"))</f>
        <v>7</v>
      </c>
      <c r="V231" s="4">
        <f t="shared" si="3"/>
        <v>182</v>
      </c>
    </row>
    <row r="232" spans="1:22">
      <c r="A232" s="2" t="s">
        <v>23</v>
      </c>
      <c r="B232" s="4">
        <v>14</v>
      </c>
      <c r="C232" s="2" t="s">
        <v>270</v>
      </c>
      <c r="D232" s="2" t="s">
        <v>25</v>
      </c>
      <c r="E232" s="2" t="s">
        <v>26</v>
      </c>
      <c r="F232" s="3">
        <v>46102</v>
      </c>
      <c r="G232" s="2" t="s">
        <v>271</v>
      </c>
      <c r="H232" s="4">
        <v>9</v>
      </c>
      <c r="I232" s="2" t="s">
        <v>30</v>
      </c>
      <c r="J232" s="2" t="s">
        <v>279</v>
      </c>
      <c r="K232" s="2" t="s">
        <v>280</v>
      </c>
      <c r="L232" s="2" t="s">
        <v>48</v>
      </c>
      <c r="M232" s="2" t="s">
        <v>50</v>
      </c>
      <c r="N232" s="7">
        <v>61</v>
      </c>
      <c r="O232" s="4">
        <v>61</v>
      </c>
      <c r="P232" s="7">
        <v>3</v>
      </c>
      <c r="Q232" s="4">
        <v>3</v>
      </c>
      <c r="R232" s="2" t="s">
        <v>29</v>
      </c>
      <c r="S232" s="2"/>
      <c r="T232" s="4">
        <f>IF(R232&lt;&gt;"Observed","",SUMIFS($O$3:O232,$C$3:C232,C232,$R$3:R232,"Observed"))</f>
        <v>250</v>
      </c>
      <c r="U232" s="4">
        <f>IF(R232&lt;&gt;"Observed","",SUMIFS($Q$3:Q232,$C$3:C232,C232,$R$3:R232,"Observed"))</f>
        <v>10</v>
      </c>
      <c r="V232" s="4">
        <f t="shared" si="3"/>
        <v>240</v>
      </c>
    </row>
    <row r="233" spans="1:22">
      <c r="A233" s="2" t="s">
        <v>23</v>
      </c>
      <c r="B233" s="4">
        <v>14</v>
      </c>
      <c r="C233" s="2" t="s">
        <v>270</v>
      </c>
      <c r="D233" s="2" t="s">
        <v>25</v>
      </c>
      <c r="E233" s="2" t="s">
        <v>26</v>
      </c>
      <c r="F233" s="3">
        <v>46102</v>
      </c>
      <c r="G233" s="2" t="s">
        <v>271</v>
      </c>
      <c r="H233" s="4">
        <v>10</v>
      </c>
      <c r="I233" s="2" t="s">
        <v>30</v>
      </c>
      <c r="J233" s="2" t="s">
        <v>280</v>
      </c>
      <c r="K233" s="2" t="s">
        <v>281</v>
      </c>
      <c r="L233" s="2" t="s">
        <v>50</v>
      </c>
      <c r="M233" s="2" t="s">
        <v>52</v>
      </c>
      <c r="N233" s="7">
        <v>30</v>
      </c>
      <c r="O233" s="4">
        <v>30</v>
      </c>
      <c r="P233" s="7">
        <v>12</v>
      </c>
      <c r="Q233" s="4">
        <v>12</v>
      </c>
      <c r="R233" s="2" t="s">
        <v>29</v>
      </c>
      <c r="S233" s="2"/>
      <c r="T233" s="4">
        <f>IF(R233&lt;&gt;"Observed","",SUMIFS($O$3:O233,$C$3:C233,C233,$R$3:R233,"Observed"))</f>
        <v>280</v>
      </c>
      <c r="U233" s="4">
        <f>IF(R233&lt;&gt;"Observed","",SUMIFS($Q$3:Q233,$C$3:C233,C233,$R$3:R233,"Observed"))</f>
        <v>22</v>
      </c>
      <c r="V233" s="4">
        <f t="shared" si="3"/>
        <v>258</v>
      </c>
    </row>
    <row r="234" spans="1:22">
      <c r="A234" s="2" t="s">
        <v>23</v>
      </c>
      <c r="B234" s="4">
        <v>14</v>
      </c>
      <c r="C234" s="2" t="s">
        <v>270</v>
      </c>
      <c r="D234" s="2" t="s">
        <v>25</v>
      </c>
      <c r="E234" s="2" t="s">
        <v>26</v>
      </c>
      <c r="F234" s="3">
        <v>46102</v>
      </c>
      <c r="G234" s="2" t="s">
        <v>271</v>
      </c>
      <c r="H234" s="4">
        <v>11</v>
      </c>
      <c r="I234" s="2" t="s">
        <v>30</v>
      </c>
      <c r="J234" s="2" t="s">
        <v>281</v>
      </c>
      <c r="K234" s="2" t="s">
        <v>282</v>
      </c>
      <c r="L234" s="2" t="s">
        <v>52</v>
      </c>
      <c r="M234" s="2" t="s">
        <v>54</v>
      </c>
      <c r="N234" s="7">
        <v>24</v>
      </c>
      <c r="O234" s="4">
        <v>24</v>
      </c>
      <c r="P234" s="7">
        <v>16</v>
      </c>
      <c r="Q234" s="4">
        <v>16</v>
      </c>
      <c r="R234" s="2" t="s">
        <v>29</v>
      </c>
      <c r="S234" s="2"/>
      <c r="T234" s="4">
        <f>IF(R234&lt;&gt;"Observed","",SUMIFS($O$3:O234,$C$3:C234,C234,$R$3:R234,"Observed"))</f>
        <v>304</v>
      </c>
      <c r="U234" s="4">
        <f>IF(R234&lt;&gt;"Observed","",SUMIFS($Q$3:Q234,$C$3:C234,C234,$R$3:R234,"Observed"))</f>
        <v>38</v>
      </c>
      <c r="V234" s="4">
        <f t="shared" si="3"/>
        <v>266</v>
      </c>
    </row>
    <row r="235" spans="1:22">
      <c r="A235" s="2" t="s">
        <v>23</v>
      </c>
      <c r="B235" s="4">
        <v>14</v>
      </c>
      <c r="C235" s="2" t="s">
        <v>270</v>
      </c>
      <c r="D235" s="2" t="s">
        <v>25</v>
      </c>
      <c r="E235" s="2" t="s">
        <v>26</v>
      </c>
      <c r="F235" s="3">
        <v>46102</v>
      </c>
      <c r="G235" s="2" t="s">
        <v>271</v>
      </c>
      <c r="H235" s="4">
        <v>12</v>
      </c>
      <c r="I235" s="2" t="s">
        <v>30</v>
      </c>
      <c r="J235" s="2" t="s">
        <v>282</v>
      </c>
      <c r="K235" s="2" t="s">
        <v>283</v>
      </c>
      <c r="L235" s="2" t="s">
        <v>54</v>
      </c>
      <c r="M235" s="2" t="s">
        <v>57</v>
      </c>
      <c r="N235" s="7">
        <v>21</v>
      </c>
      <c r="O235" s="4">
        <v>21</v>
      </c>
      <c r="P235" s="7">
        <v>29</v>
      </c>
      <c r="Q235" s="4">
        <v>29</v>
      </c>
      <c r="R235" s="2" t="s">
        <v>29</v>
      </c>
      <c r="S235" s="2"/>
      <c r="T235" s="4">
        <f>IF(R235&lt;&gt;"Observed","",SUMIFS($O$3:O235,$C$3:C235,C235,$R$3:R235,"Observed"))</f>
        <v>325</v>
      </c>
      <c r="U235" s="4">
        <f>IF(R235&lt;&gt;"Observed","",SUMIFS($Q$3:Q235,$C$3:C235,C235,$R$3:R235,"Observed"))</f>
        <v>67</v>
      </c>
      <c r="V235" s="4">
        <f t="shared" si="3"/>
        <v>258</v>
      </c>
    </row>
    <row r="236" spans="1:22">
      <c r="A236" s="2" t="s">
        <v>23</v>
      </c>
      <c r="B236" s="4">
        <v>14</v>
      </c>
      <c r="C236" s="2" t="s">
        <v>270</v>
      </c>
      <c r="D236" s="2" t="s">
        <v>25</v>
      </c>
      <c r="E236" s="2" t="s">
        <v>26</v>
      </c>
      <c r="F236" s="3">
        <v>46102</v>
      </c>
      <c r="G236" s="2" t="s">
        <v>271</v>
      </c>
      <c r="H236" s="4">
        <v>13</v>
      </c>
      <c r="I236" s="2" t="s">
        <v>30</v>
      </c>
      <c r="J236" s="2" t="s">
        <v>283</v>
      </c>
      <c r="K236" s="2" t="s">
        <v>284</v>
      </c>
      <c r="L236" s="2" t="s">
        <v>57</v>
      </c>
      <c r="M236" s="2" t="s">
        <v>59</v>
      </c>
      <c r="N236" s="7">
        <v>17</v>
      </c>
      <c r="O236" s="4">
        <v>17</v>
      </c>
      <c r="P236" s="7">
        <v>51</v>
      </c>
      <c r="Q236" s="4">
        <v>51</v>
      </c>
      <c r="R236" s="2" t="s">
        <v>29</v>
      </c>
      <c r="S236" s="2"/>
      <c r="T236" s="4">
        <f>IF(R236&lt;&gt;"Observed","",SUMIFS($O$3:O236,$C$3:C236,C236,$R$3:R236,"Observed"))</f>
        <v>342</v>
      </c>
      <c r="U236" s="4">
        <f>IF(R236&lt;&gt;"Observed","",SUMIFS($Q$3:Q236,$C$3:C236,C236,$R$3:R236,"Observed"))</f>
        <v>118</v>
      </c>
      <c r="V236" s="4">
        <f t="shared" si="3"/>
        <v>224</v>
      </c>
    </row>
    <row r="237" spans="1:22">
      <c r="A237" s="2" t="s">
        <v>23</v>
      </c>
      <c r="B237" s="4">
        <v>14</v>
      </c>
      <c r="C237" s="2" t="s">
        <v>270</v>
      </c>
      <c r="D237" s="2" t="s">
        <v>25</v>
      </c>
      <c r="E237" s="2" t="s">
        <v>26</v>
      </c>
      <c r="F237" s="3">
        <v>46102</v>
      </c>
      <c r="G237" s="2" t="s">
        <v>271</v>
      </c>
      <c r="H237" s="4">
        <v>14</v>
      </c>
      <c r="I237" s="2" t="s">
        <v>30</v>
      </c>
      <c r="J237" s="2" t="s">
        <v>284</v>
      </c>
      <c r="K237" s="2" t="s">
        <v>285</v>
      </c>
      <c r="L237" s="2" t="s">
        <v>59</v>
      </c>
      <c r="M237" s="2" t="s">
        <v>57</v>
      </c>
      <c r="N237" s="7">
        <v>5</v>
      </c>
      <c r="O237" s="4">
        <v>5</v>
      </c>
      <c r="P237" s="7">
        <v>39</v>
      </c>
      <c r="Q237" s="4">
        <v>39</v>
      </c>
      <c r="R237" s="2" t="s">
        <v>29</v>
      </c>
      <c r="S237" s="2"/>
      <c r="T237" s="4">
        <f>IF(R237&lt;&gt;"Observed","",SUMIFS($O$3:O237,$C$3:C237,C237,$R$3:R237,"Observed"))</f>
        <v>347</v>
      </c>
      <c r="U237" s="4">
        <f>IF(R237&lt;&gt;"Observed","",SUMIFS($Q$3:Q237,$C$3:C237,C237,$R$3:R237,"Observed"))</f>
        <v>157</v>
      </c>
      <c r="V237" s="4">
        <f t="shared" si="3"/>
        <v>190</v>
      </c>
    </row>
    <row r="238" spans="1:22">
      <c r="A238" s="2" t="s">
        <v>23</v>
      </c>
      <c r="B238" s="4">
        <v>14</v>
      </c>
      <c r="C238" s="2" t="s">
        <v>270</v>
      </c>
      <c r="D238" s="2" t="s">
        <v>25</v>
      </c>
      <c r="E238" s="2" t="s">
        <v>26</v>
      </c>
      <c r="F238" s="3">
        <v>46102</v>
      </c>
      <c r="G238" s="2" t="s">
        <v>271</v>
      </c>
      <c r="H238" s="4">
        <v>15</v>
      </c>
      <c r="I238" s="2" t="s">
        <v>30</v>
      </c>
      <c r="J238" s="2" t="s">
        <v>285</v>
      </c>
      <c r="K238" s="2" t="s">
        <v>286</v>
      </c>
      <c r="L238" s="2" t="s">
        <v>57</v>
      </c>
      <c r="M238" s="2" t="s">
        <v>54</v>
      </c>
      <c r="N238" s="7">
        <v>5</v>
      </c>
      <c r="O238" s="4">
        <v>5</v>
      </c>
      <c r="P238" s="7">
        <v>30</v>
      </c>
      <c r="Q238" s="4">
        <v>30</v>
      </c>
      <c r="R238" s="2" t="s">
        <v>29</v>
      </c>
      <c r="S238" s="2"/>
      <c r="T238" s="4">
        <f>IF(R238&lt;&gt;"Observed","",SUMIFS($O$3:O238,$C$3:C238,C238,$R$3:R238,"Observed"))</f>
        <v>352</v>
      </c>
      <c r="U238" s="4">
        <f>IF(R238&lt;&gt;"Observed","",SUMIFS($Q$3:Q238,$C$3:C238,C238,$R$3:R238,"Observed"))</f>
        <v>187</v>
      </c>
      <c r="V238" s="4">
        <f t="shared" si="3"/>
        <v>165</v>
      </c>
    </row>
    <row r="239" spans="1:22">
      <c r="A239" s="2" t="s">
        <v>23</v>
      </c>
      <c r="B239" s="4">
        <v>14</v>
      </c>
      <c r="C239" s="2" t="s">
        <v>270</v>
      </c>
      <c r="D239" s="2" t="s">
        <v>25</v>
      </c>
      <c r="E239" s="2" t="s">
        <v>26</v>
      </c>
      <c r="F239" s="3">
        <v>46102</v>
      </c>
      <c r="G239" s="2" t="s">
        <v>271</v>
      </c>
      <c r="H239" s="4">
        <v>16</v>
      </c>
      <c r="I239" s="2" t="s">
        <v>30</v>
      </c>
      <c r="J239" s="2" t="s">
        <v>286</v>
      </c>
      <c r="K239" s="2" t="s">
        <v>287</v>
      </c>
      <c r="L239" s="2" t="s">
        <v>54</v>
      </c>
      <c r="M239" s="2" t="s">
        <v>52</v>
      </c>
      <c r="N239" s="7">
        <v>9</v>
      </c>
      <c r="O239" s="4">
        <v>9</v>
      </c>
      <c r="P239" s="7">
        <v>27</v>
      </c>
      <c r="Q239" s="4">
        <v>27</v>
      </c>
      <c r="R239" s="2" t="s">
        <v>29</v>
      </c>
      <c r="S239" s="2"/>
      <c r="T239" s="4">
        <f>IF(R239&lt;&gt;"Observed","",SUMIFS($O$3:O239,$C$3:C239,C239,$R$3:R239,"Observed"))</f>
        <v>361</v>
      </c>
      <c r="U239" s="4">
        <f>IF(R239&lt;&gt;"Observed","",SUMIFS($Q$3:Q239,$C$3:C239,C239,$R$3:R239,"Observed"))</f>
        <v>214</v>
      </c>
      <c r="V239" s="4">
        <f t="shared" si="3"/>
        <v>147</v>
      </c>
    </row>
    <row r="240" spans="1:22">
      <c r="A240" s="2" t="s">
        <v>23</v>
      </c>
      <c r="B240" s="4">
        <v>14</v>
      </c>
      <c r="C240" s="2" t="s">
        <v>270</v>
      </c>
      <c r="D240" s="2" t="s">
        <v>25</v>
      </c>
      <c r="E240" s="2" t="s">
        <v>26</v>
      </c>
      <c r="F240" s="3">
        <v>46102</v>
      </c>
      <c r="G240" s="2" t="s">
        <v>271</v>
      </c>
      <c r="H240" s="4">
        <v>17</v>
      </c>
      <c r="I240" s="2" t="s">
        <v>30</v>
      </c>
      <c r="J240" s="2" t="s">
        <v>287</v>
      </c>
      <c r="K240" s="2" t="s">
        <v>288</v>
      </c>
      <c r="L240" s="2" t="s">
        <v>52</v>
      </c>
      <c r="M240" s="2" t="s">
        <v>50</v>
      </c>
      <c r="N240" s="7">
        <v>7</v>
      </c>
      <c r="O240" s="4">
        <v>7</v>
      </c>
      <c r="P240" s="7">
        <v>27</v>
      </c>
      <c r="Q240" s="4">
        <v>27</v>
      </c>
      <c r="R240" s="2" t="s">
        <v>29</v>
      </c>
      <c r="S240" s="2"/>
      <c r="T240" s="4">
        <f>IF(R240&lt;&gt;"Observed","",SUMIFS($O$3:O240,$C$3:C240,C240,$R$3:R240,"Observed"))</f>
        <v>368</v>
      </c>
      <c r="U240" s="4">
        <f>IF(R240&lt;&gt;"Observed","",SUMIFS($Q$3:Q240,$C$3:C240,C240,$R$3:R240,"Observed"))</f>
        <v>241</v>
      </c>
      <c r="V240" s="4">
        <f t="shared" si="3"/>
        <v>127</v>
      </c>
    </row>
    <row r="241" spans="1:22">
      <c r="A241" s="2" t="s">
        <v>23</v>
      </c>
      <c r="B241" s="4">
        <v>15</v>
      </c>
      <c r="C241" s="2" t="s">
        <v>289</v>
      </c>
      <c r="D241" s="2" t="s">
        <v>213</v>
      </c>
      <c r="E241" s="2" t="s">
        <v>214</v>
      </c>
      <c r="F241" s="3">
        <v>46145</v>
      </c>
      <c r="G241" s="2" t="s">
        <v>27</v>
      </c>
      <c r="H241" s="4">
        <v>1</v>
      </c>
      <c r="I241" s="2" t="s">
        <v>28</v>
      </c>
      <c r="J241" s="2" t="s">
        <v>28</v>
      </c>
      <c r="K241" s="2"/>
      <c r="L241" s="2"/>
      <c r="M241" s="2"/>
      <c r="N241" s="7">
        <v>2</v>
      </c>
      <c r="O241" s="4">
        <v>2</v>
      </c>
      <c r="P241" s="7">
        <v>0</v>
      </c>
      <c r="Q241" s="4">
        <v>0</v>
      </c>
      <c r="R241" s="2" t="s">
        <v>29</v>
      </c>
      <c r="S241" s="2"/>
      <c r="T241" s="4">
        <f>IF(R241&lt;&gt;"Observed","",SUMIFS($O$3:O241,$C$3:C241,C241,$R$3:R241,"Observed"))</f>
        <v>2</v>
      </c>
      <c r="U241" s="4">
        <f>IF(R241&lt;&gt;"Observed","",SUMIFS($Q$3:Q241,$C$3:C241,C241,$R$3:R241,"Observed"))</f>
        <v>0</v>
      </c>
      <c r="V241" s="4">
        <f t="shared" si="3"/>
        <v>2</v>
      </c>
    </row>
    <row r="242" spans="1:22">
      <c r="A242" s="2" t="s">
        <v>23</v>
      </c>
      <c r="B242" s="4">
        <v>15</v>
      </c>
      <c r="C242" s="2" t="s">
        <v>289</v>
      </c>
      <c r="D242" s="2" t="s">
        <v>213</v>
      </c>
      <c r="E242" s="2" t="s">
        <v>214</v>
      </c>
      <c r="F242" s="3">
        <v>46145</v>
      </c>
      <c r="G242" s="2" t="s">
        <v>27</v>
      </c>
      <c r="H242" s="4">
        <v>2</v>
      </c>
      <c r="I242" s="2" t="s">
        <v>30</v>
      </c>
      <c r="J242" s="2" t="s">
        <v>290</v>
      </c>
      <c r="K242" s="2" t="s">
        <v>291</v>
      </c>
      <c r="L242" s="2" t="s">
        <v>33</v>
      </c>
      <c r="M242" s="2" t="s">
        <v>34</v>
      </c>
      <c r="N242" s="7">
        <v>2</v>
      </c>
      <c r="O242" s="4">
        <v>2</v>
      </c>
      <c r="P242" s="7">
        <v>0</v>
      </c>
      <c r="Q242" s="4">
        <v>0</v>
      </c>
      <c r="R242" s="2" t="s">
        <v>29</v>
      </c>
      <c r="S242" s="2"/>
      <c r="T242" s="4">
        <f>IF(R242&lt;&gt;"Observed","",SUMIFS($O$3:O242,$C$3:C242,C242,$R$3:R242,"Observed"))</f>
        <v>4</v>
      </c>
      <c r="U242" s="4">
        <f>IF(R242&lt;&gt;"Observed","",SUMIFS($Q$3:Q242,$C$3:C242,C242,$R$3:R242,"Observed"))</f>
        <v>0</v>
      </c>
      <c r="V242" s="4">
        <f t="shared" si="3"/>
        <v>4</v>
      </c>
    </row>
    <row r="243" spans="1:22">
      <c r="A243" s="2" t="s">
        <v>23</v>
      </c>
      <c r="B243" s="4">
        <v>15</v>
      </c>
      <c r="C243" s="2" t="s">
        <v>289</v>
      </c>
      <c r="D243" s="2" t="s">
        <v>213</v>
      </c>
      <c r="E243" s="2" t="s">
        <v>214</v>
      </c>
      <c r="F243" s="3">
        <v>46145</v>
      </c>
      <c r="G243" s="2" t="s">
        <v>27</v>
      </c>
      <c r="H243" s="4">
        <v>3</v>
      </c>
      <c r="I243" s="2" t="s">
        <v>30</v>
      </c>
      <c r="J243" s="2" t="s">
        <v>291</v>
      </c>
      <c r="K243" s="2" t="s">
        <v>292</v>
      </c>
      <c r="L243" s="2" t="s">
        <v>34</v>
      </c>
      <c r="M243" s="2" t="s">
        <v>37</v>
      </c>
      <c r="N243" s="7">
        <v>5</v>
      </c>
      <c r="O243" s="4">
        <v>5</v>
      </c>
      <c r="P243" s="7">
        <v>0</v>
      </c>
      <c r="Q243" s="4">
        <v>0</v>
      </c>
      <c r="R243" s="2" t="s">
        <v>29</v>
      </c>
      <c r="S243" s="2"/>
      <c r="T243" s="4">
        <f>IF(R243&lt;&gt;"Observed","",SUMIFS($O$3:O243,$C$3:C243,C243,$R$3:R243,"Observed"))</f>
        <v>9</v>
      </c>
      <c r="U243" s="4">
        <f>IF(R243&lt;&gt;"Observed","",SUMIFS($Q$3:Q243,$C$3:C243,C243,$R$3:R243,"Observed"))</f>
        <v>0</v>
      </c>
      <c r="V243" s="4">
        <f t="shared" si="3"/>
        <v>9</v>
      </c>
    </row>
    <row r="244" spans="1:22">
      <c r="A244" s="2" t="s">
        <v>23</v>
      </c>
      <c r="B244" s="4">
        <v>15</v>
      </c>
      <c r="C244" s="2" t="s">
        <v>289</v>
      </c>
      <c r="D244" s="2" t="s">
        <v>213</v>
      </c>
      <c r="E244" s="2" t="s">
        <v>214</v>
      </c>
      <c r="F244" s="3">
        <v>46145</v>
      </c>
      <c r="G244" s="2" t="s">
        <v>27</v>
      </c>
      <c r="H244" s="4">
        <v>4</v>
      </c>
      <c r="I244" s="2" t="s">
        <v>30</v>
      </c>
      <c r="J244" s="2" t="s">
        <v>292</v>
      </c>
      <c r="K244" s="2" t="s">
        <v>293</v>
      </c>
      <c r="L244" s="2" t="s">
        <v>37</v>
      </c>
      <c r="M244" s="2" t="s">
        <v>39</v>
      </c>
      <c r="N244" s="7">
        <v>10</v>
      </c>
      <c r="O244" s="4">
        <v>10</v>
      </c>
      <c r="P244" s="7">
        <v>0</v>
      </c>
      <c r="Q244" s="4">
        <v>0</v>
      </c>
      <c r="R244" s="2" t="s">
        <v>29</v>
      </c>
      <c r="S244" s="2"/>
      <c r="T244" s="4">
        <f>IF(R244&lt;&gt;"Observed","",SUMIFS($O$3:O244,$C$3:C244,C244,$R$3:R244,"Observed"))</f>
        <v>19</v>
      </c>
      <c r="U244" s="4">
        <f>IF(R244&lt;&gt;"Observed","",SUMIFS($Q$3:Q244,$C$3:C244,C244,$R$3:R244,"Observed"))</f>
        <v>0</v>
      </c>
      <c r="V244" s="4">
        <f t="shared" si="3"/>
        <v>19</v>
      </c>
    </row>
    <row r="245" spans="1:22">
      <c r="A245" s="2" t="s">
        <v>23</v>
      </c>
      <c r="B245" s="4">
        <v>15</v>
      </c>
      <c r="C245" s="2" t="s">
        <v>289</v>
      </c>
      <c r="D245" s="2" t="s">
        <v>213</v>
      </c>
      <c r="E245" s="2" t="s">
        <v>214</v>
      </c>
      <c r="F245" s="3">
        <v>46145</v>
      </c>
      <c r="G245" s="2" t="s">
        <v>27</v>
      </c>
      <c r="H245" s="4">
        <v>5</v>
      </c>
      <c r="I245" s="2" t="s">
        <v>30</v>
      </c>
      <c r="J245" s="2" t="s">
        <v>293</v>
      </c>
      <c r="K245" s="2" t="s">
        <v>294</v>
      </c>
      <c r="L245" s="2" t="s">
        <v>39</v>
      </c>
      <c r="M245" s="2" t="s">
        <v>41</v>
      </c>
      <c r="N245" s="7">
        <v>20</v>
      </c>
      <c r="O245" s="4">
        <v>20</v>
      </c>
      <c r="P245" s="7">
        <v>0</v>
      </c>
      <c r="Q245" s="4">
        <v>0</v>
      </c>
      <c r="R245" s="2" t="s">
        <v>29</v>
      </c>
      <c r="S245" s="2"/>
      <c r="T245" s="4">
        <f>IF(R245&lt;&gt;"Observed","",SUMIFS($O$3:O245,$C$3:C245,C245,$R$3:R245,"Observed"))</f>
        <v>39</v>
      </c>
      <c r="U245" s="4">
        <f>IF(R245&lt;&gt;"Observed","",SUMIFS($Q$3:Q245,$C$3:C245,C245,$R$3:R245,"Observed"))</f>
        <v>0</v>
      </c>
      <c r="V245" s="4">
        <f t="shared" si="3"/>
        <v>39</v>
      </c>
    </row>
    <row r="246" spans="1:22">
      <c r="A246" s="2" t="s">
        <v>23</v>
      </c>
      <c r="B246" s="4">
        <v>15</v>
      </c>
      <c r="C246" s="2" t="s">
        <v>289</v>
      </c>
      <c r="D246" s="2" t="s">
        <v>213</v>
      </c>
      <c r="E246" s="2" t="s">
        <v>214</v>
      </c>
      <c r="F246" s="3">
        <v>46145</v>
      </c>
      <c r="G246" s="2" t="s">
        <v>27</v>
      </c>
      <c r="H246" s="4">
        <v>6</v>
      </c>
      <c r="I246" s="2" t="s">
        <v>30</v>
      </c>
      <c r="J246" s="2" t="s">
        <v>294</v>
      </c>
      <c r="K246" s="2" t="s">
        <v>295</v>
      </c>
      <c r="L246" s="2" t="s">
        <v>41</v>
      </c>
      <c r="M246" s="2" t="s">
        <v>43</v>
      </c>
      <c r="N246" s="7">
        <v>39</v>
      </c>
      <c r="O246" s="4">
        <v>39</v>
      </c>
      <c r="P246" s="7">
        <v>0</v>
      </c>
      <c r="Q246" s="4">
        <v>0</v>
      </c>
      <c r="R246" s="2" t="s">
        <v>29</v>
      </c>
      <c r="S246" s="2"/>
      <c r="T246" s="4">
        <f>IF(R246&lt;&gt;"Observed","",SUMIFS($O$3:O246,$C$3:C246,C246,$R$3:R246,"Observed"))</f>
        <v>78</v>
      </c>
      <c r="U246" s="4">
        <f>IF(R246&lt;&gt;"Observed","",SUMIFS($Q$3:Q246,$C$3:C246,C246,$R$3:R246,"Observed"))</f>
        <v>0</v>
      </c>
      <c r="V246" s="4">
        <f t="shared" si="3"/>
        <v>78</v>
      </c>
    </row>
    <row r="247" spans="1:22">
      <c r="A247" s="2" t="s">
        <v>23</v>
      </c>
      <c r="B247" s="4">
        <v>15</v>
      </c>
      <c r="C247" s="2" t="s">
        <v>289</v>
      </c>
      <c r="D247" s="2" t="s">
        <v>213</v>
      </c>
      <c r="E247" s="2" t="s">
        <v>214</v>
      </c>
      <c r="F247" s="3">
        <v>46145</v>
      </c>
      <c r="G247" s="2" t="s">
        <v>27</v>
      </c>
      <c r="H247" s="4">
        <v>7</v>
      </c>
      <c r="I247" s="2" t="s">
        <v>30</v>
      </c>
      <c r="J247" s="2" t="s">
        <v>295</v>
      </c>
      <c r="K247" s="2" t="s">
        <v>296</v>
      </c>
      <c r="L247" s="2" t="s">
        <v>43</v>
      </c>
      <c r="M247" s="2" t="s">
        <v>45</v>
      </c>
      <c r="N247" s="7">
        <v>43</v>
      </c>
      <c r="O247" s="4">
        <v>43</v>
      </c>
      <c r="P247" s="7">
        <v>0</v>
      </c>
      <c r="Q247" s="4">
        <v>0</v>
      </c>
      <c r="R247" s="2" t="s">
        <v>29</v>
      </c>
      <c r="S247" s="2"/>
      <c r="T247" s="4">
        <f>IF(R247&lt;&gt;"Observed","",SUMIFS($O$3:O247,$C$3:C247,C247,$R$3:R247,"Observed"))</f>
        <v>121</v>
      </c>
      <c r="U247" s="4">
        <f>IF(R247&lt;&gt;"Observed","",SUMIFS($Q$3:Q247,$C$3:C247,C247,$R$3:R247,"Observed"))</f>
        <v>0</v>
      </c>
      <c r="V247" s="4">
        <f t="shared" si="3"/>
        <v>121</v>
      </c>
    </row>
    <row r="248" spans="1:22">
      <c r="A248" s="2" t="s">
        <v>23</v>
      </c>
      <c r="B248" s="4">
        <v>15</v>
      </c>
      <c r="C248" s="2" t="s">
        <v>289</v>
      </c>
      <c r="D248" s="2" t="s">
        <v>213</v>
      </c>
      <c r="E248" s="2" t="s">
        <v>214</v>
      </c>
      <c r="F248" s="3">
        <v>46145</v>
      </c>
      <c r="G248" s="2" t="s">
        <v>27</v>
      </c>
      <c r="H248" s="4">
        <v>8</v>
      </c>
      <c r="I248" s="2" t="s">
        <v>30</v>
      </c>
      <c r="J248" s="2" t="s">
        <v>296</v>
      </c>
      <c r="K248" s="2" t="s">
        <v>297</v>
      </c>
      <c r="L248" s="2" t="s">
        <v>45</v>
      </c>
      <c r="M248" s="2" t="s">
        <v>48</v>
      </c>
      <c r="N248" s="7">
        <v>30</v>
      </c>
      <c r="O248" s="4">
        <v>30</v>
      </c>
      <c r="P248" s="7">
        <v>6</v>
      </c>
      <c r="Q248" s="4">
        <v>6</v>
      </c>
      <c r="R248" s="2" t="s">
        <v>29</v>
      </c>
      <c r="S248" s="2"/>
      <c r="T248" s="4">
        <f>IF(R248&lt;&gt;"Observed","",SUMIFS($O$3:O248,$C$3:C248,C248,$R$3:R248,"Observed"))</f>
        <v>151</v>
      </c>
      <c r="U248" s="4">
        <f>IF(R248&lt;&gt;"Observed","",SUMIFS($Q$3:Q248,$C$3:C248,C248,$R$3:R248,"Observed"))</f>
        <v>6</v>
      </c>
      <c r="V248" s="4">
        <f t="shared" si="3"/>
        <v>145</v>
      </c>
    </row>
    <row r="249" spans="1:22">
      <c r="A249" s="2" t="s">
        <v>23</v>
      </c>
      <c r="B249" s="4">
        <v>15</v>
      </c>
      <c r="C249" s="2" t="s">
        <v>289</v>
      </c>
      <c r="D249" s="2" t="s">
        <v>213</v>
      </c>
      <c r="E249" s="2" t="s">
        <v>214</v>
      </c>
      <c r="F249" s="3">
        <v>46145</v>
      </c>
      <c r="G249" s="2" t="s">
        <v>27</v>
      </c>
      <c r="H249" s="4">
        <v>9</v>
      </c>
      <c r="I249" s="2" t="s">
        <v>30</v>
      </c>
      <c r="J249" s="2" t="s">
        <v>297</v>
      </c>
      <c r="K249" s="2" t="s">
        <v>298</v>
      </c>
      <c r="L249" s="2" t="s">
        <v>48</v>
      </c>
      <c r="M249" s="2" t="s">
        <v>50</v>
      </c>
      <c r="N249" s="7">
        <v>37</v>
      </c>
      <c r="O249" s="4">
        <v>37</v>
      </c>
      <c r="P249" s="7">
        <v>3</v>
      </c>
      <c r="Q249" s="4">
        <v>3</v>
      </c>
      <c r="R249" s="2" t="s">
        <v>29</v>
      </c>
      <c r="S249" s="2"/>
      <c r="T249" s="4">
        <f>IF(R249&lt;&gt;"Observed","",SUMIFS($O$3:O249,$C$3:C249,C249,$R$3:R249,"Observed"))</f>
        <v>188</v>
      </c>
      <c r="U249" s="4">
        <f>IF(R249&lt;&gt;"Observed","",SUMIFS($Q$3:Q249,$C$3:C249,C249,$R$3:R249,"Observed"))</f>
        <v>9</v>
      </c>
      <c r="V249" s="4">
        <f t="shared" si="3"/>
        <v>179</v>
      </c>
    </row>
    <row r="250" spans="1:22">
      <c r="A250" s="2" t="s">
        <v>23</v>
      </c>
      <c r="B250" s="4">
        <v>15</v>
      </c>
      <c r="C250" s="2" t="s">
        <v>289</v>
      </c>
      <c r="D250" s="2" t="s">
        <v>213</v>
      </c>
      <c r="E250" s="2" t="s">
        <v>214</v>
      </c>
      <c r="F250" s="3">
        <v>46145</v>
      </c>
      <c r="G250" s="2" t="s">
        <v>27</v>
      </c>
      <c r="H250" s="4">
        <v>10</v>
      </c>
      <c r="I250" s="2" t="s">
        <v>30</v>
      </c>
      <c r="J250" s="2" t="s">
        <v>298</v>
      </c>
      <c r="K250" s="2" t="s">
        <v>299</v>
      </c>
      <c r="L250" s="2" t="s">
        <v>50</v>
      </c>
      <c r="M250" s="2" t="s">
        <v>52</v>
      </c>
      <c r="N250" s="7">
        <v>31</v>
      </c>
      <c r="O250" s="4">
        <v>31</v>
      </c>
      <c r="P250" s="7">
        <v>6</v>
      </c>
      <c r="Q250" s="4">
        <v>6</v>
      </c>
      <c r="R250" s="2" t="s">
        <v>29</v>
      </c>
      <c r="S250" s="2"/>
      <c r="T250" s="4">
        <f>IF(R250&lt;&gt;"Observed","",SUMIFS($O$3:O250,$C$3:C250,C250,$R$3:R250,"Observed"))</f>
        <v>219</v>
      </c>
      <c r="U250" s="4">
        <f>IF(R250&lt;&gt;"Observed","",SUMIFS($Q$3:Q250,$C$3:C250,C250,$R$3:R250,"Observed"))</f>
        <v>15</v>
      </c>
      <c r="V250" s="4">
        <f t="shared" si="3"/>
        <v>204</v>
      </c>
    </row>
    <row r="251" spans="1:22">
      <c r="A251" s="2" t="s">
        <v>23</v>
      </c>
      <c r="B251" s="4">
        <v>15</v>
      </c>
      <c r="C251" s="2" t="s">
        <v>289</v>
      </c>
      <c r="D251" s="2" t="s">
        <v>213</v>
      </c>
      <c r="E251" s="2" t="s">
        <v>214</v>
      </c>
      <c r="F251" s="3">
        <v>46145</v>
      </c>
      <c r="G251" s="2" t="s">
        <v>27</v>
      </c>
      <c r="H251" s="4">
        <v>11</v>
      </c>
      <c r="I251" s="2" t="s">
        <v>30</v>
      </c>
      <c r="J251" s="2" t="s">
        <v>299</v>
      </c>
      <c r="K251" s="2" t="s">
        <v>300</v>
      </c>
      <c r="L251" s="2" t="s">
        <v>52</v>
      </c>
      <c r="M251" s="2" t="s">
        <v>54</v>
      </c>
      <c r="N251" s="7">
        <v>43</v>
      </c>
      <c r="O251" s="4">
        <v>43</v>
      </c>
      <c r="P251" s="7">
        <v>9</v>
      </c>
      <c r="Q251" s="4">
        <v>9</v>
      </c>
      <c r="R251" s="2" t="s">
        <v>29</v>
      </c>
      <c r="S251" s="2"/>
      <c r="T251" s="4">
        <f>IF(R251&lt;&gt;"Observed","",SUMIFS($O$3:O251,$C$3:C251,C251,$R$3:R251,"Observed"))</f>
        <v>262</v>
      </c>
      <c r="U251" s="4">
        <f>IF(R251&lt;&gt;"Observed","",SUMIFS($Q$3:Q251,$C$3:C251,C251,$R$3:R251,"Observed"))</f>
        <v>24</v>
      </c>
      <c r="V251" s="4">
        <f t="shared" si="3"/>
        <v>238</v>
      </c>
    </row>
    <row r="252" spans="1:22">
      <c r="A252" s="2" t="s">
        <v>23</v>
      </c>
      <c r="B252" s="4">
        <v>15</v>
      </c>
      <c r="C252" s="2" t="s">
        <v>289</v>
      </c>
      <c r="D252" s="2" t="s">
        <v>213</v>
      </c>
      <c r="E252" s="2" t="s">
        <v>214</v>
      </c>
      <c r="F252" s="3">
        <v>46145</v>
      </c>
      <c r="G252" s="2" t="s">
        <v>27</v>
      </c>
      <c r="H252" s="4">
        <v>12</v>
      </c>
      <c r="I252" s="2" t="s">
        <v>30</v>
      </c>
      <c r="J252" s="2" t="s">
        <v>300</v>
      </c>
      <c r="K252" s="2" t="s">
        <v>301</v>
      </c>
      <c r="L252" s="2" t="s">
        <v>54</v>
      </c>
      <c r="M252" s="2" t="s">
        <v>57</v>
      </c>
      <c r="N252" s="7">
        <v>34</v>
      </c>
      <c r="O252" s="4">
        <v>34</v>
      </c>
      <c r="P252" s="7">
        <v>20</v>
      </c>
      <c r="Q252" s="4">
        <v>20</v>
      </c>
      <c r="R252" s="2" t="s">
        <v>29</v>
      </c>
      <c r="S252" s="2"/>
      <c r="T252" s="4">
        <f>IF(R252&lt;&gt;"Observed","",SUMIFS($O$3:O252,$C$3:C252,C252,$R$3:R252,"Observed"))</f>
        <v>296</v>
      </c>
      <c r="U252" s="4">
        <f>IF(R252&lt;&gt;"Observed","",SUMIFS($Q$3:Q252,$C$3:C252,C252,$R$3:R252,"Observed"))</f>
        <v>44</v>
      </c>
      <c r="V252" s="4">
        <f t="shared" si="3"/>
        <v>252</v>
      </c>
    </row>
    <row r="253" spans="1:22">
      <c r="A253" s="2" t="s">
        <v>23</v>
      </c>
      <c r="B253" s="4">
        <v>15</v>
      </c>
      <c r="C253" s="2" t="s">
        <v>289</v>
      </c>
      <c r="D253" s="2" t="s">
        <v>213</v>
      </c>
      <c r="E253" s="2" t="s">
        <v>214</v>
      </c>
      <c r="F253" s="3">
        <v>46145</v>
      </c>
      <c r="G253" s="2" t="s">
        <v>27</v>
      </c>
      <c r="H253" s="4">
        <v>13</v>
      </c>
      <c r="I253" s="2" t="s">
        <v>30</v>
      </c>
      <c r="J253" s="2" t="s">
        <v>301</v>
      </c>
      <c r="K253" s="2" t="s">
        <v>182</v>
      </c>
      <c r="L253" s="2" t="s">
        <v>57</v>
      </c>
      <c r="M253" s="2" t="s">
        <v>59</v>
      </c>
      <c r="N253" s="7">
        <v>10</v>
      </c>
      <c r="O253" s="4">
        <v>10</v>
      </c>
      <c r="P253" s="7">
        <v>17</v>
      </c>
      <c r="Q253" s="4">
        <v>17</v>
      </c>
      <c r="R253" s="2" t="s">
        <v>29</v>
      </c>
      <c r="S253" s="2"/>
      <c r="T253" s="4">
        <f>IF(R253&lt;&gt;"Observed","",SUMIFS($O$3:O253,$C$3:C253,C253,$R$3:R253,"Observed"))</f>
        <v>306</v>
      </c>
      <c r="U253" s="4">
        <f>IF(R253&lt;&gt;"Observed","",SUMIFS($Q$3:Q253,$C$3:C253,C253,$R$3:R253,"Observed"))</f>
        <v>61</v>
      </c>
      <c r="V253" s="4">
        <f t="shared" si="3"/>
        <v>245</v>
      </c>
    </row>
    <row r="254" spans="1:22">
      <c r="A254" s="2" t="s">
        <v>23</v>
      </c>
      <c r="B254" s="4">
        <v>15</v>
      </c>
      <c r="C254" s="2" t="s">
        <v>289</v>
      </c>
      <c r="D254" s="2" t="s">
        <v>213</v>
      </c>
      <c r="E254" s="2" t="s">
        <v>214</v>
      </c>
      <c r="F254" s="3">
        <v>46145</v>
      </c>
      <c r="G254" s="2" t="s">
        <v>27</v>
      </c>
      <c r="H254" s="4">
        <v>14</v>
      </c>
      <c r="I254" s="2" t="s">
        <v>30</v>
      </c>
      <c r="J254" s="2" t="s">
        <v>182</v>
      </c>
      <c r="K254" s="2" t="s">
        <v>183</v>
      </c>
      <c r="L254" s="2" t="s">
        <v>59</v>
      </c>
      <c r="M254" s="2" t="s">
        <v>57</v>
      </c>
      <c r="N254" s="7">
        <v>2</v>
      </c>
      <c r="O254" s="4">
        <v>2</v>
      </c>
      <c r="P254" s="7">
        <v>28</v>
      </c>
      <c r="Q254" s="4">
        <v>28</v>
      </c>
      <c r="R254" s="2" t="s">
        <v>29</v>
      </c>
      <c r="S254" s="2"/>
      <c r="T254" s="4">
        <f>IF(R254&lt;&gt;"Observed","",SUMIFS($O$3:O254,$C$3:C254,C254,$R$3:R254,"Observed"))</f>
        <v>308</v>
      </c>
      <c r="U254" s="4">
        <f>IF(R254&lt;&gt;"Observed","",SUMIFS($Q$3:Q254,$C$3:C254,C254,$R$3:R254,"Observed"))</f>
        <v>89</v>
      </c>
      <c r="V254" s="4">
        <f t="shared" si="3"/>
        <v>219</v>
      </c>
    </row>
    <row r="255" spans="1:22">
      <c r="A255" s="2" t="s">
        <v>23</v>
      </c>
      <c r="B255" s="4">
        <v>15</v>
      </c>
      <c r="C255" s="2" t="s">
        <v>289</v>
      </c>
      <c r="D255" s="2" t="s">
        <v>213</v>
      </c>
      <c r="E255" s="2" t="s">
        <v>214</v>
      </c>
      <c r="F255" s="3">
        <v>46145</v>
      </c>
      <c r="G255" s="2" t="s">
        <v>27</v>
      </c>
      <c r="H255" s="4">
        <v>15</v>
      </c>
      <c r="I255" s="2" t="s">
        <v>30</v>
      </c>
      <c r="J255" s="2" t="s">
        <v>183</v>
      </c>
      <c r="K255" s="2" t="s">
        <v>186</v>
      </c>
      <c r="L255" s="2" t="s">
        <v>57</v>
      </c>
      <c r="M255" s="2" t="s">
        <v>54</v>
      </c>
      <c r="N255" s="7">
        <v>10</v>
      </c>
      <c r="O255" s="4">
        <v>10</v>
      </c>
      <c r="P255" s="7">
        <v>30</v>
      </c>
      <c r="Q255" s="4">
        <v>30</v>
      </c>
      <c r="R255" s="2" t="s">
        <v>29</v>
      </c>
      <c r="S255" s="2"/>
      <c r="T255" s="4">
        <f>IF(R255&lt;&gt;"Observed","",SUMIFS($O$3:O255,$C$3:C255,C255,$R$3:R255,"Observed"))</f>
        <v>318</v>
      </c>
      <c r="U255" s="4">
        <f>IF(R255&lt;&gt;"Observed","",SUMIFS($Q$3:Q255,$C$3:C255,C255,$R$3:R255,"Observed"))</f>
        <v>119</v>
      </c>
      <c r="V255" s="4">
        <f t="shared" si="3"/>
        <v>199</v>
      </c>
    </row>
    <row r="256" spans="1:22">
      <c r="A256" s="2" t="s">
        <v>23</v>
      </c>
      <c r="B256" s="4">
        <v>15</v>
      </c>
      <c r="C256" s="2" t="s">
        <v>289</v>
      </c>
      <c r="D256" s="2" t="s">
        <v>213</v>
      </c>
      <c r="E256" s="2" t="s">
        <v>214</v>
      </c>
      <c r="F256" s="3">
        <v>46145</v>
      </c>
      <c r="G256" s="2" t="s">
        <v>27</v>
      </c>
      <c r="H256" s="4">
        <v>16</v>
      </c>
      <c r="I256" s="2" t="s">
        <v>30</v>
      </c>
      <c r="J256" s="2" t="s">
        <v>186</v>
      </c>
      <c r="K256" s="2" t="s">
        <v>187</v>
      </c>
      <c r="L256" s="2" t="s">
        <v>54</v>
      </c>
      <c r="M256" s="2" t="s">
        <v>52</v>
      </c>
      <c r="N256" s="7">
        <v>9</v>
      </c>
      <c r="O256" s="4">
        <v>9</v>
      </c>
      <c r="P256" s="7">
        <v>17</v>
      </c>
      <c r="Q256" s="4">
        <v>17</v>
      </c>
      <c r="R256" s="2" t="s">
        <v>29</v>
      </c>
      <c r="S256" s="2"/>
      <c r="T256" s="4">
        <f>IF(R256&lt;&gt;"Observed","",SUMIFS($O$3:O256,$C$3:C256,C256,$R$3:R256,"Observed"))</f>
        <v>327</v>
      </c>
      <c r="U256" s="4">
        <f>IF(R256&lt;&gt;"Observed","",SUMIFS($Q$3:Q256,$C$3:C256,C256,$R$3:R256,"Observed"))</f>
        <v>136</v>
      </c>
      <c r="V256" s="4">
        <f t="shared" si="3"/>
        <v>191</v>
      </c>
    </row>
    <row r="257" spans="1:22">
      <c r="A257" s="2" t="s">
        <v>23</v>
      </c>
      <c r="B257" s="4">
        <v>15</v>
      </c>
      <c r="C257" s="2" t="s">
        <v>289</v>
      </c>
      <c r="D257" s="2" t="s">
        <v>213</v>
      </c>
      <c r="E257" s="2" t="s">
        <v>214</v>
      </c>
      <c r="F257" s="3">
        <v>46145</v>
      </c>
      <c r="G257" s="2" t="s">
        <v>27</v>
      </c>
      <c r="H257" s="4">
        <v>17</v>
      </c>
      <c r="I257" s="2" t="s">
        <v>30</v>
      </c>
      <c r="J257" s="2" t="s">
        <v>187</v>
      </c>
      <c r="K257" s="2" t="s">
        <v>188</v>
      </c>
      <c r="L257" s="2" t="s">
        <v>52</v>
      </c>
      <c r="M257" s="2" t="s">
        <v>50</v>
      </c>
      <c r="N257" s="7">
        <v>0</v>
      </c>
      <c r="O257" s="4">
        <v>0</v>
      </c>
      <c r="P257" s="7">
        <v>20</v>
      </c>
      <c r="Q257" s="4">
        <v>20</v>
      </c>
      <c r="R257" s="2" t="s">
        <v>29</v>
      </c>
      <c r="S257" s="2"/>
      <c r="T257" s="4">
        <f>IF(R257&lt;&gt;"Observed","",SUMIFS($O$3:O257,$C$3:C257,C257,$R$3:R257,"Observed"))</f>
        <v>327</v>
      </c>
      <c r="U257" s="4">
        <f>IF(R257&lt;&gt;"Observed","",SUMIFS($Q$3:Q257,$C$3:C257,C257,$R$3:R257,"Observed"))</f>
        <v>156</v>
      </c>
      <c r="V257" s="4">
        <f t="shared" si="3"/>
        <v>171</v>
      </c>
    </row>
  </sheetData>
  <mergeCells count="1">
    <mergeCell ref="A1:V1"/>
  </mergeCells>
  <conditionalFormatting sqref="R3:R257">
    <cfRule type="expression" dxfId="2" priority="1">
      <formula>R3&lt;&gt;"Observed"</formula>
    </cfRule>
  </conditionalFormatting>
  <pageMargins left="0.7" right="0.7" top="0.75" bottom="0.75" header="0.3" footer="0.3"/>
  <ignoredErrors>
    <ignoredError sqref="T4:U257" formulaRange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workbookViewId="0">
      <selection sqref="A1:V1"/>
    </sheetView>
  </sheetViews>
  <sheetFormatPr defaultRowHeight="14.25"/>
  <cols>
    <col min="1" max="1" width="31" customWidth="1"/>
    <col min="2" max="2" width="9" customWidth="1"/>
    <col min="3" max="3" width="12" customWidth="1"/>
    <col min="4" max="4" width="18" customWidth="1"/>
    <col min="5" max="5" width="24" customWidth="1"/>
    <col min="6" max="6" width="12" customWidth="1"/>
    <col min="7" max="7" width="14" customWidth="1"/>
    <col min="8" max="8" width="11" customWidth="1"/>
    <col min="9" max="9" width="10" customWidth="1"/>
    <col min="10" max="10" width="29" customWidth="1"/>
    <col min="11" max="11" width="12" customWidth="1"/>
    <col min="12" max="12" width="23" customWidth="1"/>
    <col min="13" max="13" width="42" customWidth="1"/>
    <col min="14" max="14" width="14" customWidth="1"/>
    <col min="15" max="15" width="15" customWidth="1"/>
    <col min="16" max="16" width="20" customWidth="1"/>
    <col min="17" max="17" width="48" customWidth="1"/>
    <col min="18" max="18" width="15" customWidth="1"/>
    <col min="19" max="19" width="16" customWidth="1"/>
    <col min="20" max="20" width="18" customWidth="1"/>
    <col min="21" max="21" width="24" customWidth="1"/>
    <col min="22" max="22" width="19" customWidth="1"/>
  </cols>
  <sheetData>
    <row r="1" spans="1:22" ht="26.1" customHeight="1">
      <c r="A1" s="6" t="s">
        <v>302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33.95000000000000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303</v>
      </c>
      <c r="I2" s="1" t="s">
        <v>304</v>
      </c>
      <c r="J2" s="1" t="s">
        <v>305</v>
      </c>
      <c r="K2" s="1" t="s">
        <v>306</v>
      </c>
      <c r="L2" s="1" t="s">
        <v>307</v>
      </c>
      <c r="M2" s="1" t="s">
        <v>308</v>
      </c>
      <c r="N2" s="1" t="s">
        <v>309</v>
      </c>
      <c r="O2" s="1" t="s">
        <v>310</v>
      </c>
      <c r="P2" s="1" t="s">
        <v>311</v>
      </c>
      <c r="Q2" s="1" t="s">
        <v>312</v>
      </c>
      <c r="R2" s="1" t="s">
        <v>313</v>
      </c>
      <c r="S2" s="1" t="s">
        <v>314</v>
      </c>
      <c r="T2" s="1" t="s">
        <v>315</v>
      </c>
      <c r="U2" s="1" t="s">
        <v>316</v>
      </c>
      <c r="V2" s="1" t="s">
        <v>317</v>
      </c>
    </row>
    <row r="3" spans="1:22" ht="15">
      <c r="A3" s="2" t="s">
        <v>23</v>
      </c>
      <c r="B3" s="2">
        <v>1</v>
      </c>
      <c r="C3" s="2" t="s">
        <v>24</v>
      </c>
      <c r="D3" s="2" t="s">
        <v>25</v>
      </c>
      <c r="E3" s="2" t="s">
        <v>26</v>
      </c>
      <c r="F3" s="3">
        <v>44653</v>
      </c>
      <c r="G3" s="2" t="s">
        <v>27</v>
      </c>
      <c r="H3" s="5">
        <v>0</v>
      </c>
      <c r="I3" s="2" t="s">
        <v>318</v>
      </c>
      <c r="J3" s="2" t="s">
        <v>319</v>
      </c>
      <c r="K3" s="2" t="s">
        <v>320</v>
      </c>
      <c r="L3" s="2" t="s">
        <v>321</v>
      </c>
      <c r="M3" s="2"/>
      <c r="N3" s="2" t="s">
        <v>322</v>
      </c>
      <c r="O3" s="2"/>
      <c r="P3" s="4">
        <v>132</v>
      </c>
      <c r="Q3" s="4"/>
      <c r="R3" s="4">
        <f>SUMIF(Observations!$C:$C,$C3,Observations!$O:$O)</f>
        <v>426</v>
      </c>
      <c r="S3" s="4">
        <f>SUMIF(Observations!$C:$C,$C3,Observations!$Q:$Q)</f>
        <v>301</v>
      </c>
      <c r="T3" s="4">
        <f t="shared" ref="T3:T17" si="0">R3-S3</f>
        <v>125</v>
      </c>
      <c r="U3" s="4">
        <f t="shared" ref="U3:U17" si="1">IF(P3="","",ABS(T3-P3))</f>
        <v>7</v>
      </c>
      <c r="V3" s="2" t="str">
        <f t="shared" ref="V3:V17" si="2">IF(P3="","No reported count",IF(U3=0,"Balance matches","Review difference"))</f>
        <v>Review difference</v>
      </c>
    </row>
    <row r="4" spans="1:22" ht="28.5">
      <c r="A4" s="2" t="s">
        <v>23</v>
      </c>
      <c r="B4" s="2">
        <v>2</v>
      </c>
      <c r="C4" s="2" t="s">
        <v>65</v>
      </c>
      <c r="D4" s="2" t="s">
        <v>66</v>
      </c>
      <c r="E4" s="2" t="s">
        <v>67</v>
      </c>
      <c r="F4" s="3">
        <v>44654</v>
      </c>
      <c r="G4" s="2" t="s">
        <v>68</v>
      </c>
      <c r="H4" s="5">
        <v>-0.1</v>
      </c>
      <c r="I4" s="2" t="s">
        <v>318</v>
      </c>
      <c r="J4" s="2" t="s">
        <v>323</v>
      </c>
      <c r="K4" s="2" t="s">
        <v>320</v>
      </c>
      <c r="L4" s="2" t="s">
        <v>324</v>
      </c>
      <c r="M4" s="2"/>
      <c r="N4" s="2" t="s">
        <v>176</v>
      </c>
      <c r="O4" s="2" t="s">
        <v>69</v>
      </c>
      <c r="P4" s="4">
        <v>43</v>
      </c>
      <c r="Q4" s="4"/>
      <c r="R4" s="4">
        <f>SUMIF(Observations!$C:$C,$C4,Observations!$O:$O)</f>
        <v>239</v>
      </c>
      <c r="S4" s="4">
        <f>SUMIF(Observations!$C:$C,$C4,Observations!$Q:$Q)</f>
        <v>198</v>
      </c>
      <c r="T4" s="4">
        <f t="shared" si="0"/>
        <v>41</v>
      </c>
      <c r="U4" s="4">
        <f t="shared" si="1"/>
        <v>2</v>
      </c>
      <c r="V4" s="2" t="str">
        <f t="shared" si="2"/>
        <v>Review difference</v>
      </c>
    </row>
    <row r="5" spans="1:22" ht="28.5">
      <c r="A5" s="2" t="s">
        <v>23</v>
      </c>
      <c r="B5" s="2">
        <v>3</v>
      </c>
      <c r="C5" s="2" t="s">
        <v>93</v>
      </c>
      <c r="D5" s="2" t="s">
        <v>25</v>
      </c>
      <c r="E5" s="2" t="s">
        <v>26</v>
      </c>
      <c r="F5" s="3">
        <v>45040</v>
      </c>
      <c r="G5" s="2" t="s">
        <v>27</v>
      </c>
      <c r="H5" s="5">
        <v>-0.4</v>
      </c>
      <c r="I5" s="2" t="s">
        <v>318</v>
      </c>
      <c r="J5" s="2" t="s">
        <v>325</v>
      </c>
      <c r="K5" s="2" t="s">
        <v>320</v>
      </c>
      <c r="L5" s="2" t="s">
        <v>326</v>
      </c>
      <c r="M5" s="2"/>
      <c r="N5" s="2" t="s">
        <v>46</v>
      </c>
      <c r="O5" s="2"/>
      <c r="P5" s="4">
        <v>51</v>
      </c>
      <c r="Q5" s="4" t="s">
        <v>327</v>
      </c>
      <c r="R5" s="4">
        <f>SUMIF(Observations!$C:$C,$C5,Observations!$O:$O)</f>
        <v>212</v>
      </c>
      <c r="S5" s="4">
        <f>SUMIF(Observations!$C:$C,$C5,Observations!$Q:$Q)</f>
        <v>171</v>
      </c>
      <c r="T5" s="4">
        <f t="shared" si="0"/>
        <v>41</v>
      </c>
      <c r="U5" s="4">
        <f t="shared" si="1"/>
        <v>10</v>
      </c>
      <c r="V5" s="2" t="str">
        <f t="shared" si="2"/>
        <v>Review difference</v>
      </c>
    </row>
    <row r="6" spans="1:22" ht="42.75">
      <c r="A6" s="2" t="s">
        <v>23</v>
      </c>
      <c r="B6" s="2">
        <v>4</v>
      </c>
      <c r="C6" s="2" t="s">
        <v>111</v>
      </c>
      <c r="D6" s="2" t="s">
        <v>66</v>
      </c>
      <c r="E6" s="2" t="s">
        <v>67</v>
      </c>
      <c r="F6" s="3">
        <v>45041</v>
      </c>
      <c r="G6" s="2" t="s">
        <v>112</v>
      </c>
      <c r="H6" s="5">
        <v>0.1</v>
      </c>
      <c r="I6" s="2" t="s">
        <v>318</v>
      </c>
      <c r="J6" s="2" t="s">
        <v>328</v>
      </c>
      <c r="K6" s="2" t="s">
        <v>320</v>
      </c>
      <c r="L6" s="2" t="s">
        <v>329</v>
      </c>
      <c r="M6" s="2" t="s">
        <v>330</v>
      </c>
      <c r="N6" s="2" t="s">
        <v>55</v>
      </c>
      <c r="O6" s="2" t="s">
        <v>35</v>
      </c>
      <c r="P6" s="4">
        <v>34</v>
      </c>
      <c r="Q6" s="4" t="s">
        <v>331</v>
      </c>
      <c r="R6" s="4">
        <f>SUMIF(Observations!$C:$C,$C6,Observations!$O:$O)</f>
        <v>219</v>
      </c>
      <c r="S6" s="4">
        <f>SUMIF(Observations!$C:$C,$C6,Observations!$Q:$Q)</f>
        <v>182</v>
      </c>
      <c r="T6" s="4">
        <f t="shared" si="0"/>
        <v>37</v>
      </c>
      <c r="U6" s="4">
        <f t="shared" si="1"/>
        <v>3</v>
      </c>
      <c r="V6" s="2" t="str">
        <f t="shared" si="2"/>
        <v>Review difference</v>
      </c>
    </row>
    <row r="7" spans="1:22" ht="28.5">
      <c r="A7" s="2" t="s">
        <v>23</v>
      </c>
      <c r="B7" s="2">
        <v>5</v>
      </c>
      <c r="C7" s="2" t="s">
        <v>134</v>
      </c>
      <c r="D7" s="2" t="s">
        <v>66</v>
      </c>
      <c r="E7" s="2" t="s">
        <v>67</v>
      </c>
      <c r="F7" s="3">
        <v>45368</v>
      </c>
      <c r="G7" s="2" t="s">
        <v>135</v>
      </c>
      <c r="H7" s="5">
        <v>0.9</v>
      </c>
      <c r="I7" s="2" t="s">
        <v>318</v>
      </c>
      <c r="J7" s="2" t="s">
        <v>332</v>
      </c>
      <c r="K7" s="2" t="s">
        <v>320</v>
      </c>
      <c r="L7" s="2" t="s">
        <v>333</v>
      </c>
      <c r="M7" s="2" t="s">
        <v>334</v>
      </c>
      <c r="N7" s="2" t="s">
        <v>335</v>
      </c>
      <c r="O7" s="2"/>
      <c r="P7" s="4">
        <v>303</v>
      </c>
      <c r="Q7" s="4" t="s">
        <v>336</v>
      </c>
      <c r="R7" s="4">
        <f>SUMIF(Observations!$C:$C,$C7,Observations!$O:$O)</f>
        <v>663</v>
      </c>
      <c r="S7" s="4">
        <f>SUMIF(Observations!$C:$C,$C7,Observations!$Q:$Q)</f>
        <v>445</v>
      </c>
      <c r="T7" s="4">
        <f t="shared" si="0"/>
        <v>218</v>
      </c>
      <c r="U7" s="4">
        <f t="shared" si="1"/>
        <v>85</v>
      </c>
      <c r="V7" s="2" t="str">
        <f t="shared" si="2"/>
        <v>Review difference</v>
      </c>
    </row>
    <row r="8" spans="1:22" ht="42.75">
      <c r="A8" s="2" t="s">
        <v>23</v>
      </c>
      <c r="B8" s="2">
        <v>6</v>
      </c>
      <c r="C8" s="2" t="s">
        <v>154</v>
      </c>
      <c r="D8" s="2" t="s">
        <v>25</v>
      </c>
      <c r="E8" s="2" t="s">
        <v>26</v>
      </c>
      <c r="F8" s="3">
        <v>45358</v>
      </c>
      <c r="G8" s="2" t="s">
        <v>135</v>
      </c>
      <c r="H8" s="5">
        <v>-0.5</v>
      </c>
      <c r="I8" s="2" t="s">
        <v>318</v>
      </c>
      <c r="J8" s="2" t="s">
        <v>337</v>
      </c>
      <c r="K8" s="2" t="s">
        <v>338</v>
      </c>
      <c r="L8" s="2" t="s">
        <v>339</v>
      </c>
      <c r="M8" s="2" t="s">
        <v>340</v>
      </c>
      <c r="N8" s="2" t="s">
        <v>168</v>
      </c>
      <c r="O8" s="2"/>
      <c r="P8" s="4">
        <v>36</v>
      </c>
      <c r="Q8" s="4"/>
      <c r="R8" s="4">
        <f>SUMIF(Observations!$C:$C,$C8,Observations!$O:$O)</f>
        <v>289</v>
      </c>
      <c r="S8" s="4">
        <f>SUMIF(Observations!$C:$C,$C8,Observations!$Q:$Q)</f>
        <v>271</v>
      </c>
      <c r="T8" s="4">
        <f t="shared" si="0"/>
        <v>18</v>
      </c>
      <c r="U8" s="4">
        <f t="shared" si="1"/>
        <v>18</v>
      </c>
      <c r="V8" s="2" t="str">
        <f t="shared" si="2"/>
        <v>Review difference</v>
      </c>
    </row>
    <row r="9" spans="1:22" ht="57">
      <c r="A9" s="2" t="s">
        <v>23</v>
      </c>
      <c r="B9" s="2">
        <v>7</v>
      </c>
      <c r="C9" s="2" t="s">
        <v>173</v>
      </c>
      <c r="D9" s="2" t="s">
        <v>66</v>
      </c>
      <c r="E9" s="2" t="s">
        <v>67</v>
      </c>
      <c r="F9" s="3">
        <v>45359</v>
      </c>
      <c r="G9" s="2" t="s">
        <v>174</v>
      </c>
      <c r="H9" s="5">
        <v>-0.8</v>
      </c>
      <c r="I9" s="2" t="s">
        <v>318</v>
      </c>
      <c r="J9" s="2" t="s">
        <v>341</v>
      </c>
      <c r="K9" s="2" t="s">
        <v>338</v>
      </c>
      <c r="L9" s="2" t="s">
        <v>342</v>
      </c>
      <c r="M9" s="2" t="s">
        <v>343</v>
      </c>
      <c r="N9" s="2"/>
      <c r="O9" s="2" t="s">
        <v>344</v>
      </c>
      <c r="P9" s="4">
        <v>73</v>
      </c>
      <c r="Q9" s="4" t="s">
        <v>345</v>
      </c>
      <c r="R9" s="4">
        <f>SUMIF(Observations!$C:$C,$C9,Observations!$O:$O)</f>
        <v>307</v>
      </c>
      <c r="S9" s="4">
        <f>SUMIF(Observations!$C:$C,$C9,Observations!$Q:$Q)</f>
        <v>227</v>
      </c>
      <c r="T9" s="4">
        <f t="shared" si="0"/>
        <v>80</v>
      </c>
      <c r="U9" s="4">
        <f t="shared" si="1"/>
        <v>7</v>
      </c>
      <c r="V9" s="2" t="str">
        <f t="shared" si="2"/>
        <v>Review difference</v>
      </c>
    </row>
    <row r="10" spans="1:22" ht="15">
      <c r="A10" s="2" t="s">
        <v>23</v>
      </c>
      <c r="B10" s="2">
        <v>8</v>
      </c>
      <c r="C10" s="2" t="s">
        <v>180</v>
      </c>
      <c r="D10" s="2" t="s">
        <v>25</v>
      </c>
      <c r="E10" s="2" t="s">
        <v>26</v>
      </c>
      <c r="F10" s="3">
        <v>45366</v>
      </c>
      <c r="G10" s="2" t="s">
        <v>181</v>
      </c>
      <c r="H10" s="5">
        <v>0.1</v>
      </c>
      <c r="I10" s="2" t="s">
        <v>318</v>
      </c>
      <c r="J10" s="2" t="s">
        <v>346</v>
      </c>
      <c r="K10" s="2" t="s">
        <v>320</v>
      </c>
      <c r="L10" s="2" t="s">
        <v>347</v>
      </c>
      <c r="M10" s="2"/>
      <c r="N10" s="2" t="s">
        <v>348</v>
      </c>
      <c r="O10" s="2"/>
      <c r="P10" s="4">
        <v>149</v>
      </c>
      <c r="Q10" s="4"/>
      <c r="R10" s="4">
        <f>SUMIF(Observations!$C:$C,$C10,Observations!$O:$O)</f>
        <v>375</v>
      </c>
      <c r="S10" s="4">
        <f>SUMIF(Observations!$C:$C,$C10,Observations!$Q:$Q)</f>
        <v>246</v>
      </c>
      <c r="T10" s="4">
        <f t="shared" si="0"/>
        <v>129</v>
      </c>
      <c r="U10" s="4">
        <f t="shared" si="1"/>
        <v>20</v>
      </c>
      <c r="V10" s="2" t="str">
        <f t="shared" si="2"/>
        <v>Review difference</v>
      </c>
    </row>
    <row r="11" spans="1:22" ht="15">
      <c r="A11" s="2" t="s">
        <v>23</v>
      </c>
      <c r="B11" s="2">
        <v>9</v>
      </c>
      <c r="C11" s="2" t="s">
        <v>193</v>
      </c>
      <c r="D11" s="2" t="s">
        <v>25</v>
      </c>
      <c r="E11" s="2" t="s">
        <v>26</v>
      </c>
      <c r="F11" s="3">
        <v>45582</v>
      </c>
      <c r="G11" s="2" t="s">
        <v>68</v>
      </c>
      <c r="H11" s="5">
        <v>-1.3</v>
      </c>
      <c r="I11" s="2" t="s">
        <v>318</v>
      </c>
      <c r="J11" s="2" t="s">
        <v>349</v>
      </c>
      <c r="K11" s="2" t="s">
        <v>338</v>
      </c>
      <c r="L11" s="2" t="s">
        <v>350</v>
      </c>
      <c r="M11" s="2"/>
      <c r="N11" s="2" t="s">
        <v>85</v>
      </c>
      <c r="O11" s="2"/>
      <c r="P11" s="4">
        <v>23</v>
      </c>
      <c r="Q11" s="4" t="s">
        <v>351</v>
      </c>
      <c r="R11" s="4">
        <f>SUMIF(Observations!$C:$C,$C11,Observations!$O:$O)</f>
        <v>291</v>
      </c>
      <c r="S11" s="4">
        <f>SUMIF(Observations!$C:$C,$C11,Observations!$Q:$Q)</f>
        <v>266</v>
      </c>
      <c r="T11" s="4">
        <f t="shared" si="0"/>
        <v>25</v>
      </c>
      <c r="U11" s="4">
        <f t="shared" si="1"/>
        <v>2</v>
      </c>
      <c r="V11" s="2" t="str">
        <f t="shared" si="2"/>
        <v>Review difference</v>
      </c>
    </row>
    <row r="12" spans="1:22" ht="15">
      <c r="A12" s="2" t="s">
        <v>23</v>
      </c>
      <c r="B12" s="2">
        <v>10</v>
      </c>
      <c r="C12" s="2" t="s">
        <v>212</v>
      </c>
      <c r="D12" s="2" t="s">
        <v>213</v>
      </c>
      <c r="E12" s="2" t="s">
        <v>214</v>
      </c>
      <c r="F12" s="3">
        <v>45597</v>
      </c>
      <c r="G12" s="2" t="s">
        <v>27</v>
      </c>
      <c r="H12" s="5">
        <v>-0.2</v>
      </c>
      <c r="I12" s="2" t="s">
        <v>318</v>
      </c>
      <c r="J12" s="2" t="s">
        <v>352</v>
      </c>
      <c r="K12" s="2" t="s">
        <v>338</v>
      </c>
      <c r="L12" s="2" t="s">
        <v>353</v>
      </c>
      <c r="M12" s="2"/>
      <c r="N12" s="2" t="s">
        <v>151</v>
      </c>
      <c r="O12" s="2"/>
      <c r="P12" s="4">
        <v>12</v>
      </c>
      <c r="Q12" s="4"/>
      <c r="R12" s="4">
        <f>SUMIF(Observations!$C:$C,$C12,Observations!$O:$O)</f>
        <v>107</v>
      </c>
      <c r="S12" s="4">
        <f>SUMIF(Observations!$C:$C,$C12,Observations!$Q:$Q)</f>
        <v>91</v>
      </c>
      <c r="T12" s="4">
        <f t="shared" si="0"/>
        <v>16</v>
      </c>
      <c r="U12" s="4">
        <f t="shared" si="1"/>
        <v>4</v>
      </c>
      <c r="V12" s="2" t="str">
        <f t="shared" si="2"/>
        <v>Review difference</v>
      </c>
    </row>
    <row r="13" spans="1:22" ht="28.5">
      <c r="A13" s="2" t="s">
        <v>23</v>
      </c>
      <c r="B13" s="2">
        <v>11</v>
      </c>
      <c r="C13" s="2" t="s">
        <v>224</v>
      </c>
      <c r="D13" s="2" t="s">
        <v>213</v>
      </c>
      <c r="E13" s="2" t="s">
        <v>214</v>
      </c>
      <c r="F13" s="3">
        <v>45716</v>
      </c>
      <c r="G13" s="2" t="s">
        <v>225</v>
      </c>
      <c r="H13" s="5">
        <v>-0.6</v>
      </c>
      <c r="I13" s="2" t="s">
        <v>318</v>
      </c>
      <c r="J13" s="2" t="s">
        <v>354</v>
      </c>
      <c r="K13" s="2" t="s">
        <v>338</v>
      </c>
      <c r="L13" s="2" t="s">
        <v>355</v>
      </c>
      <c r="M13" s="2" t="s">
        <v>356</v>
      </c>
      <c r="N13" s="2" t="s">
        <v>60</v>
      </c>
      <c r="O13" s="2"/>
      <c r="P13" s="4">
        <v>14</v>
      </c>
      <c r="Q13" s="4"/>
      <c r="R13" s="4">
        <f>SUMIF(Observations!$C:$C,$C13,Observations!$O:$O)</f>
        <v>235</v>
      </c>
      <c r="S13" s="4">
        <f>SUMIF(Observations!$C:$C,$C13,Observations!$Q:$Q)</f>
        <v>219</v>
      </c>
      <c r="T13" s="4">
        <f t="shared" si="0"/>
        <v>16</v>
      </c>
      <c r="U13" s="4">
        <f t="shared" si="1"/>
        <v>2</v>
      </c>
      <c r="V13" s="2" t="str">
        <f t="shared" si="2"/>
        <v>Review difference</v>
      </c>
    </row>
    <row r="14" spans="1:22" ht="28.5">
      <c r="A14" s="2" t="s">
        <v>23</v>
      </c>
      <c r="B14" s="2">
        <v>12</v>
      </c>
      <c r="C14" s="2" t="s">
        <v>243</v>
      </c>
      <c r="D14" s="2" t="s">
        <v>25</v>
      </c>
      <c r="E14" s="2" t="s">
        <v>26</v>
      </c>
      <c r="F14" s="3">
        <v>45730</v>
      </c>
      <c r="G14" s="2" t="s">
        <v>135</v>
      </c>
      <c r="H14" s="5">
        <v>0.4</v>
      </c>
      <c r="I14" s="2" t="s">
        <v>318</v>
      </c>
      <c r="J14" s="2" t="s">
        <v>357</v>
      </c>
      <c r="K14" s="2" t="s">
        <v>338</v>
      </c>
      <c r="L14" s="2" t="s">
        <v>358</v>
      </c>
      <c r="M14" s="2" t="s">
        <v>359</v>
      </c>
      <c r="N14" s="2" t="s">
        <v>86</v>
      </c>
      <c r="O14" s="2"/>
      <c r="P14" s="4">
        <v>19</v>
      </c>
      <c r="Q14" s="4" t="s">
        <v>360</v>
      </c>
      <c r="R14" s="4">
        <f>SUMIF(Observations!$C:$C,$C14,Observations!$O:$O)</f>
        <v>59</v>
      </c>
      <c r="S14" s="4">
        <f>SUMIF(Observations!$C:$C,$C14,Observations!$Q:$Q)</f>
        <v>44</v>
      </c>
      <c r="T14" s="4">
        <f t="shared" si="0"/>
        <v>15</v>
      </c>
      <c r="U14" s="4">
        <f t="shared" si="1"/>
        <v>4</v>
      </c>
      <c r="V14" s="2" t="str">
        <f t="shared" si="2"/>
        <v>Review difference</v>
      </c>
    </row>
    <row r="15" spans="1:22" ht="42.75">
      <c r="A15" s="2" t="s">
        <v>23</v>
      </c>
      <c r="B15" s="2">
        <v>13</v>
      </c>
      <c r="C15" s="2" t="s">
        <v>246</v>
      </c>
      <c r="D15" s="2" t="s">
        <v>25</v>
      </c>
      <c r="E15" s="2" t="s">
        <v>26</v>
      </c>
      <c r="F15" s="3">
        <v>46038</v>
      </c>
      <c r="G15" s="2" t="s">
        <v>247</v>
      </c>
      <c r="H15" s="5">
        <v>0</v>
      </c>
      <c r="I15" s="2" t="s">
        <v>318</v>
      </c>
      <c r="J15" s="2" t="s">
        <v>361</v>
      </c>
      <c r="K15" s="2" t="s">
        <v>338</v>
      </c>
      <c r="L15" s="2" t="s">
        <v>362</v>
      </c>
      <c r="M15" s="2" t="s">
        <v>363</v>
      </c>
      <c r="N15" s="2" t="s">
        <v>83</v>
      </c>
      <c r="O15" s="2"/>
      <c r="P15" s="4">
        <v>28</v>
      </c>
      <c r="Q15" s="4" t="s">
        <v>364</v>
      </c>
      <c r="R15" s="4">
        <f>SUMIF(Observations!$C:$C,$C15,Observations!$O:$O)</f>
        <v>186</v>
      </c>
      <c r="S15" s="4">
        <f>SUMIF(Observations!$C:$C,$C15,Observations!$Q:$Q)</f>
        <v>164</v>
      </c>
      <c r="T15" s="4">
        <f t="shared" si="0"/>
        <v>22</v>
      </c>
      <c r="U15" s="4">
        <f t="shared" si="1"/>
        <v>6</v>
      </c>
      <c r="V15" s="2" t="str">
        <f t="shared" si="2"/>
        <v>Review difference</v>
      </c>
    </row>
    <row r="16" spans="1:22" ht="28.5">
      <c r="A16" s="2" t="s">
        <v>23</v>
      </c>
      <c r="B16" s="2">
        <v>14</v>
      </c>
      <c r="C16" s="2" t="s">
        <v>270</v>
      </c>
      <c r="D16" s="2" t="s">
        <v>25</v>
      </c>
      <c r="E16" s="2" t="s">
        <v>26</v>
      </c>
      <c r="F16" s="3">
        <v>46102</v>
      </c>
      <c r="G16" s="2" t="s">
        <v>271</v>
      </c>
      <c r="H16" s="5">
        <v>0</v>
      </c>
      <c r="I16" s="2" t="s">
        <v>318</v>
      </c>
      <c r="J16" s="2" t="s">
        <v>365</v>
      </c>
      <c r="K16" s="2" t="s">
        <v>320</v>
      </c>
      <c r="L16" s="2" t="s">
        <v>366</v>
      </c>
      <c r="M16" s="2" t="s">
        <v>367</v>
      </c>
      <c r="N16" s="2" t="s">
        <v>368</v>
      </c>
      <c r="O16" s="2"/>
      <c r="P16" s="4">
        <v>129</v>
      </c>
      <c r="Q16" s="4" t="s">
        <v>369</v>
      </c>
      <c r="R16" s="4">
        <f>SUMIF(Observations!$C:$C,$C16,Observations!$O:$O)</f>
        <v>368</v>
      </c>
      <c r="S16" s="4">
        <f>SUMIF(Observations!$C:$C,$C16,Observations!$Q:$Q)</f>
        <v>241</v>
      </c>
      <c r="T16" s="4">
        <f t="shared" si="0"/>
        <v>127</v>
      </c>
      <c r="U16" s="4">
        <f t="shared" si="1"/>
        <v>2</v>
      </c>
      <c r="V16" s="2" t="str">
        <f t="shared" si="2"/>
        <v>Review difference</v>
      </c>
    </row>
    <row r="17" spans="1:22" ht="42.75">
      <c r="A17" s="2" t="s">
        <v>23</v>
      </c>
      <c r="B17" s="2">
        <v>15</v>
      </c>
      <c r="C17" s="2" t="s">
        <v>289</v>
      </c>
      <c r="D17" s="2" t="s">
        <v>213</v>
      </c>
      <c r="E17" s="2" t="s">
        <v>214</v>
      </c>
      <c r="F17" s="3">
        <v>46145</v>
      </c>
      <c r="G17" s="2" t="s">
        <v>27</v>
      </c>
      <c r="H17" s="5">
        <v>-0.8</v>
      </c>
      <c r="I17" s="2" t="s">
        <v>318</v>
      </c>
      <c r="J17" s="2" t="s">
        <v>370</v>
      </c>
      <c r="K17" s="2" t="s">
        <v>320</v>
      </c>
      <c r="L17" s="2" t="s">
        <v>371</v>
      </c>
      <c r="M17" s="2" t="s">
        <v>372</v>
      </c>
      <c r="N17" s="2" t="s">
        <v>373</v>
      </c>
      <c r="O17" s="2"/>
      <c r="P17" s="4">
        <v>176</v>
      </c>
      <c r="Q17" s="4" t="s">
        <v>374</v>
      </c>
      <c r="R17" s="4">
        <f>SUMIF(Observations!$C:$C,$C17,Observations!$O:$O)</f>
        <v>327</v>
      </c>
      <c r="S17" s="4">
        <f>SUMIF(Observations!$C:$C,$C17,Observations!$Q:$Q)</f>
        <v>156</v>
      </c>
      <c r="T17" s="4">
        <f t="shared" si="0"/>
        <v>171</v>
      </c>
      <c r="U17" s="4">
        <f t="shared" si="1"/>
        <v>5</v>
      </c>
      <c r="V17" s="2" t="str">
        <f t="shared" si="2"/>
        <v>Review difference</v>
      </c>
    </row>
  </sheetData>
  <mergeCells count="1">
    <mergeCell ref="A1:V1"/>
  </mergeCells>
  <conditionalFormatting sqref="U3:U17">
    <cfRule type="cellIs" dxfId="1" priority="1" operator="greaterThan">
      <formula>0</formula>
    </cfRule>
  </conditionalFormatting>
  <conditionalFormatting sqref="V3:V17">
    <cfRule type="expression" dxfId="0" priority="2">
      <formula>V3="Balance matches"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defaultRowHeight="14.25"/>
  <cols>
    <col min="1" max="1" width="24" customWidth="1"/>
    <col min="2" max="2" width="34" customWidth="1"/>
    <col min="3" max="3" width="52" customWidth="1"/>
    <col min="4" max="4" width="42" customWidth="1"/>
  </cols>
  <sheetData>
    <row r="1" spans="1:4" ht="26.1" customHeight="1">
      <c r="A1" s="6" t="s">
        <v>375</v>
      </c>
      <c r="B1" s="6"/>
      <c r="C1" s="6"/>
      <c r="D1" s="6"/>
    </row>
    <row r="3" spans="1:4" ht="32.1" customHeight="1">
      <c r="A3" s="1" t="s">
        <v>376</v>
      </c>
      <c r="B3" s="1" t="s">
        <v>377</v>
      </c>
      <c r="C3" s="1" t="s">
        <v>378</v>
      </c>
      <c r="D3" s="1" t="s">
        <v>379</v>
      </c>
    </row>
    <row r="4" spans="1:4" ht="28.5">
      <c r="A4" s="2" t="s">
        <v>380</v>
      </c>
      <c r="B4" s="2" t="s">
        <v>381</v>
      </c>
      <c r="C4" s="2" t="s">
        <v>382</v>
      </c>
      <c r="D4" s="2" t="s">
        <v>383</v>
      </c>
    </row>
    <row r="5" spans="1:4" ht="42.75">
      <c r="A5" s="2" t="s">
        <v>384</v>
      </c>
      <c r="B5" s="2" t="s">
        <v>385</v>
      </c>
      <c r="C5" s="2" t="s">
        <v>386</v>
      </c>
      <c r="D5" s="2" t="s">
        <v>387</v>
      </c>
    </row>
    <row r="6" spans="1:4" ht="28.5">
      <c r="A6" s="2" t="s">
        <v>18</v>
      </c>
      <c r="B6" s="2" t="s">
        <v>388</v>
      </c>
      <c r="C6" s="2" t="s">
        <v>389</v>
      </c>
      <c r="D6" s="2" t="s">
        <v>390</v>
      </c>
    </row>
    <row r="7" spans="1:4" ht="28.5">
      <c r="A7" s="2" t="s">
        <v>391</v>
      </c>
      <c r="B7" s="2" t="s">
        <v>392</v>
      </c>
      <c r="C7" s="2" t="s">
        <v>393</v>
      </c>
      <c r="D7" s="2" t="s">
        <v>394</v>
      </c>
    </row>
    <row r="8" spans="1:4" ht="28.5">
      <c r="A8" s="2" t="s">
        <v>395</v>
      </c>
      <c r="B8" s="2" t="s">
        <v>396</v>
      </c>
      <c r="C8" s="2" t="s">
        <v>397</v>
      </c>
      <c r="D8" s="2" t="s">
        <v>398</v>
      </c>
    </row>
    <row r="9" spans="1:4" ht="28.5">
      <c r="A9" s="2" t="s">
        <v>399</v>
      </c>
      <c r="B9" s="2" t="s">
        <v>400</v>
      </c>
      <c r="C9" s="2" t="s">
        <v>401</v>
      </c>
      <c r="D9" s="2" t="s">
        <v>402</v>
      </c>
    </row>
    <row r="10" spans="1:4" ht="42.75">
      <c r="A10" s="2" t="s">
        <v>403</v>
      </c>
      <c r="B10" s="2" t="s">
        <v>404</v>
      </c>
      <c r="C10" s="2" t="s">
        <v>405</v>
      </c>
      <c r="D10" s="2" t="s">
        <v>406</v>
      </c>
    </row>
    <row r="11" spans="1:4" ht="28.5">
      <c r="A11" s="2" t="s">
        <v>407</v>
      </c>
      <c r="B11" s="2" t="s">
        <v>408</v>
      </c>
      <c r="C11" s="2" t="s">
        <v>409</v>
      </c>
      <c r="D11" s="2" t="s">
        <v>410</v>
      </c>
    </row>
    <row r="12" spans="1:4" ht="28.5">
      <c r="A12" s="2" t="s">
        <v>411</v>
      </c>
      <c r="B12" s="2" t="s">
        <v>412</v>
      </c>
      <c r="C12" s="2" t="s">
        <v>413</v>
      </c>
      <c r="D12" s="2" t="s">
        <v>414</v>
      </c>
    </row>
    <row r="13" spans="1:4">
      <c r="A13" s="2" t="s">
        <v>415</v>
      </c>
      <c r="B13" s="2" t="s">
        <v>416</v>
      </c>
      <c r="C13" s="2" t="s">
        <v>417</v>
      </c>
      <c r="D13" s="2" t="s">
        <v>418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Observations</vt:lpstr>
      <vt:lpstr>Datasheet Metadata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George, Matthew (DFW)</cp:lastModifiedBy>
  <dcterms:modified xsi:type="dcterms:W3CDTF">2026-07-10T05:12:09Z</dcterms:modified>
</cp:coreProperties>
</file>