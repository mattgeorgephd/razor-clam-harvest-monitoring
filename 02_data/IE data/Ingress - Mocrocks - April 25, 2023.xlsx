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umebwb\Desktop\2022 Harvest Spreadsheets\Ingress - Egress\"/>
    </mc:Choice>
  </mc:AlternateContent>
  <xr:revisionPtr revIDLastSave="0" documentId="13_ncr:1_{65A3D96C-73A9-436D-864C-274D3C35EA8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Calculation Sheet" sheetId="1" r:id="rId1"/>
    <sheet name="Field Sheet" sheetId="6" r:id="rId2"/>
    <sheet name="Chart1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J15" i="1" s="1"/>
  <c r="J16" i="1" s="1"/>
  <c r="J17" i="1" s="1"/>
  <c r="J18" i="1" s="1"/>
  <c r="J19" i="1" l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H14" i="1"/>
  <c r="K14" i="1" l="1"/>
  <c r="H15" i="1"/>
  <c r="H16" i="1" l="1"/>
  <c r="K15" i="1"/>
  <c r="K16" i="1" l="1"/>
  <c r="H17" i="1"/>
  <c r="H18" i="1" l="1"/>
  <c r="K17" i="1"/>
  <c r="H19" i="1" l="1"/>
  <c r="K18" i="1"/>
  <c r="K19" i="1" l="1"/>
  <c r="H20" i="1"/>
  <c r="K20" i="1" l="1"/>
  <c r="H21" i="1"/>
  <c r="K21" i="1" l="1"/>
  <c r="H22" i="1"/>
  <c r="K22" i="1" l="1"/>
  <c r="H23" i="1"/>
  <c r="K23" i="1" l="1"/>
  <c r="H24" i="1"/>
  <c r="K24" i="1" l="1"/>
  <c r="H25" i="1"/>
  <c r="K25" i="1" l="1"/>
  <c r="H26" i="1"/>
  <c r="K26" i="1" l="1"/>
  <c r="H27" i="1"/>
  <c r="K27" i="1" l="1"/>
  <c r="H28" i="1"/>
  <c r="K28" i="1" l="1"/>
  <c r="H29" i="1"/>
  <c r="K29" i="1" l="1"/>
  <c r="H30" i="1"/>
  <c r="L14" i="1" l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0" i="1"/>
  <c r="L30" i="1" l="1"/>
</calcChain>
</file>

<file path=xl/sharedStrings.xml><?xml version="1.0" encoding="utf-8"?>
<sst xmlns="http://schemas.openxmlformats.org/spreadsheetml/2006/main" count="241" uniqueCount="55">
  <si>
    <t>Time Period</t>
  </si>
  <si>
    <t>Prior to Start</t>
  </si>
  <si>
    <t>Cars on</t>
  </si>
  <si>
    <t>#</t>
  </si>
  <si>
    <t>Accum.</t>
  </si>
  <si>
    <t>Cars Off</t>
  </si>
  <si>
    <t>% Available</t>
  </si>
  <si>
    <t>for Beach count</t>
  </si>
  <si>
    <t>Diff.</t>
  </si>
  <si>
    <t>Ingress - Egress Check</t>
  </si>
  <si>
    <t>Weather, Wind and Surf Conditions:</t>
  </si>
  <si>
    <t>-</t>
  </si>
  <si>
    <t>Count of cars left in area:</t>
  </si>
  <si>
    <t># of cars discrepency:</t>
  </si>
  <si>
    <t>Actual Time</t>
  </si>
  <si>
    <t>3:00</t>
  </si>
  <si>
    <t>2:45</t>
  </si>
  <si>
    <t>2:30</t>
  </si>
  <si>
    <t>2:15</t>
  </si>
  <si>
    <t>2:00</t>
  </si>
  <si>
    <t>1:45</t>
  </si>
  <si>
    <t>1:30</t>
  </si>
  <si>
    <t>1:15</t>
  </si>
  <si>
    <t>1:00</t>
  </si>
  <si>
    <t>0:45</t>
  </si>
  <si>
    <t>0:30</t>
  </si>
  <si>
    <t>0:15</t>
  </si>
  <si>
    <t>0:00</t>
  </si>
  <si>
    <t>to Start</t>
  </si>
  <si>
    <t>Period Prior</t>
  </si>
  <si>
    <t xml:space="preserve">Sampler: </t>
  </si>
  <si>
    <t>Mocrocks</t>
  </si>
  <si>
    <t>Roosevelt App. South</t>
  </si>
  <si>
    <t>Tide: 0.1 @ 11:01 AM</t>
  </si>
  <si>
    <t>Sunrise: 6:11 AM</t>
  </si>
  <si>
    <t>1101</t>
  </si>
  <si>
    <t>1116</t>
  </si>
  <si>
    <t>1131</t>
  </si>
  <si>
    <t>1146</t>
  </si>
  <si>
    <t>1201</t>
  </si>
  <si>
    <t>1046</t>
  </si>
  <si>
    <t>0801</t>
  </si>
  <si>
    <t>0816</t>
  </si>
  <si>
    <t>0831</t>
  </si>
  <si>
    <t>0846</t>
  </si>
  <si>
    <t>0901</t>
  </si>
  <si>
    <t>0916</t>
  </si>
  <si>
    <t>0931</t>
  </si>
  <si>
    <t>0946</t>
  </si>
  <si>
    <t>1001</t>
  </si>
  <si>
    <t>1016</t>
  </si>
  <si>
    <t>1031</t>
  </si>
  <si>
    <t>Janna Goulding</t>
  </si>
  <si>
    <t>Sunny, Low+ surf, northern wind 0-5mph</t>
  </si>
  <si>
    <t>Sunny changed to cloudy at low tide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</si>
</sst>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,\ mmmm\ dd\,\ yyyy"/>
  </numFmts>
  <fonts count="10" x14ac:knownFonts="1">
    <font>
      <sz val="10"/>
      <name val="Arial"/>
    </font>
    <font>
      <sz val="14"/>
      <name val="Arial"/>
      <family val="2"/>
    </font>
    <font>
      <sz val="10"/>
      <name val="Arial"/>
      <family val="2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darkUp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3" fillId="0" borderId="12" xfId="0" applyFont="1" applyBorder="1"/>
    <xf numFmtId="0" fontId="3" fillId="0" borderId="10" xfId="0" applyFont="1" applyBorder="1"/>
    <xf numFmtId="0" fontId="3" fillId="0" borderId="3" xfId="0" applyFont="1" applyBorder="1"/>
    <xf numFmtId="0" fontId="3" fillId="0" borderId="6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13" xfId="0" applyFont="1" applyBorder="1"/>
    <xf numFmtId="0" fontId="3" fillId="0" borderId="8" xfId="0" applyFont="1" applyBorder="1"/>
    <xf numFmtId="0" fontId="3" fillId="0" borderId="5" xfId="0" applyFont="1" applyBorder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11" xfId="0" applyFont="1" applyBorder="1"/>
    <xf numFmtId="0" fontId="6" fillId="0" borderId="4" xfId="0" applyFont="1" applyBorder="1"/>
    <xf numFmtId="0" fontId="6" fillId="0" borderId="4" xfId="0" quotePrefix="1" applyFont="1" applyBorder="1"/>
    <xf numFmtId="0" fontId="3" fillId="0" borderId="4" xfId="0" applyFont="1" applyBorder="1"/>
    <xf numFmtId="10" fontId="3" fillId="2" borderId="4" xfId="1" applyNumberFormat="1" applyFont="1" applyFill="1" applyBorder="1" applyAlignment="1">
      <alignment horizontal="center"/>
    </xf>
    <xf numFmtId="49" fontId="3" fillId="0" borderId="9" xfId="0" applyNumberFormat="1" applyFont="1" applyBorder="1"/>
    <xf numFmtId="49" fontId="4" fillId="2" borderId="9" xfId="0" applyNumberFormat="1" applyFont="1" applyFill="1" applyBorder="1"/>
    <xf numFmtId="49" fontId="4" fillId="2" borderId="1" xfId="0" applyNumberFormat="1" applyFont="1" applyFill="1" applyBorder="1"/>
    <xf numFmtId="0" fontId="3" fillId="0" borderId="1" xfId="0" applyFont="1" applyBorder="1"/>
    <xf numFmtId="0" fontId="7" fillId="0" borderId="0" xfId="0" applyFont="1"/>
    <xf numFmtId="0" fontId="3" fillId="0" borderId="0" xfId="0" applyFont="1"/>
    <xf numFmtId="0" fontId="7" fillId="0" borderId="0" xfId="0" applyFont="1" applyAlignment="1"/>
    <xf numFmtId="0" fontId="3" fillId="0" borderId="2" xfId="0" applyFont="1" applyBorder="1" applyAlignment="1">
      <alignment horizontal="right"/>
    </xf>
    <xf numFmtId="49" fontId="4" fillId="2" borderId="9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49" fontId="3" fillId="0" borderId="4" xfId="0" applyNumberFormat="1" applyFont="1" applyBorder="1"/>
    <xf numFmtId="0" fontId="3" fillId="0" borderId="1" xfId="0" applyFont="1" applyBorder="1" applyAlignment="1">
      <alignment horizontal="left"/>
    </xf>
    <xf numFmtId="49" fontId="4" fillId="3" borderId="9" xfId="0" applyNumberFormat="1" applyFont="1" applyFill="1" applyBorder="1" applyAlignment="1">
      <alignment horizontal="right"/>
    </xf>
    <xf numFmtId="49" fontId="4" fillId="3" borderId="9" xfId="0" applyNumberFormat="1" applyFont="1" applyFill="1" applyBorder="1"/>
    <xf numFmtId="49" fontId="4" fillId="3" borderId="1" xfId="0" applyNumberFormat="1" applyFont="1" applyFill="1" applyBorder="1"/>
    <xf numFmtId="10" fontId="3" fillId="3" borderId="4" xfId="1" applyNumberFormat="1" applyFont="1" applyFill="1" applyBorder="1" applyAlignment="1">
      <alignment horizontal="center"/>
    </xf>
    <xf numFmtId="49" fontId="3" fillId="0" borderId="4" xfId="0" applyNumberFormat="1" applyFont="1" applyFill="1" applyBorder="1"/>
    <xf numFmtId="49" fontId="3" fillId="0" borderId="9" xfId="0" applyNumberFormat="1" applyFont="1" applyFill="1" applyBorder="1"/>
    <xf numFmtId="0" fontId="3" fillId="4" borderId="4" xfId="0" applyFont="1" applyFill="1" applyBorder="1"/>
    <xf numFmtId="0" fontId="7" fillId="0" borderId="4" xfId="0" applyFont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4" xfId="0" applyFont="1" applyBorder="1" applyAlignment="1">
      <alignment horizontal="left"/>
    </xf>
    <xf numFmtId="0" fontId="4" fillId="2" borderId="1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7" fillId="0" borderId="7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'Calculation Sheet'!$D$12:$D$14</c:f>
              <c:strCache>
                <c:ptCount val="3"/>
                <c:pt idx="0">
                  <c:v>Actual Time</c:v>
                </c:pt>
                <c:pt idx="1">
                  <c:v>Period Prior</c:v>
                </c:pt>
                <c:pt idx="2">
                  <c:v>to Start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0846</c:v>
                  </c:pt>
                  <c:pt idx="1">
                    <c:v>0901</c:v>
                  </c:pt>
                  <c:pt idx="2">
                    <c:v>0916</c:v>
                  </c:pt>
                  <c:pt idx="3">
                    <c:v>0931</c:v>
                  </c:pt>
                  <c:pt idx="4">
                    <c:v>0946</c:v>
                  </c:pt>
                  <c:pt idx="5">
                    <c:v>1001</c:v>
                  </c:pt>
                  <c:pt idx="6">
                    <c:v>1016</c:v>
                  </c:pt>
                  <c:pt idx="7">
                    <c:v>1031</c:v>
                  </c:pt>
                  <c:pt idx="8">
                    <c:v>1046</c:v>
                  </c:pt>
                  <c:pt idx="9">
                    <c:v>1101</c:v>
                  </c:pt>
                  <c:pt idx="10">
                    <c:v>1116</c:v>
                  </c:pt>
                  <c:pt idx="11">
                    <c:v>1131</c:v>
                  </c:pt>
                  <c:pt idx="12">
                    <c:v>1146</c:v>
                  </c:pt>
                  <c:pt idx="13">
                    <c:v>1201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0831</c:v>
                  </c:pt>
                  <c:pt idx="1">
                    <c:v>0846</c:v>
                  </c:pt>
                  <c:pt idx="2">
                    <c:v>0901</c:v>
                  </c:pt>
                  <c:pt idx="3">
                    <c:v>0916</c:v>
                  </c:pt>
                  <c:pt idx="4">
                    <c:v>0931</c:v>
                  </c:pt>
                  <c:pt idx="5">
                    <c:v>0946</c:v>
                  </c:pt>
                  <c:pt idx="6">
                    <c:v>1001</c:v>
                  </c:pt>
                  <c:pt idx="7">
                    <c:v>1016</c:v>
                  </c:pt>
                  <c:pt idx="8">
                    <c:v>1031</c:v>
                  </c:pt>
                  <c:pt idx="9">
                    <c:v>1046</c:v>
                  </c:pt>
                  <c:pt idx="10">
                    <c:v>1101</c:v>
                  </c:pt>
                  <c:pt idx="11">
                    <c:v>1116</c:v>
                  </c:pt>
                  <c:pt idx="12">
                    <c:v>1131</c:v>
                  </c:pt>
                  <c:pt idx="13">
                    <c:v>1146</c:v>
                  </c:pt>
                </c:lvl>
              </c:multiLvlStrCache>
            </c:multiLvlStrRef>
          </c:cat>
          <c:val>
            <c:numRef>
              <c:f>'Calculation Sheet'!$D$17:$D$30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2-498D-93E7-7F43CD450411}"/>
            </c:ext>
          </c:extLst>
        </c:ser>
        <c:ser>
          <c:idx val="1"/>
          <c:order val="1"/>
          <c:tx>
            <c:strRef>
              <c:f>'Calculation Sheet'!$E$12:$E$14</c:f>
              <c:strCache>
                <c:ptCount val="3"/>
                <c:pt idx="0">
                  <c:v>Actual Time</c:v>
                </c:pt>
                <c:pt idx="1">
                  <c:v>Period Prior</c:v>
                </c:pt>
                <c:pt idx="2">
                  <c:v>to Start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0846</c:v>
                  </c:pt>
                  <c:pt idx="1">
                    <c:v>0901</c:v>
                  </c:pt>
                  <c:pt idx="2">
                    <c:v>0916</c:v>
                  </c:pt>
                  <c:pt idx="3">
                    <c:v>0931</c:v>
                  </c:pt>
                  <c:pt idx="4">
                    <c:v>0946</c:v>
                  </c:pt>
                  <c:pt idx="5">
                    <c:v>1001</c:v>
                  </c:pt>
                  <c:pt idx="6">
                    <c:v>1016</c:v>
                  </c:pt>
                  <c:pt idx="7">
                    <c:v>1031</c:v>
                  </c:pt>
                  <c:pt idx="8">
                    <c:v>1046</c:v>
                  </c:pt>
                  <c:pt idx="9">
                    <c:v>1101</c:v>
                  </c:pt>
                  <c:pt idx="10">
                    <c:v>1116</c:v>
                  </c:pt>
                  <c:pt idx="11">
                    <c:v>1131</c:v>
                  </c:pt>
                  <c:pt idx="12">
                    <c:v>1146</c:v>
                  </c:pt>
                  <c:pt idx="13">
                    <c:v>1201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0831</c:v>
                  </c:pt>
                  <c:pt idx="1">
                    <c:v>0846</c:v>
                  </c:pt>
                  <c:pt idx="2">
                    <c:v>0901</c:v>
                  </c:pt>
                  <c:pt idx="3">
                    <c:v>0916</c:v>
                  </c:pt>
                  <c:pt idx="4">
                    <c:v>0931</c:v>
                  </c:pt>
                  <c:pt idx="5">
                    <c:v>0946</c:v>
                  </c:pt>
                  <c:pt idx="6">
                    <c:v>1001</c:v>
                  </c:pt>
                  <c:pt idx="7">
                    <c:v>1016</c:v>
                  </c:pt>
                  <c:pt idx="8">
                    <c:v>1031</c:v>
                  </c:pt>
                  <c:pt idx="9">
                    <c:v>1046</c:v>
                  </c:pt>
                  <c:pt idx="10">
                    <c:v>1101</c:v>
                  </c:pt>
                  <c:pt idx="11">
                    <c:v>1116</c:v>
                  </c:pt>
                  <c:pt idx="12">
                    <c:v>1131</c:v>
                  </c:pt>
                  <c:pt idx="13">
                    <c:v>1146</c:v>
                  </c:pt>
                </c:lvl>
              </c:multiLvlStrCache>
            </c:multiLvlStrRef>
          </c:cat>
          <c:val>
            <c:numRef>
              <c:f>'Calculation Sheet'!$E$17:$E$30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2-498D-93E7-7F43CD450411}"/>
            </c:ext>
          </c:extLst>
        </c:ser>
        <c:ser>
          <c:idx val="2"/>
          <c:order val="2"/>
          <c:tx>
            <c:strRef>
              <c:f>'Calculation Sheet'!$F$12:$F$14</c:f>
              <c:strCache>
                <c:ptCount val="3"/>
                <c:pt idx="0">
                  <c:v>Actual Time</c:v>
                </c:pt>
                <c:pt idx="1">
                  <c:v>Period Prior</c:v>
                </c:pt>
                <c:pt idx="2">
                  <c:v>to Start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0846</c:v>
                  </c:pt>
                  <c:pt idx="1">
                    <c:v>0901</c:v>
                  </c:pt>
                  <c:pt idx="2">
                    <c:v>0916</c:v>
                  </c:pt>
                  <c:pt idx="3">
                    <c:v>0931</c:v>
                  </c:pt>
                  <c:pt idx="4">
                    <c:v>0946</c:v>
                  </c:pt>
                  <c:pt idx="5">
                    <c:v>1001</c:v>
                  </c:pt>
                  <c:pt idx="6">
                    <c:v>1016</c:v>
                  </c:pt>
                  <c:pt idx="7">
                    <c:v>1031</c:v>
                  </c:pt>
                  <c:pt idx="8">
                    <c:v>1046</c:v>
                  </c:pt>
                  <c:pt idx="9">
                    <c:v>1101</c:v>
                  </c:pt>
                  <c:pt idx="10">
                    <c:v>1116</c:v>
                  </c:pt>
                  <c:pt idx="11">
                    <c:v>1131</c:v>
                  </c:pt>
                  <c:pt idx="12">
                    <c:v>1146</c:v>
                  </c:pt>
                  <c:pt idx="13">
                    <c:v>1201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0831</c:v>
                  </c:pt>
                  <c:pt idx="1">
                    <c:v>0846</c:v>
                  </c:pt>
                  <c:pt idx="2">
                    <c:v>0901</c:v>
                  </c:pt>
                  <c:pt idx="3">
                    <c:v>0916</c:v>
                  </c:pt>
                  <c:pt idx="4">
                    <c:v>0931</c:v>
                  </c:pt>
                  <c:pt idx="5">
                    <c:v>0946</c:v>
                  </c:pt>
                  <c:pt idx="6">
                    <c:v>1001</c:v>
                  </c:pt>
                  <c:pt idx="7">
                    <c:v>1016</c:v>
                  </c:pt>
                  <c:pt idx="8">
                    <c:v>1031</c:v>
                  </c:pt>
                  <c:pt idx="9">
                    <c:v>1046</c:v>
                  </c:pt>
                  <c:pt idx="10">
                    <c:v>1101</c:v>
                  </c:pt>
                  <c:pt idx="11">
                    <c:v>1116</c:v>
                  </c:pt>
                  <c:pt idx="12">
                    <c:v>1131</c:v>
                  </c:pt>
                  <c:pt idx="13">
                    <c:v>1146</c:v>
                  </c:pt>
                </c:lvl>
              </c:multiLvlStrCache>
            </c:multiLvlStrRef>
          </c:cat>
          <c:val>
            <c:numRef>
              <c:f>'Calculation Sheet'!$F$17:$F$30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A2-498D-93E7-7F43CD450411}"/>
            </c:ext>
          </c:extLst>
        </c:ser>
        <c:ser>
          <c:idx val="3"/>
          <c:order val="3"/>
          <c:tx>
            <c:strRef>
              <c:f>'Calculation Sheet'!$G$12:$G$14</c:f>
              <c:strCache>
                <c:ptCount val="3"/>
                <c:pt idx="0">
                  <c:v>Cars on</c:v>
                </c:pt>
                <c:pt idx="1">
                  <c:v>#</c:v>
                </c:pt>
                <c:pt idx="2">
                  <c:v>0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0846</c:v>
                  </c:pt>
                  <c:pt idx="1">
                    <c:v>0901</c:v>
                  </c:pt>
                  <c:pt idx="2">
                    <c:v>0916</c:v>
                  </c:pt>
                  <c:pt idx="3">
                    <c:v>0931</c:v>
                  </c:pt>
                  <c:pt idx="4">
                    <c:v>0946</c:v>
                  </c:pt>
                  <c:pt idx="5">
                    <c:v>1001</c:v>
                  </c:pt>
                  <c:pt idx="6">
                    <c:v>1016</c:v>
                  </c:pt>
                  <c:pt idx="7">
                    <c:v>1031</c:v>
                  </c:pt>
                  <c:pt idx="8">
                    <c:v>1046</c:v>
                  </c:pt>
                  <c:pt idx="9">
                    <c:v>1101</c:v>
                  </c:pt>
                  <c:pt idx="10">
                    <c:v>1116</c:v>
                  </c:pt>
                  <c:pt idx="11">
                    <c:v>1131</c:v>
                  </c:pt>
                  <c:pt idx="12">
                    <c:v>1146</c:v>
                  </c:pt>
                  <c:pt idx="13">
                    <c:v>1201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0831</c:v>
                  </c:pt>
                  <c:pt idx="1">
                    <c:v>0846</c:v>
                  </c:pt>
                  <c:pt idx="2">
                    <c:v>0901</c:v>
                  </c:pt>
                  <c:pt idx="3">
                    <c:v>0916</c:v>
                  </c:pt>
                  <c:pt idx="4">
                    <c:v>0931</c:v>
                  </c:pt>
                  <c:pt idx="5">
                    <c:v>0946</c:v>
                  </c:pt>
                  <c:pt idx="6">
                    <c:v>1001</c:v>
                  </c:pt>
                  <c:pt idx="7">
                    <c:v>1016</c:v>
                  </c:pt>
                  <c:pt idx="8">
                    <c:v>1031</c:v>
                  </c:pt>
                  <c:pt idx="9">
                    <c:v>1046</c:v>
                  </c:pt>
                  <c:pt idx="10">
                    <c:v>1101</c:v>
                  </c:pt>
                  <c:pt idx="11">
                    <c:v>1116</c:v>
                  </c:pt>
                  <c:pt idx="12">
                    <c:v>1131</c:v>
                  </c:pt>
                  <c:pt idx="13">
                    <c:v>1146</c:v>
                  </c:pt>
                </c:lvl>
              </c:multiLvlStrCache>
            </c:multiLvlStrRef>
          </c:cat>
          <c:val>
            <c:numRef>
              <c:f>'Calculation Sheet'!$G$17:$G$30</c:f>
              <c:numCache>
                <c:formatCode>General</c:formatCode>
                <c:ptCount val="14"/>
                <c:pt idx="0">
                  <c:v>19</c:v>
                </c:pt>
                <c:pt idx="1">
                  <c:v>17</c:v>
                </c:pt>
                <c:pt idx="2">
                  <c:v>33</c:v>
                </c:pt>
                <c:pt idx="3">
                  <c:v>34</c:v>
                </c:pt>
                <c:pt idx="4">
                  <c:v>38</c:v>
                </c:pt>
                <c:pt idx="5">
                  <c:v>26</c:v>
                </c:pt>
                <c:pt idx="6">
                  <c:v>23</c:v>
                </c:pt>
                <c:pt idx="7">
                  <c:v>11</c:v>
                </c:pt>
                <c:pt idx="8">
                  <c:v>5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A2-498D-93E7-7F43CD450411}"/>
            </c:ext>
          </c:extLst>
        </c:ser>
        <c:ser>
          <c:idx val="4"/>
          <c:order val="4"/>
          <c:tx>
            <c:strRef>
              <c:f>'Calculation Sheet'!$H$12:$H$14</c:f>
              <c:strCache>
                <c:ptCount val="3"/>
                <c:pt idx="0">
                  <c:v>Cars on</c:v>
                </c:pt>
                <c:pt idx="1">
                  <c:v>Accum.</c:v>
                </c:pt>
                <c:pt idx="2">
                  <c:v>0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0846</c:v>
                  </c:pt>
                  <c:pt idx="1">
                    <c:v>0901</c:v>
                  </c:pt>
                  <c:pt idx="2">
                    <c:v>0916</c:v>
                  </c:pt>
                  <c:pt idx="3">
                    <c:v>0931</c:v>
                  </c:pt>
                  <c:pt idx="4">
                    <c:v>0946</c:v>
                  </c:pt>
                  <c:pt idx="5">
                    <c:v>1001</c:v>
                  </c:pt>
                  <c:pt idx="6">
                    <c:v>1016</c:v>
                  </c:pt>
                  <c:pt idx="7">
                    <c:v>1031</c:v>
                  </c:pt>
                  <c:pt idx="8">
                    <c:v>1046</c:v>
                  </c:pt>
                  <c:pt idx="9">
                    <c:v>1101</c:v>
                  </c:pt>
                  <c:pt idx="10">
                    <c:v>1116</c:v>
                  </c:pt>
                  <c:pt idx="11">
                    <c:v>1131</c:v>
                  </c:pt>
                  <c:pt idx="12">
                    <c:v>1146</c:v>
                  </c:pt>
                  <c:pt idx="13">
                    <c:v>1201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0831</c:v>
                  </c:pt>
                  <c:pt idx="1">
                    <c:v>0846</c:v>
                  </c:pt>
                  <c:pt idx="2">
                    <c:v>0901</c:v>
                  </c:pt>
                  <c:pt idx="3">
                    <c:v>0916</c:v>
                  </c:pt>
                  <c:pt idx="4">
                    <c:v>0931</c:v>
                  </c:pt>
                  <c:pt idx="5">
                    <c:v>0946</c:v>
                  </c:pt>
                  <c:pt idx="6">
                    <c:v>1001</c:v>
                  </c:pt>
                  <c:pt idx="7">
                    <c:v>1016</c:v>
                  </c:pt>
                  <c:pt idx="8">
                    <c:v>1031</c:v>
                  </c:pt>
                  <c:pt idx="9">
                    <c:v>1046</c:v>
                  </c:pt>
                  <c:pt idx="10">
                    <c:v>1101</c:v>
                  </c:pt>
                  <c:pt idx="11">
                    <c:v>1116</c:v>
                  </c:pt>
                  <c:pt idx="12">
                    <c:v>1131</c:v>
                  </c:pt>
                  <c:pt idx="13">
                    <c:v>1146</c:v>
                  </c:pt>
                </c:lvl>
              </c:multiLvlStrCache>
            </c:multiLvlStrRef>
          </c:cat>
          <c:val>
            <c:numRef>
              <c:f>'Calculation Sheet'!$H$17:$H$30</c:f>
              <c:numCache>
                <c:formatCode>General</c:formatCode>
                <c:ptCount val="14"/>
                <c:pt idx="0">
                  <c:v>19</c:v>
                </c:pt>
                <c:pt idx="1">
                  <c:v>36</c:v>
                </c:pt>
                <c:pt idx="2">
                  <c:v>69</c:v>
                </c:pt>
                <c:pt idx="3">
                  <c:v>103</c:v>
                </c:pt>
                <c:pt idx="4">
                  <c:v>141</c:v>
                </c:pt>
                <c:pt idx="5">
                  <c:v>167</c:v>
                </c:pt>
                <c:pt idx="6">
                  <c:v>190</c:v>
                </c:pt>
                <c:pt idx="7">
                  <c:v>201</c:v>
                </c:pt>
                <c:pt idx="8">
                  <c:v>206</c:v>
                </c:pt>
                <c:pt idx="9">
                  <c:v>209</c:v>
                </c:pt>
                <c:pt idx="10">
                  <c:v>211</c:v>
                </c:pt>
                <c:pt idx="11">
                  <c:v>215</c:v>
                </c:pt>
                <c:pt idx="12">
                  <c:v>217</c:v>
                </c:pt>
                <c:pt idx="13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A2-498D-93E7-7F43CD450411}"/>
            </c:ext>
          </c:extLst>
        </c:ser>
        <c:ser>
          <c:idx val="5"/>
          <c:order val="5"/>
          <c:tx>
            <c:strRef>
              <c:f>'Calculation Sheet'!$I$12:$I$14</c:f>
              <c:strCache>
                <c:ptCount val="3"/>
                <c:pt idx="0">
                  <c:v>Cars Off</c:v>
                </c:pt>
                <c:pt idx="1">
                  <c:v>#</c:v>
                </c:pt>
                <c:pt idx="2">
                  <c:v>0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0846</c:v>
                  </c:pt>
                  <c:pt idx="1">
                    <c:v>0901</c:v>
                  </c:pt>
                  <c:pt idx="2">
                    <c:v>0916</c:v>
                  </c:pt>
                  <c:pt idx="3">
                    <c:v>0931</c:v>
                  </c:pt>
                  <c:pt idx="4">
                    <c:v>0946</c:v>
                  </c:pt>
                  <c:pt idx="5">
                    <c:v>1001</c:v>
                  </c:pt>
                  <c:pt idx="6">
                    <c:v>1016</c:v>
                  </c:pt>
                  <c:pt idx="7">
                    <c:v>1031</c:v>
                  </c:pt>
                  <c:pt idx="8">
                    <c:v>1046</c:v>
                  </c:pt>
                  <c:pt idx="9">
                    <c:v>1101</c:v>
                  </c:pt>
                  <c:pt idx="10">
                    <c:v>1116</c:v>
                  </c:pt>
                  <c:pt idx="11">
                    <c:v>1131</c:v>
                  </c:pt>
                  <c:pt idx="12">
                    <c:v>1146</c:v>
                  </c:pt>
                  <c:pt idx="13">
                    <c:v>1201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0831</c:v>
                  </c:pt>
                  <c:pt idx="1">
                    <c:v>0846</c:v>
                  </c:pt>
                  <c:pt idx="2">
                    <c:v>0901</c:v>
                  </c:pt>
                  <c:pt idx="3">
                    <c:v>0916</c:v>
                  </c:pt>
                  <c:pt idx="4">
                    <c:v>0931</c:v>
                  </c:pt>
                  <c:pt idx="5">
                    <c:v>0946</c:v>
                  </c:pt>
                  <c:pt idx="6">
                    <c:v>1001</c:v>
                  </c:pt>
                  <c:pt idx="7">
                    <c:v>1016</c:v>
                  </c:pt>
                  <c:pt idx="8">
                    <c:v>1031</c:v>
                  </c:pt>
                  <c:pt idx="9">
                    <c:v>1046</c:v>
                  </c:pt>
                  <c:pt idx="10">
                    <c:v>1101</c:v>
                  </c:pt>
                  <c:pt idx="11">
                    <c:v>1116</c:v>
                  </c:pt>
                  <c:pt idx="12">
                    <c:v>1131</c:v>
                  </c:pt>
                  <c:pt idx="13">
                    <c:v>1146</c:v>
                  </c:pt>
                </c:lvl>
              </c:multiLvlStrCache>
            </c:multiLvlStrRef>
          </c:cat>
          <c:val>
            <c:numRef>
              <c:f>'Calculation Sheet'!$I$17:$I$30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17</c:v>
                </c:pt>
                <c:pt idx="8">
                  <c:v>25</c:v>
                </c:pt>
                <c:pt idx="9">
                  <c:v>25</c:v>
                </c:pt>
                <c:pt idx="10">
                  <c:v>19</c:v>
                </c:pt>
                <c:pt idx="11">
                  <c:v>26</c:v>
                </c:pt>
                <c:pt idx="12">
                  <c:v>30</c:v>
                </c:pt>
                <c:pt idx="1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A2-498D-93E7-7F43CD450411}"/>
            </c:ext>
          </c:extLst>
        </c:ser>
        <c:ser>
          <c:idx val="6"/>
          <c:order val="6"/>
          <c:tx>
            <c:strRef>
              <c:f>'Calculation Sheet'!$J$12:$J$14</c:f>
              <c:strCache>
                <c:ptCount val="3"/>
                <c:pt idx="0">
                  <c:v>Cars Off</c:v>
                </c:pt>
                <c:pt idx="1">
                  <c:v>Accum.</c:v>
                </c:pt>
                <c:pt idx="2">
                  <c:v>0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0846</c:v>
                  </c:pt>
                  <c:pt idx="1">
                    <c:v>0901</c:v>
                  </c:pt>
                  <c:pt idx="2">
                    <c:v>0916</c:v>
                  </c:pt>
                  <c:pt idx="3">
                    <c:v>0931</c:v>
                  </c:pt>
                  <c:pt idx="4">
                    <c:v>0946</c:v>
                  </c:pt>
                  <c:pt idx="5">
                    <c:v>1001</c:v>
                  </c:pt>
                  <c:pt idx="6">
                    <c:v>1016</c:v>
                  </c:pt>
                  <c:pt idx="7">
                    <c:v>1031</c:v>
                  </c:pt>
                  <c:pt idx="8">
                    <c:v>1046</c:v>
                  </c:pt>
                  <c:pt idx="9">
                    <c:v>1101</c:v>
                  </c:pt>
                  <c:pt idx="10">
                    <c:v>1116</c:v>
                  </c:pt>
                  <c:pt idx="11">
                    <c:v>1131</c:v>
                  </c:pt>
                  <c:pt idx="12">
                    <c:v>1146</c:v>
                  </c:pt>
                  <c:pt idx="13">
                    <c:v>1201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0831</c:v>
                  </c:pt>
                  <c:pt idx="1">
                    <c:v>0846</c:v>
                  </c:pt>
                  <c:pt idx="2">
                    <c:v>0901</c:v>
                  </c:pt>
                  <c:pt idx="3">
                    <c:v>0916</c:v>
                  </c:pt>
                  <c:pt idx="4">
                    <c:v>0931</c:v>
                  </c:pt>
                  <c:pt idx="5">
                    <c:v>0946</c:v>
                  </c:pt>
                  <c:pt idx="6">
                    <c:v>1001</c:v>
                  </c:pt>
                  <c:pt idx="7">
                    <c:v>1016</c:v>
                  </c:pt>
                  <c:pt idx="8">
                    <c:v>1031</c:v>
                  </c:pt>
                  <c:pt idx="9">
                    <c:v>1046</c:v>
                  </c:pt>
                  <c:pt idx="10">
                    <c:v>1101</c:v>
                  </c:pt>
                  <c:pt idx="11">
                    <c:v>1116</c:v>
                  </c:pt>
                  <c:pt idx="12">
                    <c:v>1131</c:v>
                  </c:pt>
                  <c:pt idx="13">
                    <c:v>1146</c:v>
                  </c:pt>
                </c:lvl>
              </c:multiLvlStrCache>
            </c:multiLvlStrRef>
          </c:cat>
          <c:val>
            <c:numRef>
              <c:f>'Calculation Sheet'!$J$17:$J$30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9</c:v>
                </c:pt>
                <c:pt idx="5">
                  <c:v>14</c:v>
                </c:pt>
                <c:pt idx="6">
                  <c:v>29</c:v>
                </c:pt>
                <c:pt idx="7">
                  <c:v>46</c:v>
                </c:pt>
                <c:pt idx="8">
                  <c:v>71</c:v>
                </c:pt>
                <c:pt idx="9">
                  <c:v>96</c:v>
                </c:pt>
                <c:pt idx="10">
                  <c:v>115</c:v>
                </c:pt>
                <c:pt idx="11">
                  <c:v>141</c:v>
                </c:pt>
                <c:pt idx="12">
                  <c:v>171</c:v>
                </c:pt>
                <c:pt idx="13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A2-498D-93E7-7F43CD450411}"/>
            </c:ext>
          </c:extLst>
        </c:ser>
        <c:ser>
          <c:idx val="7"/>
          <c:order val="7"/>
          <c:tx>
            <c:strRef>
              <c:f>'Calculation Sheet'!$K$12:$K$14</c:f>
              <c:strCache>
                <c:ptCount val="3"/>
                <c:pt idx="0">
                  <c:v>Accum.</c:v>
                </c:pt>
                <c:pt idx="1">
                  <c:v>Diff.</c:v>
                </c:pt>
                <c:pt idx="2">
                  <c:v>0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0846</c:v>
                  </c:pt>
                  <c:pt idx="1">
                    <c:v>0901</c:v>
                  </c:pt>
                  <c:pt idx="2">
                    <c:v>0916</c:v>
                  </c:pt>
                  <c:pt idx="3">
                    <c:v>0931</c:v>
                  </c:pt>
                  <c:pt idx="4">
                    <c:v>0946</c:v>
                  </c:pt>
                  <c:pt idx="5">
                    <c:v>1001</c:v>
                  </c:pt>
                  <c:pt idx="6">
                    <c:v>1016</c:v>
                  </c:pt>
                  <c:pt idx="7">
                    <c:v>1031</c:v>
                  </c:pt>
                  <c:pt idx="8">
                    <c:v>1046</c:v>
                  </c:pt>
                  <c:pt idx="9">
                    <c:v>1101</c:v>
                  </c:pt>
                  <c:pt idx="10">
                    <c:v>1116</c:v>
                  </c:pt>
                  <c:pt idx="11">
                    <c:v>1131</c:v>
                  </c:pt>
                  <c:pt idx="12">
                    <c:v>1146</c:v>
                  </c:pt>
                  <c:pt idx="13">
                    <c:v>1201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0831</c:v>
                  </c:pt>
                  <c:pt idx="1">
                    <c:v>0846</c:v>
                  </c:pt>
                  <c:pt idx="2">
                    <c:v>0901</c:v>
                  </c:pt>
                  <c:pt idx="3">
                    <c:v>0916</c:v>
                  </c:pt>
                  <c:pt idx="4">
                    <c:v>0931</c:v>
                  </c:pt>
                  <c:pt idx="5">
                    <c:v>0946</c:v>
                  </c:pt>
                  <c:pt idx="6">
                    <c:v>1001</c:v>
                  </c:pt>
                  <c:pt idx="7">
                    <c:v>1016</c:v>
                  </c:pt>
                  <c:pt idx="8">
                    <c:v>1031</c:v>
                  </c:pt>
                  <c:pt idx="9">
                    <c:v>1046</c:v>
                  </c:pt>
                  <c:pt idx="10">
                    <c:v>1101</c:v>
                  </c:pt>
                  <c:pt idx="11">
                    <c:v>1116</c:v>
                  </c:pt>
                  <c:pt idx="12">
                    <c:v>1131</c:v>
                  </c:pt>
                  <c:pt idx="13">
                    <c:v>1146</c:v>
                  </c:pt>
                </c:lvl>
              </c:multiLvlStrCache>
            </c:multiLvlStrRef>
          </c:cat>
          <c:val>
            <c:numRef>
              <c:f>'Calculation Sheet'!$K$17:$K$30</c:f>
              <c:numCache>
                <c:formatCode>General</c:formatCode>
                <c:ptCount val="14"/>
                <c:pt idx="0">
                  <c:v>19</c:v>
                </c:pt>
                <c:pt idx="1">
                  <c:v>35</c:v>
                </c:pt>
                <c:pt idx="2">
                  <c:v>68</c:v>
                </c:pt>
                <c:pt idx="3">
                  <c:v>99</c:v>
                </c:pt>
                <c:pt idx="4">
                  <c:v>132</c:v>
                </c:pt>
                <c:pt idx="5">
                  <c:v>153</c:v>
                </c:pt>
                <c:pt idx="6">
                  <c:v>161</c:v>
                </c:pt>
                <c:pt idx="7">
                  <c:v>155</c:v>
                </c:pt>
                <c:pt idx="8">
                  <c:v>135</c:v>
                </c:pt>
                <c:pt idx="9">
                  <c:v>113</c:v>
                </c:pt>
                <c:pt idx="10">
                  <c:v>96</c:v>
                </c:pt>
                <c:pt idx="11">
                  <c:v>74</c:v>
                </c:pt>
                <c:pt idx="12">
                  <c:v>46</c:v>
                </c:pt>
                <c:pt idx="1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DA2-498D-93E7-7F43CD450411}"/>
            </c:ext>
          </c:extLst>
        </c:ser>
        <c:ser>
          <c:idx val="8"/>
          <c:order val="8"/>
          <c:tx>
            <c:strRef>
              <c:f>'Calculation Sheet'!$L$12:$L$14</c:f>
              <c:strCache>
                <c:ptCount val="3"/>
                <c:pt idx="0">
                  <c:v>% Available</c:v>
                </c:pt>
                <c:pt idx="1">
                  <c:v>for Beach count</c:v>
                </c:pt>
                <c:pt idx="2">
                  <c:v>0.00%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0846</c:v>
                  </c:pt>
                  <c:pt idx="1">
                    <c:v>0901</c:v>
                  </c:pt>
                  <c:pt idx="2">
                    <c:v>0916</c:v>
                  </c:pt>
                  <c:pt idx="3">
                    <c:v>0931</c:v>
                  </c:pt>
                  <c:pt idx="4">
                    <c:v>0946</c:v>
                  </c:pt>
                  <c:pt idx="5">
                    <c:v>1001</c:v>
                  </c:pt>
                  <c:pt idx="6">
                    <c:v>1016</c:v>
                  </c:pt>
                  <c:pt idx="7">
                    <c:v>1031</c:v>
                  </c:pt>
                  <c:pt idx="8">
                    <c:v>1046</c:v>
                  </c:pt>
                  <c:pt idx="9">
                    <c:v>1101</c:v>
                  </c:pt>
                  <c:pt idx="10">
                    <c:v>1116</c:v>
                  </c:pt>
                  <c:pt idx="11">
                    <c:v>1131</c:v>
                  </c:pt>
                  <c:pt idx="12">
                    <c:v>1146</c:v>
                  </c:pt>
                  <c:pt idx="13">
                    <c:v>1201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0831</c:v>
                  </c:pt>
                  <c:pt idx="1">
                    <c:v>0846</c:v>
                  </c:pt>
                  <c:pt idx="2">
                    <c:v>0901</c:v>
                  </c:pt>
                  <c:pt idx="3">
                    <c:v>0916</c:v>
                  </c:pt>
                  <c:pt idx="4">
                    <c:v>0931</c:v>
                  </c:pt>
                  <c:pt idx="5">
                    <c:v>0946</c:v>
                  </c:pt>
                  <c:pt idx="6">
                    <c:v>1001</c:v>
                  </c:pt>
                  <c:pt idx="7">
                    <c:v>1016</c:v>
                  </c:pt>
                  <c:pt idx="8">
                    <c:v>1031</c:v>
                  </c:pt>
                  <c:pt idx="9">
                    <c:v>1046</c:v>
                  </c:pt>
                  <c:pt idx="10">
                    <c:v>1101</c:v>
                  </c:pt>
                  <c:pt idx="11">
                    <c:v>1116</c:v>
                  </c:pt>
                  <c:pt idx="12">
                    <c:v>1131</c:v>
                  </c:pt>
                  <c:pt idx="13">
                    <c:v>1146</c:v>
                  </c:pt>
                </c:lvl>
              </c:multiLvlStrCache>
            </c:multiLvlStrRef>
          </c:cat>
          <c:val>
            <c:numRef>
              <c:f>'Calculation Sheet'!$L$17:$L$30</c:f>
              <c:numCache>
                <c:formatCode>0.00%</c:formatCode>
                <c:ptCount val="14"/>
                <c:pt idx="0">
                  <c:v>8.6757990867579904E-2</c:v>
                </c:pt>
                <c:pt idx="1">
                  <c:v>0.15981735159817351</c:v>
                </c:pt>
                <c:pt idx="2">
                  <c:v>0.31050228310502281</c:v>
                </c:pt>
                <c:pt idx="3">
                  <c:v>0.45205479452054792</c:v>
                </c:pt>
                <c:pt idx="4">
                  <c:v>0.60273972602739723</c:v>
                </c:pt>
                <c:pt idx="5">
                  <c:v>0.69863013698630139</c:v>
                </c:pt>
                <c:pt idx="6">
                  <c:v>0.73515981735159819</c:v>
                </c:pt>
                <c:pt idx="7">
                  <c:v>0.70776255707762559</c:v>
                </c:pt>
                <c:pt idx="8">
                  <c:v>0.61643835616438358</c:v>
                </c:pt>
                <c:pt idx="9">
                  <c:v>0.51598173515981738</c:v>
                </c:pt>
                <c:pt idx="10">
                  <c:v>0.43835616438356162</c:v>
                </c:pt>
                <c:pt idx="11">
                  <c:v>0.33789954337899542</c:v>
                </c:pt>
                <c:pt idx="12">
                  <c:v>0.21004566210045661</c:v>
                </c:pt>
                <c:pt idx="13">
                  <c:v>0.14155251141552511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A2-498D-93E7-7F43CD450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338304"/>
        <c:axId val="98339840"/>
      </c:barChart>
      <c:catAx>
        <c:axId val="9833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8339840"/>
        <c:crosses val="autoZero"/>
        <c:auto val="1"/>
        <c:lblAlgn val="ctr"/>
        <c:lblOffset val="100"/>
        <c:noMultiLvlLbl val="0"/>
      </c:catAx>
      <c:valAx>
        <c:axId val="98339840"/>
        <c:scaling>
          <c:orientation val="minMax"/>
        </c:scaling>
        <c:delete val="0"/>
        <c:axPos val="l"/>
        <c:majorGridlines/>
        <c:numFmt formatCode="@" sourceLinked="1"/>
        <c:majorTickMark val="out"/>
        <c:minorTickMark val="none"/>
        <c:tickLblPos val="nextTo"/>
        <c:crossAx val="98338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11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311" cy="62813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3"/>
  <sheetViews>
    <sheetView tabSelected="1" topLeftCell="A10" workbookViewId="0">
      <selection activeCell="A9" sqref="A9:L9"/>
    </sheetView>
  </sheetViews>
  <sheetFormatPr defaultRowHeight="12.75" x14ac:dyDescent="0.2"/>
  <cols>
    <col min="1" max="1" width="7.140625" customWidth="1"/>
    <col min="2" max="2" width="1.5703125" customWidth="1"/>
    <col min="3" max="3" width="7.140625" customWidth="1"/>
    <col min="4" max="4" width="6.28515625" customWidth="1"/>
    <col min="5" max="5" width="2.140625" customWidth="1"/>
    <col min="6" max="6" width="7.140625" customWidth="1"/>
    <col min="7" max="10" width="10.7109375" customWidth="1"/>
    <col min="11" max="11" width="15.7109375" customWidth="1"/>
    <col min="12" max="12" width="20.7109375" customWidth="1"/>
  </cols>
  <sheetData>
    <row r="1" spans="1:12" ht="23.25" x14ac:dyDescent="0.35">
      <c r="A1" s="52" t="s">
        <v>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ht="18.75" x14ac:dyDescent="0.3">
      <c r="A2" s="58" t="s">
        <v>31</v>
      </c>
      <c r="B2" s="58"/>
      <c r="C2" s="58"/>
      <c r="D2" s="58"/>
      <c r="E2" s="58"/>
      <c r="F2" s="58"/>
      <c r="G2" s="58"/>
      <c r="H2" s="29"/>
      <c r="I2" s="29"/>
      <c r="J2" s="29"/>
      <c r="K2" s="30" t="s">
        <v>30</v>
      </c>
      <c r="L2" s="32" t="s">
        <v>52</v>
      </c>
    </row>
    <row r="3" spans="1:12" ht="18.75" x14ac:dyDescent="0.3">
      <c r="A3" s="58" t="s">
        <v>32</v>
      </c>
      <c r="B3" s="58"/>
      <c r="C3" s="58"/>
      <c r="D3" s="58"/>
      <c r="E3" s="58"/>
      <c r="F3" s="58"/>
      <c r="G3" s="58"/>
      <c r="H3" s="3"/>
      <c r="I3" s="3"/>
      <c r="J3" s="3"/>
      <c r="K3" s="3"/>
      <c r="L3" s="3"/>
    </row>
    <row r="4" spans="1:12" ht="18.75" x14ac:dyDescent="0.3">
      <c r="A4" s="57">
        <v>45041</v>
      </c>
      <c r="B4" s="57"/>
      <c r="C4" s="57"/>
      <c r="D4" s="57"/>
      <c r="E4" s="57"/>
      <c r="F4" s="57"/>
      <c r="G4" s="57"/>
      <c r="H4" s="3"/>
      <c r="I4" s="3"/>
      <c r="J4" s="3"/>
    </row>
    <row r="5" spans="1:12" ht="18.75" x14ac:dyDescent="0.3">
      <c r="A5" s="58" t="s">
        <v>33</v>
      </c>
      <c r="B5" s="58"/>
      <c r="C5" s="58"/>
      <c r="D5" s="58"/>
      <c r="E5" s="58"/>
      <c r="F5" s="58"/>
      <c r="G5" s="58"/>
      <c r="H5" s="3"/>
      <c r="I5" s="3"/>
      <c r="J5" s="3"/>
      <c r="K5" s="3"/>
      <c r="L5" s="3"/>
    </row>
    <row r="6" spans="1:12" ht="18.75" x14ac:dyDescent="0.3">
      <c r="A6" s="59" t="s">
        <v>34</v>
      </c>
      <c r="B6" s="59"/>
      <c r="C6" s="59"/>
      <c r="D6" s="59"/>
      <c r="E6" s="59"/>
      <c r="F6" s="59"/>
      <c r="G6" s="59"/>
      <c r="H6" s="3"/>
      <c r="I6" s="3"/>
      <c r="J6" s="3"/>
      <c r="K6" s="3"/>
      <c r="L6" s="3"/>
    </row>
    <row r="7" spans="1:12" ht="15.75" x14ac:dyDescent="0.25">
      <c r="A7" s="27"/>
      <c r="B7" s="27"/>
      <c r="C7" s="27"/>
      <c r="D7" s="27"/>
      <c r="E7" s="27"/>
      <c r="F7" s="27"/>
      <c r="G7" s="3"/>
      <c r="H7" s="3"/>
      <c r="I7" s="3"/>
      <c r="J7" s="3"/>
      <c r="K7" s="3"/>
      <c r="L7" s="3"/>
    </row>
    <row r="8" spans="1:12" ht="15.75" x14ac:dyDescent="0.25">
      <c r="A8" s="53" t="s">
        <v>10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</row>
    <row r="9" spans="1:12" ht="18.75" x14ac:dyDescent="0.3">
      <c r="A9" s="60" t="s">
        <v>53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2"/>
    </row>
    <row r="10" spans="1:12" ht="18.75" x14ac:dyDescent="0.3">
      <c r="A10" s="60" t="s">
        <v>54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t="18.75" customHeight="1" x14ac:dyDescent="0.3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</row>
    <row r="12" spans="1:12" ht="18.75" x14ac:dyDescent="0.3">
      <c r="A12" s="5"/>
      <c r="B12" s="6"/>
      <c r="C12" s="7"/>
      <c r="D12" s="54" t="s">
        <v>14</v>
      </c>
      <c r="E12" s="55"/>
      <c r="F12" s="56"/>
      <c r="G12" s="49" t="s">
        <v>2</v>
      </c>
      <c r="H12" s="50"/>
      <c r="I12" s="51" t="s">
        <v>5</v>
      </c>
      <c r="J12" s="49"/>
      <c r="K12" s="8" t="s">
        <v>4</v>
      </c>
      <c r="L12" s="9" t="s">
        <v>6</v>
      </c>
    </row>
    <row r="13" spans="1:12" ht="18.75" x14ac:dyDescent="0.3">
      <c r="A13" s="10" t="s">
        <v>0</v>
      </c>
      <c r="B13" s="11"/>
      <c r="C13" s="12"/>
      <c r="D13" s="43" t="s">
        <v>29</v>
      </c>
      <c r="E13" s="44"/>
      <c r="F13" s="45"/>
      <c r="G13" s="13" t="s">
        <v>3</v>
      </c>
      <c r="H13" s="14" t="s">
        <v>4</v>
      </c>
      <c r="I13" s="14" t="s">
        <v>3</v>
      </c>
      <c r="J13" s="15" t="s">
        <v>4</v>
      </c>
      <c r="K13" s="16" t="s">
        <v>8</v>
      </c>
      <c r="L13" s="17" t="s">
        <v>7</v>
      </c>
    </row>
    <row r="14" spans="1:12" ht="18.75" x14ac:dyDescent="0.3">
      <c r="A14" s="18" t="s">
        <v>1</v>
      </c>
      <c r="B14" s="18"/>
      <c r="C14" s="18"/>
      <c r="D14" s="46" t="s">
        <v>28</v>
      </c>
      <c r="E14" s="47"/>
      <c r="F14" s="48"/>
      <c r="G14" s="19">
        <v>0</v>
      </c>
      <c r="H14" s="20">
        <f>G14</f>
        <v>0</v>
      </c>
      <c r="I14" s="21">
        <v>0</v>
      </c>
      <c r="J14" s="20">
        <f>I14</f>
        <v>0</v>
      </c>
      <c r="K14" s="21">
        <f>H14-J14</f>
        <v>0</v>
      </c>
      <c r="L14" s="22">
        <f>K14/$H$30</f>
        <v>0</v>
      </c>
    </row>
    <row r="15" spans="1:12" ht="18.75" x14ac:dyDescent="0.3">
      <c r="A15" s="33" t="s">
        <v>41</v>
      </c>
      <c r="B15" s="23" t="s">
        <v>11</v>
      </c>
      <c r="C15" s="33" t="s">
        <v>42</v>
      </c>
      <c r="D15" s="31" t="s">
        <v>15</v>
      </c>
      <c r="E15" s="24" t="s">
        <v>11</v>
      </c>
      <c r="F15" s="25" t="s">
        <v>16</v>
      </c>
      <c r="G15" s="26">
        <v>0</v>
      </c>
      <c r="H15" s="21">
        <f t="shared" ref="H15:H18" si="0">H14+G15</f>
        <v>0</v>
      </c>
      <c r="I15" s="21">
        <v>0</v>
      </c>
      <c r="J15" s="21">
        <f t="shared" ref="J15:J18" si="1">J14+I15</f>
        <v>0</v>
      </c>
      <c r="K15" s="21">
        <f t="shared" ref="K15:K16" si="2">H15-J15</f>
        <v>0</v>
      </c>
      <c r="L15" s="22">
        <f t="shared" ref="L15:L30" si="3">K15/$H$30</f>
        <v>0</v>
      </c>
    </row>
    <row r="16" spans="1:12" ht="18.75" x14ac:dyDescent="0.3">
      <c r="A16" s="33" t="s">
        <v>42</v>
      </c>
      <c r="B16" s="23" t="s">
        <v>11</v>
      </c>
      <c r="C16" s="33" t="s">
        <v>43</v>
      </c>
      <c r="D16" s="31" t="s">
        <v>16</v>
      </c>
      <c r="E16" s="24" t="s">
        <v>11</v>
      </c>
      <c r="F16" s="25" t="s">
        <v>17</v>
      </c>
      <c r="G16" s="26">
        <v>0</v>
      </c>
      <c r="H16" s="21">
        <f t="shared" si="0"/>
        <v>0</v>
      </c>
      <c r="I16" s="21">
        <v>0</v>
      </c>
      <c r="J16" s="21">
        <f t="shared" si="1"/>
        <v>0</v>
      </c>
      <c r="K16" s="21">
        <f t="shared" si="2"/>
        <v>0</v>
      </c>
      <c r="L16" s="22">
        <f t="shared" si="3"/>
        <v>0</v>
      </c>
    </row>
    <row r="17" spans="1:12" ht="18.75" x14ac:dyDescent="0.3">
      <c r="A17" s="33" t="s">
        <v>43</v>
      </c>
      <c r="B17" s="23" t="s">
        <v>11</v>
      </c>
      <c r="C17" s="33" t="s">
        <v>44</v>
      </c>
      <c r="D17" s="31" t="s">
        <v>17</v>
      </c>
      <c r="E17" s="24" t="s">
        <v>11</v>
      </c>
      <c r="F17" s="25" t="s">
        <v>18</v>
      </c>
      <c r="G17" s="26">
        <v>19</v>
      </c>
      <c r="H17" s="21">
        <f t="shared" si="0"/>
        <v>19</v>
      </c>
      <c r="I17" s="21">
        <v>0</v>
      </c>
      <c r="J17" s="21">
        <f t="shared" si="1"/>
        <v>0</v>
      </c>
      <c r="K17" s="21">
        <f>H17-J17</f>
        <v>19</v>
      </c>
      <c r="L17" s="22">
        <f t="shared" si="3"/>
        <v>8.6757990867579904E-2</v>
      </c>
    </row>
    <row r="18" spans="1:12" ht="18.75" x14ac:dyDescent="0.3">
      <c r="A18" s="33" t="s">
        <v>44</v>
      </c>
      <c r="B18" s="23" t="s">
        <v>11</v>
      </c>
      <c r="C18" s="33" t="s">
        <v>45</v>
      </c>
      <c r="D18" s="31" t="s">
        <v>18</v>
      </c>
      <c r="E18" s="24" t="s">
        <v>11</v>
      </c>
      <c r="F18" s="25" t="s">
        <v>19</v>
      </c>
      <c r="G18" s="26">
        <v>17</v>
      </c>
      <c r="H18" s="21">
        <f t="shared" si="0"/>
        <v>36</v>
      </c>
      <c r="I18" s="21">
        <v>1</v>
      </c>
      <c r="J18" s="21">
        <f t="shared" si="1"/>
        <v>1</v>
      </c>
      <c r="K18" s="21">
        <f t="shared" ref="K18:K30" si="4">H18-J18</f>
        <v>35</v>
      </c>
      <c r="L18" s="22">
        <f t="shared" si="3"/>
        <v>0.15981735159817351</v>
      </c>
    </row>
    <row r="19" spans="1:12" ht="18.75" x14ac:dyDescent="0.3">
      <c r="A19" s="33" t="s">
        <v>45</v>
      </c>
      <c r="B19" s="23" t="s">
        <v>11</v>
      </c>
      <c r="C19" s="33" t="s">
        <v>46</v>
      </c>
      <c r="D19" s="31" t="s">
        <v>19</v>
      </c>
      <c r="E19" s="24" t="s">
        <v>11</v>
      </c>
      <c r="F19" s="25" t="s">
        <v>20</v>
      </c>
      <c r="G19" s="26">
        <v>33</v>
      </c>
      <c r="H19" s="21">
        <f t="shared" ref="H19:H30" si="5">H18+G19</f>
        <v>69</v>
      </c>
      <c r="I19" s="21">
        <v>0</v>
      </c>
      <c r="J19" s="21">
        <f t="shared" ref="J19:J30" si="6">J18+I19</f>
        <v>1</v>
      </c>
      <c r="K19" s="21">
        <f t="shared" si="4"/>
        <v>68</v>
      </c>
      <c r="L19" s="22">
        <f t="shared" si="3"/>
        <v>0.31050228310502281</v>
      </c>
    </row>
    <row r="20" spans="1:12" ht="18.75" x14ac:dyDescent="0.3">
      <c r="A20" s="33" t="s">
        <v>46</v>
      </c>
      <c r="B20" s="23" t="s">
        <v>11</v>
      </c>
      <c r="C20" s="33" t="s">
        <v>47</v>
      </c>
      <c r="D20" s="31" t="s">
        <v>20</v>
      </c>
      <c r="E20" s="24" t="s">
        <v>11</v>
      </c>
      <c r="F20" s="25" t="s">
        <v>21</v>
      </c>
      <c r="G20" s="26">
        <v>34</v>
      </c>
      <c r="H20" s="21">
        <f t="shared" si="5"/>
        <v>103</v>
      </c>
      <c r="I20" s="21">
        <v>3</v>
      </c>
      <c r="J20" s="21">
        <f t="shared" si="6"/>
        <v>4</v>
      </c>
      <c r="K20" s="21">
        <f t="shared" si="4"/>
        <v>99</v>
      </c>
      <c r="L20" s="22">
        <f t="shared" si="3"/>
        <v>0.45205479452054792</v>
      </c>
    </row>
    <row r="21" spans="1:12" ht="18.75" x14ac:dyDescent="0.3">
      <c r="A21" s="33" t="s">
        <v>47</v>
      </c>
      <c r="B21" s="23" t="s">
        <v>11</v>
      </c>
      <c r="C21" s="39" t="s">
        <v>48</v>
      </c>
      <c r="D21" s="31" t="s">
        <v>21</v>
      </c>
      <c r="E21" s="24" t="s">
        <v>11</v>
      </c>
      <c r="F21" s="25" t="s">
        <v>22</v>
      </c>
      <c r="G21" s="26">
        <v>38</v>
      </c>
      <c r="H21" s="21">
        <f t="shared" si="5"/>
        <v>141</v>
      </c>
      <c r="I21" s="21">
        <v>5</v>
      </c>
      <c r="J21" s="21">
        <f t="shared" si="6"/>
        <v>9</v>
      </c>
      <c r="K21" s="21">
        <f t="shared" si="4"/>
        <v>132</v>
      </c>
      <c r="L21" s="22">
        <f t="shared" si="3"/>
        <v>0.60273972602739723</v>
      </c>
    </row>
    <row r="22" spans="1:12" ht="18.75" x14ac:dyDescent="0.3">
      <c r="A22" s="39" t="s">
        <v>48</v>
      </c>
      <c r="B22" s="23" t="s">
        <v>11</v>
      </c>
      <c r="C22" s="39" t="s">
        <v>49</v>
      </c>
      <c r="D22" s="35" t="s">
        <v>22</v>
      </c>
      <c r="E22" s="36" t="s">
        <v>11</v>
      </c>
      <c r="F22" s="37" t="s">
        <v>23</v>
      </c>
      <c r="G22" s="26">
        <v>26</v>
      </c>
      <c r="H22" s="21">
        <f t="shared" si="5"/>
        <v>167</v>
      </c>
      <c r="I22" s="21">
        <v>5</v>
      </c>
      <c r="J22" s="21">
        <f t="shared" si="6"/>
        <v>14</v>
      </c>
      <c r="K22" s="21">
        <f t="shared" si="4"/>
        <v>153</v>
      </c>
      <c r="L22" s="38">
        <f t="shared" si="3"/>
        <v>0.69863013698630139</v>
      </c>
    </row>
    <row r="23" spans="1:12" ht="18.75" x14ac:dyDescent="0.3">
      <c r="A23" s="39" t="s">
        <v>49</v>
      </c>
      <c r="B23" s="40" t="s">
        <v>11</v>
      </c>
      <c r="C23" s="39" t="s">
        <v>50</v>
      </c>
      <c r="D23" s="35" t="s">
        <v>23</v>
      </c>
      <c r="E23" s="36" t="s">
        <v>11</v>
      </c>
      <c r="F23" s="37" t="s">
        <v>24</v>
      </c>
      <c r="G23" s="26">
        <v>23</v>
      </c>
      <c r="H23" s="21">
        <f t="shared" si="5"/>
        <v>190</v>
      </c>
      <c r="I23" s="21">
        <v>15</v>
      </c>
      <c r="J23" s="21">
        <f t="shared" si="6"/>
        <v>29</v>
      </c>
      <c r="K23" s="21">
        <f t="shared" si="4"/>
        <v>161</v>
      </c>
      <c r="L23" s="38">
        <f t="shared" si="3"/>
        <v>0.73515981735159819</v>
      </c>
    </row>
    <row r="24" spans="1:12" ht="18.75" x14ac:dyDescent="0.3">
      <c r="A24" s="39" t="s">
        <v>50</v>
      </c>
      <c r="B24" s="40" t="s">
        <v>11</v>
      </c>
      <c r="C24" s="33" t="s">
        <v>51</v>
      </c>
      <c r="D24" s="31" t="s">
        <v>24</v>
      </c>
      <c r="E24" s="24" t="s">
        <v>11</v>
      </c>
      <c r="F24" s="25" t="s">
        <v>25</v>
      </c>
      <c r="G24" s="26">
        <v>11</v>
      </c>
      <c r="H24" s="21">
        <f t="shared" si="5"/>
        <v>201</v>
      </c>
      <c r="I24" s="21">
        <v>17</v>
      </c>
      <c r="J24" s="21">
        <f t="shared" si="6"/>
        <v>46</v>
      </c>
      <c r="K24" s="21">
        <f t="shared" si="4"/>
        <v>155</v>
      </c>
      <c r="L24" s="22">
        <f t="shared" si="3"/>
        <v>0.70776255707762559</v>
      </c>
    </row>
    <row r="25" spans="1:12" ht="18.75" x14ac:dyDescent="0.3">
      <c r="A25" s="33" t="s">
        <v>51</v>
      </c>
      <c r="B25" s="40" t="s">
        <v>11</v>
      </c>
      <c r="C25" s="33" t="s">
        <v>40</v>
      </c>
      <c r="D25" s="31" t="s">
        <v>25</v>
      </c>
      <c r="E25" s="24" t="s">
        <v>11</v>
      </c>
      <c r="F25" s="25" t="s">
        <v>26</v>
      </c>
      <c r="G25" s="26">
        <v>5</v>
      </c>
      <c r="H25" s="21">
        <f t="shared" si="5"/>
        <v>206</v>
      </c>
      <c r="I25" s="21">
        <v>25</v>
      </c>
      <c r="J25" s="21">
        <f t="shared" si="6"/>
        <v>71</v>
      </c>
      <c r="K25" s="21">
        <f t="shared" si="4"/>
        <v>135</v>
      </c>
      <c r="L25" s="22">
        <f t="shared" si="3"/>
        <v>0.61643835616438358</v>
      </c>
    </row>
    <row r="26" spans="1:12" ht="18.75" x14ac:dyDescent="0.3">
      <c r="A26" s="33" t="s">
        <v>40</v>
      </c>
      <c r="B26" s="23" t="s">
        <v>11</v>
      </c>
      <c r="C26" s="33" t="s">
        <v>35</v>
      </c>
      <c r="D26" s="31" t="s">
        <v>26</v>
      </c>
      <c r="E26" s="24" t="s">
        <v>11</v>
      </c>
      <c r="F26" s="25" t="s">
        <v>27</v>
      </c>
      <c r="G26" s="26">
        <v>3</v>
      </c>
      <c r="H26" s="21">
        <f t="shared" si="5"/>
        <v>209</v>
      </c>
      <c r="I26" s="21">
        <v>25</v>
      </c>
      <c r="J26" s="21">
        <f t="shared" si="6"/>
        <v>96</v>
      </c>
      <c r="K26" s="21">
        <f t="shared" si="4"/>
        <v>113</v>
      </c>
      <c r="L26" s="22">
        <f t="shared" si="3"/>
        <v>0.51598173515981738</v>
      </c>
    </row>
    <row r="27" spans="1:12" ht="18.75" x14ac:dyDescent="0.3">
      <c r="A27" s="33" t="s">
        <v>35</v>
      </c>
      <c r="B27" s="23" t="s">
        <v>11</v>
      </c>
      <c r="C27" s="33" t="s">
        <v>36</v>
      </c>
      <c r="D27" s="31" t="s">
        <v>27</v>
      </c>
      <c r="E27" s="24" t="s">
        <v>11</v>
      </c>
      <c r="F27" s="25" t="s">
        <v>26</v>
      </c>
      <c r="G27" s="26">
        <v>2</v>
      </c>
      <c r="H27" s="21">
        <f t="shared" si="5"/>
        <v>211</v>
      </c>
      <c r="I27" s="21">
        <v>19</v>
      </c>
      <c r="J27" s="21">
        <f t="shared" si="6"/>
        <v>115</v>
      </c>
      <c r="K27" s="21">
        <f t="shared" si="4"/>
        <v>96</v>
      </c>
      <c r="L27" s="22">
        <f t="shared" si="3"/>
        <v>0.43835616438356162</v>
      </c>
    </row>
    <row r="28" spans="1:12" ht="18.75" x14ac:dyDescent="0.3">
      <c r="A28" s="33" t="s">
        <v>36</v>
      </c>
      <c r="B28" s="23" t="s">
        <v>11</v>
      </c>
      <c r="C28" s="33" t="s">
        <v>37</v>
      </c>
      <c r="D28" s="31" t="s">
        <v>26</v>
      </c>
      <c r="E28" s="24" t="s">
        <v>11</v>
      </c>
      <c r="F28" s="25" t="s">
        <v>25</v>
      </c>
      <c r="G28" s="26">
        <v>4</v>
      </c>
      <c r="H28" s="21">
        <f t="shared" si="5"/>
        <v>215</v>
      </c>
      <c r="I28" s="21">
        <v>26</v>
      </c>
      <c r="J28" s="21">
        <f t="shared" si="6"/>
        <v>141</v>
      </c>
      <c r="K28" s="21">
        <f t="shared" si="4"/>
        <v>74</v>
      </c>
      <c r="L28" s="22">
        <f t="shared" si="3"/>
        <v>0.33789954337899542</v>
      </c>
    </row>
    <row r="29" spans="1:12" ht="18.75" x14ac:dyDescent="0.3">
      <c r="A29" s="33" t="s">
        <v>37</v>
      </c>
      <c r="B29" s="23" t="s">
        <v>11</v>
      </c>
      <c r="C29" s="33" t="s">
        <v>38</v>
      </c>
      <c r="D29" s="31" t="s">
        <v>25</v>
      </c>
      <c r="E29" s="24" t="s">
        <v>11</v>
      </c>
      <c r="F29" s="25" t="s">
        <v>24</v>
      </c>
      <c r="G29" s="26">
        <v>2</v>
      </c>
      <c r="H29" s="21">
        <f t="shared" si="5"/>
        <v>217</v>
      </c>
      <c r="I29" s="21">
        <v>30</v>
      </c>
      <c r="J29" s="21">
        <f t="shared" si="6"/>
        <v>171</v>
      </c>
      <c r="K29" s="21">
        <f t="shared" si="4"/>
        <v>46</v>
      </c>
      <c r="L29" s="22">
        <f t="shared" si="3"/>
        <v>0.21004566210045661</v>
      </c>
    </row>
    <row r="30" spans="1:12" ht="18.75" x14ac:dyDescent="0.3">
      <c r="A30" s="33" t="s">
        <v>38</v>
      </c>
      <c r="B30" s="23" t="s">
        <v>11</v>
      </c>
      <c r="C30" s="33" t="s">
        <v>39</v>
      </c>
      <c r="D30" s="31" t="s">
        <v>24</v>
      </c>
      <c r="E30" s="24" t="s">
        <v>11</v>
      </c>
      <c r="F30" s="25" t="s">
        <v>23</v>
      </c>
      <c r="G30" s="26">
        <v>2</v>
      </c>
      <c r="H30" s="21">
        <f t="shared" si="5"/>
        <v>219</v>
      </c>
      <c r="I30" s="21">
        <v>17</v>
      </c>
      <c r="J30" s="21">
        <f t="shared" si="6"/>
        <v>188</v>
      </c>
      <c r="K30" s="21">
        <f t="shared" si="4"/>
        <v>31</v>
      </c>
      <c r="L30" s="22">
        <f t="shared" si="3"/>
        <v>0.14155251141552511</v>
      </c>
    </row>
    <row r="31" spans="1:12" ht="18.75" x14ac:dyDescent="0.3">
      <c r="A31" s="42" t="s">
        <v>12</v>
      </c>
      <c r="B31" s="42"/>
      <c r="C31" s="42"/>
      <c r="D31" s="42"/>
      <c r="E31" s="42"/>
      <c r="F31" s="42"/>
      <c r="G31" s="21">
        <v>34</v>
      </c>
      <c r="H31" s="2"/>
      <c r="I31" s="28"/>
      <c r="J31" s="4"/>
      <c r="K31" s="28"/>
      <c r="L31" s="28"/>
    </row>
    <row r="32" spans="1:12" ht="18.75" x14ac:dyDescent="0.3">
      <c r="A32" s="42" t="s">
        <v>13</v>
      </c>
      <c r="B32" s="42"/>
      <c r="C32" s="42"/>
      <c r="D32" s="42"/>
      <c r="E32" s="42"/>
      <c r="F32" s="42"/>
      <c r="G32" s="21">
        <v>3</v>
      </c>
      <c r="H32" s="2"/>
      <c r="I32" s="28"/>
      <c r="J32" s="28"/>
      <c r="K32" s="28"/>
      <c r="L32" s="28"/>
    </row>
    <row r="33" spans="7:12" ht="18" x14ac:dyDescent="0.25">
      <c r="G33" s="1"/>
      <c r="H33" s="1"/>
      <c r="I33" s="1"/>
      <c r="J33" s="1"/>
      <c r="K33" s="1"/>
      <c r="L33" s="1"/>
    </row>
  </sheetData>
  <mergeCells count="17">
    <mergeCell ref="I12:J12"/>
    <mergeCell ref="A1:L1"/>
    <mergeCell ref="A8:L8"/>
    <mergeCell ref="D12:F12"/>
    <mergeCell ref="A4:G4"/>
    <mergeCell ref="A3:G3"/>
    <mergeCell ref="A5:G5"/>
    <mergeCell ref="A6:G6"/>
    <mergeCell ref="A9:L9"/>
    <mergeCell ref="A11:L11"/>
    <mergeCell ref="A10:L10"/>
    <mergeCell ref="A2:G2"/>
    <mergeCell ref="A31:F31"/>
    <mergeCell ref="A32:F32"/>
    <mergeCell ref="D13:F13"/>
    <mergeCell ref="D14:F14"/>
    <mergeCell ref="G12:H12"/>
  </mergeCells>
  <phoneticPr fontId="0" type="noConversion"/>
  <pageMargins left="0.25" right="0.25" top="0.75" bottom="0.75" header="0.3" footer="0.3"/>
  <pageSetup scale="9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workbookViewId="0">
      <selection activeCell="J5" sqref="J5"/>
    </sheetView>
  </sheetViews>
  <sheetFormatPr defaultRowHeight="12.75" x14ac:dyDescent="0.2"/>
  <cols>
    <col min="1" max="1" width="7.140625" customWidth="1"/>
    <col min="2" max="2" width="1.5703125" customWidth="1"/>
    <col min="3" max="3" width="7.140625" customWidth="1"/>
    <col min="4" max="4" width="6.28515625" customWidth="1"/>
    <col min="5" max="5" width="2.140625" customWidth="1"/>
    <col min="6" max="6" width="7.140625" customWidth="1"/>
    <col min="7" max="9" width="10.7109375" customWidth="1"/>
    <col min="10" max="10" width="11.5703125" bestFit="1" customWidth="1"/>
    <col min="11" max="11" width="15.7109375" customWidth="1"/>
  </cols>
  <sheetData>
    <row r="1" spans="1:11" ht="23.25" x14ac:dyDescent="0.35">
      <c r="A1" s="52" t="s">
        <v>9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ht="18.75" x14ac:dyDescent="0.3">
      <c r="A2" s="58" t="s">
        <v>31</v>
      </c>
      <c r="B2" s="58"/>
      <c r="C2" s="58"/>
      <c r="D2" s="58"/>
      <c r="E2" s="58"/>
      <c r="F2" s="58"/>
      <c r="G2" s="58"/>
      <c r="H2" s="29"/>
      <c r="I2" s="29"/>
      <c r="J2" s="30" t="s">
        <v>30</v>
      </c>
      <c r="K2" s="34"/>
    </row>
    <row r="3" spans="1:11" ht="18.75" x14ac:dyDescent="0.3">
      <c r="A3" s="58" t="s">
        <v>32</v>
      </c>
      <c r="B3" s="58"/>
      <c r="C3" s="58"/>
      <c r="D3" s="58"/>
      <c r="E3" s="58"/>
      <c r="F3" s="58"/>
      <c r="G3" s="58"/>
      <c r="H3" s="3"/>
      <c r="I3" s="3"/>
      <c r="J3" s="3"/>
      <c r="K3" s="3"/>
    </row>
    <row r="4" spans="1:11" ht="18.75" x14ac:dyDescent="0.3">
      <c r="A4" s="57">
        <v>45041</v>
      </c>
      <c r="B4" s="57"/>
      <c r="C4" s="57"/>
      <c r="D4" s="57"/>
      <c r="E4" s="57"/>
      <c r="F4" s="57"/>
      <c r="G4" s="57"/>
      <c r="H4" s="3"/>
      <c r="I4" s="3"/>
      <c r="J4" s="3"/>
    </row>
    <row r="5" spans="1:11" ht="18.75" x14ac:dyDescent="0.3">
      <c r="A5" s="58" t="s">
        <v>33</v>
      </c>
      <c r="B5" s="58"/>
      <c r="C5" s="58"/>
      <c r="D5" s="58"/>
      <c r="E5" s="58"/>
      <c r="F5" s="58"/>
      <c r="G5" s="58"/>
      <c r="H5" s="3"/>
      <c r="I5" s="3"/>
      <c r="J5" s="3"/>
      <c r="K5" s="3"/>
    </row>
    <row r="6" spans="1:11" ht="18.75" x14ac:dyDescent="0.3">
      <c r="A6" s="59" t="s">
        <v>34</v>
      </c>
      <c r="B6" s="59"/>
      <c r="C6" s="59"/>
      <c r="D6" s="59"/>
      <c r="E6" s="59"/>
      <c r="F6" s="59"/>
      <c r="G6" s="59"/>
      <c r="H6" s="3"/>
      <c r="I6" s="3"/>
      <c r="J6" s="3"/>
      <c r="K6" s="3"/>
    </row>
    <row r="7" spans="1:11" ht="15.75" x14ac:dyDescent="0.25">
      <c r="A7" s="27"/>
      <c r="B7" s="27"/>
      <c r="C7" s="27"/>
      <c r="D7" s="27"/>
      <c r="E7" s="27"/>
      <c r="F7" s="27"/>
      <c r="G7" s="3"/>
      <c r="H7" s="3"/>
      <c r="I7" s="3"/>
      <c r="J7" s="3"/>
      <c r="K7" s="3"/>
    </row>
    <row r="8" spans="1:11" ht="15.75" x14ac:dyDescent="0.25">
      <c r="A8" s="53" t="s">
        <v>10</v>
      </c>
      <c r="B8" s="53"/>
      <c r="C8" s="53"/>
      <c r="D8" s="53"/>
      <c r="E8" s="53"/>
      <c r="F8" s="53"/>
      <c r="G8" s="53"/>
      <c r="H8" s="53"/>
      <c r="I8" s="53"/>
      <c r="J8" s="53"/>
      <c r="K8" s="53"/>
    </row>
    <row r="9" spans="1:11" ht="18.75" x14ac:dyDescent="0.3">
      <c r="A9" s="60"/>
      <c r="B9" s="61"/>
      <c r="C9" s="61"/>
      <c r="D9" s="61"/>
      <c r="E9" s="61"/>
      <c r="F9" s="61"/>
      <c r="G9" s="61"/>
      <c r="H9" s="61"/>
      <c r="I9" s="61"/>
      <c r="J9" s="61"/>
      <c r="K9" s="62"/>
    </row>
    <row r="10" spans="1:11" ht="18.75" x14ac:dyDescent="0.3">
      <c r="A10" s="51"/>
      <c r="B10" s="49"/>
      <c r="C10" s="49"/>
      <c r="D10" s="49"/>
      <c r="E10" s="49"/>
      <c r="F10" s="49"/>
      <c r="G10" s="49"/>
      <c r="H10" s="49"/>
      <c r="I10" s="49"/>
      <c r="J10" s="49"/>
      <c r="K10" s="50"/>
    </row>
    <row r="11" spans="1:11" ht="18.75" x14ac:dyDescent="0.3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</row>
    <row r="12" spans="1:11" ht="18.75" x14ac:dyDescent="0.3">
      <c r="A12" s="5"/>
      <c r="B12" s="6"/>
      <c r="C12" s="7"/>
      <c r="D12" s="54" t="s">
        <v>14</v>
      </c>
      <c r="E12" s="55"/>
      <c r="F12" s="56"/>
      <c r="G12" s="49" t="s">
        <v>2</v>
      </c>
      <c r="H12" s="50"/>
      <c r="I12" s="51" t="s">
        <v>5</v>
      </c>
      <c r="J12" s="49"/>
      <c r="K12" s="8" t="s">
        <v>4</v>
      </c>
    </row>
    <row r="13" spans="1:11" ht="18.75" x14ac:dyDescent="0.3">
      <c r="A13" s="10" t="s">
        <v>0</v>
      </c>
      <c r="B13" s="11"/>
      <c r="C13" s="12"/>
      <c r="D13" s="43" t="s">
        <v>29</v>
      </c>
      <c r="E13" s="44"/>
      <c r="F13" s="45"/>
      <c r="G13" s="13" t="s">
        <v>3</v>
      </c>
      <c r="H13" s="14" t="s">
        <v>4</v>
      </c>
      <c r="I13" s="14" t="s">
        <v>3</v>
      </c>
      <c r="J13" s="15" t="s">
        <v>4</v>
      </c>
      <c r="K13" s="16" t="s">
        <v>8</v>
      </c>
    </row>
    <row r="14" spans="1:11" ht="18.75" x14ac:dyDescent="0.3">
      <c r="A14" s="18" t="s">
        <v>1</v>
      </c>
      <c r="B14" s="18"/>
      <c r="C14" s="18"/>
      <c r="D14" s="46" t="s">
        <v>28</v>
      </c>
      <c r="E14" s="47"/>
      <c r="F14" s="48"/>
      <c r="G14" s="19"/>
      <c r="H14" s="41"/>
      <c r="I14" s="21"/>
      <c r="J14" s="41"/>
      <c r="K14" s="41"/>
    </row>
    <row r="15" spans="1:11" ht="18.75" x14ac:dyDescent="0.3">
      <c r="A15" s="33" t="s">
        <v>41</v>
      </c>
      <c r="B15" s="23" t="s">
        <v>11</v>
      </c>
      <c r="C15" s="33" t="s">
        <v>42</v>
      </c>
      <c r="D15" s="31" t="s">
        <v>15</v>
      </c>
      <c r="E15" s="24" t="s">
        <v>11</v>
      </c>
      <c r="F15" s="25" t="s">
        <v>16</v>
      </c>
      <c r="G15" s="26"/>
      <c r="H15" s="41"/>
      <c r="I15" s="21"/>
      <c r="J15" s="41"/>
      <c r="K15" s="41"/>
    </row>
    <row r="16" spans="1:11" ht="18.75" x14ac:dyDescent="0.3">
      <c r="A16" s="33" t="s">
        <v>42</v>
      </c>
      <c r="B16" s="23" t="s">
        <v>11</v>
      </c>
      <c r="C16" s="33" t="s">
        <v>43</v>
      </c>
      <c r="D16" s="31" t="s">
        <v>16</v>
      </c>
      <c r="E16" s="24" t="s">
        <v>11</v>
      </c>
      <c r="F16" s="25" t="s">
        <v>17</v>
      </c>
      <c r="G16" s="21"/>
      <c r="H16" s="41"/>
      <c r="I16" s="21"/>
      <c r="J16" s="41"/>
      <c r="K16" s="41"/>
    </row>
    <row r="17" spans="1:11" ht="18.75" x14ac:dyDescent="0.3">
      <c r="A17" s="33" t="s">
        <v>43</v>
      </c>
      <c r="B17" s="23" t="s">
        <v>11</v>
      </c>
      <c r="C17" s="33" t="s">
        <v>44</v>
      </c>
      <c r="D17" s="31" t="s">
        <v>17</v>
      </c>
      <c r="E17" s="24" t="s">
        <v>11</v>
      </c>
      <c r="F17" s="25" t="s">
        <v>18</v>
      </c>
      <c r="G17" s="21"/>
      <c r="H17" s="41"/>
      <c r="I17" s="21"/>
      <c r="J17" s="41"/>
      <c r="K17" s="41"/>
    </row>
    <row r="18" spans="1:11" ht="18.75" x14ac:dyDescent="0.3">
      <c r="A18" s="33" t="s">
        <v>44</v>
      </c>
      <c r="B18" s="23" t="s">
        <v>11</v>
      </c>
      <c r="C18" s="33" t="s">
        <v>45</v>
      </c>
      <c r="D18" s="31" t="s">
        <v>18</v>
      </c>
      <c r="E18" s="24" t="s">
        <v>11</v>
      </c>
      <c r="F18" s="25" t="s">
        <v>19</v>
      </c>
      <c r="G18" s="21"/>
      <c r="H18" s="41"/>
      <c r="I18" s="21"/>
      <c r="J18" s="41"/>
      <c r="K18" s="41"/>
    </row>
    <row r="19" spans="1:11" ht="18.75" x14ac:dyDescent="0.3">
      <c r="A19" s="33" t="s">
        <v>45</v>
      </c>
      <c r="B19" s="23" t="s">
        <v>11</v>
      </c>
      <c r="C19" s="33" t="s">
        <v>46</v>
      </c>
      <c r="D19" s="31" t="s">
        <v>19</v>
      </c>
      <c r="E19" s="24" t="s">
        <v>11</v>
      </c>
      <c r="F19" s="25" t="s">
        <v>20</v>
      </c>
      <c r="G19" s="21"/>
      <c r="H19" s="41"/>
      <c r="I19" s="21"/>
      <c r="J19" s="41"/>
      <c r="K19" s="41"/>
    </row>
    <row r="20" spans="1:11" ht="18.75" x14ac:dyDescent="0.3">
      <c r="A20" s="33" t="s">
        <v>46</v>
      </c>
      <c r="B20" s="23" t="s">
        <v>11</v>
      </c>
      <c r="C20" s="33" t="s">
        <v>47</v>
      </c>
      <c r="D20" s="31" t="s">
        <v>20</v>
      </c>
      <c r="E20" s="24" t="s">
        <v>11</v>
      </c>
      <c r="F20" s="25" t="s">
        <v>21</v>
      </c>
      <c r="G20" s="21"/>
      <c r="H20" s="41"/>
      <c r="I20" s="21"/>
      <c r="J20" s="41"/>
      <c r="K20" s="41"/>
    </row>
    <row r="21" spans="1:11" ht="18.75" x14ac:dyDescent="0.3">
      <c r="A21" s="33" t="s">
        <v>47</v>
      </c>
      <c r="B21" s="23" t="s">
        <v>11</v>
      </c>
      <c r="C21" s="39" t="s">
        <v>48</v>
      </c>
      <c r="D21" s="31" t="s">
        <v>21</v>
      </c>
      <c r="E21" s="24" t="s">
        <v>11</v>
      </c>
      <c r="F21" s="25" t="s">
        <v>22</v>
      </c>
      <c r="G21" s="21"/>
      <c r="H21" s="41"/>
      <c r="I21" s="21"/>
      <c r="J21" s="41"/>
      <c r="K21" s="41"/>
    </row>
    <row r="22" spans="1:11" ht="18.75" x14ac:dyDescent="0.3">
      <c r="A22" s="39" t="s">
        <v>48</v>
      </c>
      <c r="B22" s="23" t="s">
        <v>11</v>
      </c>
      <c r="C22" s="39" t="s">
        <v>49</v>
      </c>
      <c r="D22" s="31" t="s">
        <v>22</v>
      </c>
      <c r="E22" s="24" t="s">
        <v>11</v>
      </c>
      <c r="F22" s="25" t="s">
        <v>23</v>
      </c>
      <c r="G22" s="21"/>
      <c r="H22" s="41"/>
      <c r="I22" s="21"/>
      <c r="J22" s="41"/>
      <c r="K22" s="41"/>
    </row>
    <row r="23" spans="1:11" ht="18.75" x14ac:dyDescent="0.3">
      <c r="A23" s="39" t="s">
        <v>49</v>
      </c>
      <c r="B23" s="40" t="s">
        <v>11</v>
      </c>
      <c r="C23" s="39" t="s">
        <v>50</v>
      </c>
      <c r="D23" s="31" t="s">
        <v>23</v>
      </c>
      <c r="E23" s="24" t="s">
        <v>11</v>
      </c>
      <c r="F23" s="25" t="s">
        <v>24</v>
      </c>
      <c r="G23" s="21"/>
      <c r="H23" s="41"/>
      <c r="I23" s="21"/>
      <c r="J23" s="41"/>
      <c r="K23" s="41"/>
    </row>
    <row r="24" spans="1:11" ht="18.75" x14ac:dyDescent="0.3">
      <c r="A24" s="39" t="s">
        <v>50</v>
      </c>
      <c r="B24" s="40" t="s">
        <v>11</v>
      </c>
      <c r="C24" s="33" t="s">
        <v>51</v>
      </c>
      <c r="D24" s="31" t="s">
        <v>24</v>
      </c>
      <c r="E24" s="24" t="s">
        <v>11</v>
      </c>
      <c r="F24" s="25" t="s">
        <v>25</v>
      </c>
      <c r="G24" s="21"/>
      <c r="H24" s="41"/>
      <c r="I24" s="21"/>
      <c r="J24" s="41"/>
      <c r="K24" s="41"/>
    </row>
    <row r="25" spans="1:11" ht="18.75" x14ac:dyDescent="0.3">
      <c r="A25" s="33" t="s">
        <v>51</v>
      </c>
      <c r="B25" s="40" t="s">
        <v>11</v>
      </c>
      <c r="C25" s="33" t="s">
        <v>40</v>
      </c>
      <c r="D25" s="31" t="s">
        <v>25</v>
      </c>
      <c r="E25" s="24" t="s">
        <v>11</v>
      </c>
      <c r="F25" s="25" t="s">
        <v>26</v>
      </c>
      <c r="G25" s="21"/>
      <c r="H25" s="41"/>
      <c r="I25" s="21"/>
      <c r="J25" s="41"/>
      <c r="K25" s="41"/>
    </row>
    <row r="26" spans="1:11" ht="18.75" x14ac:dyDescent="0.3">
      <c r="A26" s="33" t="s">
        <v>40</v>
      </c>
      <c r="B26" s="23" t="s">
        <v>11</v>
      </c>
      <c r="C26" s="33" t="s">
        <v>35</v>
      </c>
      <c r="D26" s="31" t="s">
        <v>26</v>
      </c>
      <c r="E26" s="24" t="s">
        <v>11</v>
      </c>
      <c r="F26" s="25" t="s">
        <v>27</v>
      </c>
      <c r="G26" s="21"/>
      <c r="H26" s="41"/>
      <c r="I26" s="21"/>
      <c r="J26" s="41"/>
      <c r="K26" s="41"/>
    </row>
    <row r="27" spans="1:11" ht="18.75" x14ac:dyDescent="0.3">
      <c r="A27" s="33" t="s">
        <v>35</v>
      </c>
      <c r="B27" s="23" t="s">
        <v>11</v>
      </c>
      <c r="C27" s="33" t="s">
        <v>36</v>
      </c>
      <c r="D27" s="31" t="s">
        <v>27</v>
      </c>
      <c r="E27" s="24" t="s">
        <v>11</v>
      </c>
      <c r="F27" s="25" t="s">
        <v>26</v>
      </c>
      <c r="G27" s="21"/>
      <c r="H27" s="41"/>
      <c r="I27" s="21"/>
      <c r="J27" s="41"/>
      <c r="K27" s="41"/>
    </row>
    <row r="28" spans="1:11" ht="18.75" x14ac:dyDescent="0.3">
      <c r="A28" s="33" t="s">
        <v>36</v>
      </c>
      <c r="B28" s="23" t="s">
        <v>11</v>
      </c>
      <c r="C28" s="33" t="s">
        <v>37</v>
      </c>
      <c r="D28" s="31" t="s">
        <v>26</v>
      </c>
      <c r="E28" s="24" t="s">
        <v>11</v>
      </c>
      <c r="F28" s="25" t="s">
        <v>25</v>
      </c>
      <c r="G28" s="21"/>
      <c r="H28" s="41"/>
      <c r="I28" s="21"/>
      <c r="J28" s="41"/>
      <c r="K28" s="41"/>
    </row>
    <row r="29" spans="1:11" ht="18.75" x14ac:dyDescent="0.3">
      <c r="A29" s="33" t="s">
        <v>37</v>
      </c>
      <c r="B29" s="23" t="s">
        <v>11</v>
      </c>
      <c r="C29" s="33" t="s">
        <v>38</v>
      </c>
      <c r="D29" s="31" t="s">
        <v>25</v>
      </c>
      <c r="E29" s="24" t="s">
        <v>11</v>
      </c>
      <c r="F29" s="25" t="s">
        <v>24</v>
      </c>
      <c r="G29" s="21"/>
      <c r="H29" s="41"/>
      <c r="I29" s="21"/>
      <c r="J29" s="41"/>
      <c r="K29" s="41"/>
    </row>
    <row r="30" spans="1:11" ht="18.75" x14ac:dyDescent="0.3">
      <c r="A30" s="33" t="s">
        <v>38</v>
      </c>
      <c r="B30" s="23" t="s">
        <v>11</v>
      </c>
      <c r="C30" s="33" t="s">
        <v>39</v>
      </c>
      <c r="D30" s="31" t="s">
        <v>24</v>
      </c>
      <c r="E30" s="24" t="s">
        <v>11</v>
      </c>
      <c r="F30" s="25" t="s">
        <v>23</v>
      </c>
      <c r="G30" s="21"/>
      <c r="H30" s="41"/>
      <c r="I30" s="21"/>
      <c r="J30" s="41"/>
      <c r="K30" s="41"/>
    </row>
    <row r="31" spans="1:11" ht="18.75" x14ac:dyDescent="0.3">
      <c r="A31" s="63" t="s">
        <v>12</v>
      </c>
      <c r="B31" s="63"/>
      <c r="C31" s="63"/>
      <c r="D31" s="42"/>
      <c r="E31" s="42"/>
      <c r="F31" s="42"/>
      <c r="G31" s="21"/>
      <c r="H31" s="2"/>
      <c r="I31" s="28"/>
      <c r="J31" s="4"/>
      <c r="K31" s="28"/>
    </row>
    <row r="32" spans="1:11" ht="18.75" x14ac:dyDescent="0.3">
      <c r="A32" s="42" t="s">
        <v>13</v>
      </c>
      <c r="B32" s="42"/>
      <c r="C32" s="42"/>
      <c r="D32" s="42"/>
      <c r="E32" s="42"/>
      <c r="F32" s="42"/>
      <c r="G32" s="21"/>
      <c r="H32" s="2"/>
      <c r="I32" s="28"/>
      <c r="J32" s="28"/>
      <c r="K32" s="28"/>
    </row>
  </sheetData>
  <mergeCells count="17">
    <mergeCell ref="A6:G6"/>
    <mergeCell ref="A1:K1"/>
    <mergeCell ref="A2:G2"/>
    <mergeCell ref="A3:G3"/>
    <mergeCell ref="A4:G4"/>
    <mergeCell ref="A5:G5"/>
    <mergeCell ref="D13:F13"/>
    <mergeCell ref="D14:F14"/>
    <mergeCell ref="A31:F31"/>
    <mergeCell ref="A32:F32"/>
    <mergeCell ref="A8:K8"/>
    <mergeCell ref="A9:K9"/>
    <mergeCell ref="A10:K10"/>
    <mergeCell ref="A11:K11"/>
    <mergeCell ref="D12:F12"/>
    <mergeCell ref="G12:H12"/>
    <mergeCell ref="I12:J12"/>
  </mergeCells>
  <phoneticPr fontId="0" type="noConversion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Calculation Sheet</vt:lpstr>
      <vt:lpstr>Field Sheet</vt:lpstr>
      <vt:lpstr>Chart1</vt:lpstr>
    </vt:vector>
  </TitlesOfParts>
  <Company>DIS Leased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R. Deibert</dc:creator>
  <cp:lastModifiedBy>Blumenthal, Bryce W (DFW)</cp:lastModifiedBy>
  <cp:lastPrinted>2014-04-17T21:57:49Z</cp:lastPrinted>
  <dcterms:created xsi:type="dcterms:W3CDTF">2004-04-01T22:48:41Z</dcterms:created>
  <dcterms:modified xsi:type="dcterms:W3CDTF">2023-05-03T20:40:42Z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2022-03-30T20:19:32Z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8938583c-27b7-4858-904d-9beca2c36383</vt:lpwstr>
  </property>
  <property fmtid="{D5CDD505-2E9C-101B-9397-08002B2CF9AE}" pid="8" name="MSIP_Label_45011977-b912-4387-97a4-f4c94a801377_ContentBits">
    <vt:lpwstr>0</vt:lpwstr>
  </property>
</Properties>
</file>