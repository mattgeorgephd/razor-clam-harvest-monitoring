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1340" windowHeight="6795" firstSheet="1" activeTab="1"/>
  </bookViews>
  <sheets>
    <sheet name="Longbeach - South" sheetId="11" r:id="rId1"/>
    <sheet name="Longbeach - North" sheetId="13" r:id="rId2"/>
    <sheet name="Twin Harbors" sheetId="9" r:id="rId3"/>
    <sheet name="Copalis" sheetId="14" r:id="rId4"/>
    <sheet name="Mocrocks" sheetId="5" r:id="rId5"/>
    <sheet name="Twin Harbors - Bonge" sheetId="8" r:id="rId6"/>
    <sheet name="Twin Harbors - Grayland" sheetId="1" r:id="rId7"/>
    <sheet name="South Longbeach - Field" sheetId="10" r:id="rId8"/>
    <sheet name="North Longbeach - Field" sheetId="12" r:id="rId9"/>
    <sheet name="Copalis - Field" sheetId="3" r:id="rId10"/>
    <sheet name="Mocrocks - Field" sheetId="4" r:id="rId11"/>
    <sheet name="Sheet6" sheetId="6" r:id="rId12"/>
  </sheets>
  <calcPr calcId="125725"/>
</workbook>
</file>

<file path=xl/calcChain.xml><?xml version="1.0" encoding="utf-8"?>
<calcChain xmlns="http://schemas.openxmlformats.org/spreadsheetml/2006/main">
  <c r="H14" i="14"/>
  <c r="J14"/>
  <c r="K14"/>
  <c r="L14" s="1"/>
  <c r="H15"/>
  <c r="J15"/>
  <c r="K15" s="1"/>
  <c r="L15" s="1"/>
  <c r="H16"/>
  <c r="J16"/>
  <c r="K16"/>
  <c r="L16" s="1"/>
  <c r="H17"/>
  <c r="J17"/>
  <c r="K17"/>
  <c r="L17" s="1"/>
  <c r="H18"/>
  <c r="J18"/>
  <c r="K18"/>
  <c r="L18" s="1"/>
  <c r="H19"/>
  <c r="J19"/>
  <c r="K19"/>
  <c r="L19" s="1"/>
  <c r="H20"/>
  <c r="J20"/>
  <c r="K20"/>
  <c r="L20" s="1"/>
  <c r="H21"/>
  <c r="J21"/>
  <c r="K21"/>
  <c r="L21" s="1"/>
  <c r="H22"/>
  <c r="J22"/>
  <c r="K22"/>
  <c r="L22" s="1"/>
  <c r="H23"/>
  <c r="J23"/>
  <c r="K23"/>
  <c r="L23" s="1"/>
  <c r="H24"/>
  <c r="J24"/>
  <c r="K24"/>
  <c r="L24" s="1"/>
  <c r="H25"/>
  <c r="J25"/>
  <c r="K25"/>
  <c r="L25" s="1"/>
  <c r="H26"/>
  <c r="J26"/>
  <c r="K26"/>
  <c r="L26" s="1"/>
  <c r="H27"/>
  <c r="J27"/>
  <c r="K27"/>
  <c r="L27" s="1"/>
  <c r="H28"/>
  <c r="J28"/>
  <c r="K28"/>
  <c r="L28" s="1"/>
  <c r="H29"/>
  <c r="J29"/>
  <c r="K29"/>
  <c r="L29" s="1"/>
  <c r="H30"/>
  <c r="J30"/>
  <c r="K30"/>
  <c r="L30" s="1"/>
  <c r="H31"/>
  <c r="J31"/>
  <c r="K31"/>
  <c r="L31" s="1"/>
  <c r="H14" i="13"/>
  <c r="J14"/>
  <c r="K14"/>
  <c r="L14" s="1"/>
  <c r="H15"/>
  <c r="J15"/>
  <c r="K15"/>
  <c r="L15" s="1"/>
  <c r="H16"/>
  <c r="J16"/>
  <c r="K16"/>
  <c r="L16" s="1"/>
  <c r="H17"/>
  <c r="J17"/>
  <c r="K17"/>
  <c r="L17" s="1"/>
  <c r="H18"/>
  <c r="J18"/>
  <c r="K18"/>
  <c r="L18" s="1"/>
  <c r="H19"/>
  <c r="J19"/>
  <c r="K19"/>
  <c r="L19" s="1"/>
  <c r="H20"/>
  <c r="J20"/>
  <c r="K20"/>
  <c r="L20" s="1"/>
  <c r="H21"/>
  <c r="J21"/>
  <c r="K21"/>
  <c r="L21" s="1"/>
  <c r="H22"/>
  <c r="J22"/>
  <c r="K22"/>
  <c r="L22" s="1"/>
  <c r="H23"/>
  <c r="J23"/>
  <c r="K23"/>
  <c r="L23" s="1"/>
  <c r="H24"/>
  <c r="J24"/>
  <c r="K24"/>
  <c r="L24" s="1"/>
  <c r="H25"/>
  <c r="J25"/>
  <c r="K25"/>
  <c r="L25" s="1"/>
  <c r="H26"/>
  <c r="J26"/>
  <c r="K26"/>
  <c r="L26" s="1"/>
  <c r="H27"/>
  <c r="J27"/>
  <c r="K27"/>
  <c r="L27" s="1"/>
  <c r="H28"/>
  <c r="J28"/>
  <c r="K28"/>
  <c r="L28" s="1"/>
  <c r="H29"/>
  <c r="J29"/>
  <c r="K29"/>
  <c r="L29" s="1"/>
  <c r="H30"/>
  <c r="J30"/>
  <c r="K30"/>
  <c r="L30" s="1"/>
  <c r="H14" i="11"/>
  <c r="J14"/>
  <c r="K14"/>
  <c r="L14" s="1"/>
  <c r="H15"/>
  <c r="J15"/>
  <c r="K15"/>
  <c r="L15" s="1"/>
  <c r="H16"/>
  <c r="J16"/>
  <c r="K16"/>
  <c r="L16" s="1"/>
  <c r="H17"/>
  <c r="J17"/>
  <c r="K17"/>
  <c r="L17" s="1"/>
  <c r="H18"/>
  <c r="J18"/>
  <c r="K18"/>
  <c r="L18" s="1"/>
  <c r="H19"/>
  <c r="J19"/>
  <c r="K19"/>
  <c r="L19" s="1"/>
  <c r="H20"/>
  <c r="J20"/>
  <c r="K20"/>
  <c r="L20" s="1"/>
  <c r="H21"/>
  <c r="J21"/>
  <c r="K21"/>
  <c r="L21" s="1"/>
  <c r="H22"/>
  <c r="J22"/>
  <c r="K22"/>
  <c r="L22" s="1"/>
  <c r="H23"/>
  <c r="J23"/>
  <c r="K23"/>
  <c r="L23" s="1"/>
  <c r="H24"/>
  <c r="J24"/>
  <c r="K24"/>
  <c r="L24" s="1"/>
  <c r="H25"/>
  <c r="J25"/>
  <c r="K25"/>
  <c r="L25" s="1"/>
  <c r="H26"/>
  <c r="J26"/>
  <c r="K26"/>
  <c r="L26" s="1"/>
  <c r="H27"/>
  <c r="J27"/>
  <c r="K27"/>
  <c r="L27" s="1"/>
  <c r="H28"/>
  <c r="J28"/>
  <c r="K28"/>
  <c r="L28" s="1"/>
  <c r="H29"/>
  <c r="J29"/>
  <c r="K29"/>
  <c r="L29" s="1"/>
  <c r="H30"/>
  <c r="J30"/>
  <c r="K30"/>
  <c r="L30" s="1"/>
  <c r="H31"/>
  <c r="J31"/>
  <c r="K31"/>
  <c r="L31" s="1"/>
  <c r="H32"/>
  <c r="J32"/>
  <c r="K32"/>
  <c r="L32" s="1"/>
  <c r="H33"/>
  <c r="J33"/>
  <c r="K33"/>
  <c r="L33" s="1"/>
  <c r="H14" i="5"/>
  <c r="J14"/>
  <c r="K14"/>
  <c r="L14" s="1"/>
  <c r="H15"/>
  <c r="J15"/>
  <c r="K15"/>
  <c r="L15" s="1"/>
  <c r="H16"/>
  <c r="J16"/>
  <c r="K16"/>
  <c r="H17"/>
  <c r="J17"/>
  <c r="K17"/>
  <c r="L17" s="1"/>
  <c r="H18"/>
  <c r="J18"/>
  <c r="K18"/>
  <c r="L18" s="1"/>
  <c r="H19"/>
  <c r="J19"/>
  <c r="K19"/>
  <c r="L19" s="1"/>
  <c r="H20"/>
  <c r="J20"/>
  <c r="K20"/>
  <c r="L20" s="1"/>
  <c r="H21"/>
  <c r="J21"/>
  <c r="K21"/>
  <c r="L21" s="1"/>
  <c r="H22"/>
  <c r="J22"/>
  <c r="K22"/>
  <c r="L22" s="1"/>
  <c r="H23"/>
  <c r="J23"/>
  <c r="K23"/>
  <c r="L23" s="1"/>
  <c r="H24"/>
  <c r="J24"/>
  <c r="K24"/>
  <c r="L24" s="1"/>
  <c r="H25"/>
  <c r="J25"/>
  <c r="K25"/>
  <c r="L25" s="1"/>
  <c r="H26"/>
  <c r="J26"/>
  <c r="K26"/>
  <c r="L26" s="1"/>
  <c r="H27"/>
  <c r="J27"/>
  <c r="K27"/>
  <c r="L27" s="1"/>
  <c r="H28"/>
  <c r="J28"/>
  <c r="K28"/>
  <c r="L28" s="1"/>
  <c r="H29"/>
  <c r="J29"/>
  <c r="K29"/>
  <c r="L29" s="1"/>
  <c r="H30"/>
  <c r="L16" s="1"/>
  <c r="J30"/>
  <c r="K30"/>
  <c r="L30" s="1"/>
  <c r="H14" i="9"/>
  <c r="J14"/>
  <c r="K14"/>
  <c r="L14" s="1"/>
  <c r="H15"/>
  <c r="J15"/>
  <c r="K15"/>
  <c r="L15" s="1"/>
  <c r="H16"/>
  <c r="J16"/>
  <c r="K16"/>
  <c r="L16" s="1"/>
  <c r="H17"/>
  <c r="J17"/>
  <c r="K17"/>
  <c r="L17" s="1"/>
  <c r="H18"/>
  <c r="J18"/>
  <c r="K18"/>
  <c r="L18" s="1"/>
  <c r="H19"/>
  <c r="J19"/>
  <c r="K19"/>
  <c r="L19" s="1"/>
  <c r="H20"/>
  <c r="J20"/>
  <c r="K20"/>
  <c r="L20" s="1"/>
  <c r="H21"/>
  <c r="J21"/>
  <c r="K21"/>
  <c r="L21" s="1"/>
  <c r="H22"/>
  <c r="J22"/>
  <c r="K22"/>
  <c r="L22" s="1"/>
  <c r="H23"/>
  <c r="J23"/>
  <c r="K23"/>
  <c r="L23" s="1"/>
  <c r="H24"/>
  <c r="J24"/>
  <c r="K24"/>
  <c r="L24" s="1"/>
  <c r="H25"/>
  <c r="J25"/>
  <c r="K25"/>
  <c r="L25" s="1"/>
  <c r="H26"/>
  <c r="J26"/>
  <c r="K26"/>
  <c r="L26" s="1"/>
  <c r="H27"/>
  <c r="J27"/>
  <c r="K27"/>
  <c r="L27" s="1"/>
  <c r="H28"/>
  <c r="J28"/>
  <c r="K28"/>
  <c r="L28" s="1"/>
  <c r="H29"/>
  <c r="J29"/>
  <c r="K29"/>
  <c r="L29" s="1"/>
  <c r="H30"/>
  <c r="J30"/>
  <c r="K30"/>
  <c r="L30" s="1"/>
  <c r="H31"/>
  <c r="J31"/>
  <c r="K31"/>
  <c r="L31" s="1"/>
  <c r="H32"/>
  <c r="J32"/>
  <c r="K32"/>
  <c r="L32" s="1"/>
  <c r="H33"/>
  <c r="J33"/>
  <c r="K33"/>
  <c r="L33" s="1"/>
  <c r="H34"/>
  <c r="J34"/>
  <c r="K34"/>
  <c r="L34" s="1"/>
</calcChain>
</file>

<file path=xl/sharedStrings.xml><?xml version="1.0" encoding="utf-8"?>
<sst xmlns="http://schemas.openxmlformats.org/spreadsheetml/2006/main" count="1120" uniqueCount="149">
  <si>
    <t>Time Period</t>
  </si>
  <si>
    <t>Prior to Start</t>
  </si>
  <si>
    <t>Cars on</t>
  </si>
  <si>
    <t>#</t>
  </si>
  <si>
    <t>Accum.</t>
  </si>
  <si>
    <t>Cars Off</t>
  </si>
  <si>
    <t>% Available</t>
  </si>
  <si>
    <t>for Beach count</t>
  </si>
  <si>
    <t>Diff.</t>
  </si>
  <si>
    <t>0530</t>
  </si>
  <si>
    <t>0545</t>
  </si>
  <si>
    <t>0600</t>
  </si>
  <si>
    <t>0615</t>
  </si>
  <si>
    <t>0630</t>
  </si>
  <si>
    <t>0645</t>
  </si>
  <si>
    <t>0700</t>
  </si>
  <si>
    <t>0715</t>
  </si>
  <si>
    <t>0730</t>
  </si>
  <si>
    <t>0745</t>
  </si>
  <si>
    <t>0800</t>
  </si>
  <si>
    <t>0815</t>
  </si>
  <si>
    <t>0830</t>
  </si>
  <si>
    <t>0845</t>
  </si>
  <si>
    <t>0900</t>
  </si>
  <si>
    <t>0915</t>
  </si>
  <si>
    <t>0930</t>
  </si>
  <si>
    <t>0945</t>
  </si>
  <si>
    <t>Ingress - Egress Check</t>
  </si>
  <si>
    <t>Wednesday, April 21, 2004</t>
  </si>
  <si>
    <t>Twin Harbors Beach - Grayland Beach Approach to Bonge Approach</t>
  </si>
  <si>
    <t>Tide: -0.6 ft. @ 0830</t>
  </si>
  <si>
    <t>Weather, Wind and Surf Conditions:</t>
  </si>
  <si>
    <t>Count of cars left in area:__________</t>
  </si>
  <si>
    <t># of cars discrepency_____________</t>
  </si>
  <si>
    <t>-</t>
  </si>
  <si>
    <t>1000</t>
  </si>
  <si>
    <t>1015</t>
  </si>
  <si>
    <t>1030</t>
  </si>
  <si>
    <t>-----------</t>
  </si>
  <si>
    <t>Sampler ___________________</t>
  </si>
  <si>
    <t>Copalis Beach - Ocean City north to Copalis River</t>
  </si>
  <si>
    <t>Friday, April 23, 2004</t>
  </si>
  <si>
    <t>Tide: -0.3 ft. @ 0943</t>
  </si>
  <si>
    <t>0643</t>
  </si>
  <si>
    <t>0658</t>
  </si>
  <si>
    <t>0713</t>
  </si>
  <si>
    <t>0728</t>
  </si>
  <si>
    <t>0743</t>
  </si>
  <si>
    <t>0758</t>
  </si>
  <si>
    <t>0813</t>
  </si>
  <si>
    <t>0828</t>
  </si>
  <si>
    <t>0843</t>
  </si>
  <si>
    <t>0858</t>
  </si>
  <si>
    <t>0913</t>
  </si>
  <si>
    <t>0928</t>
  </si>
  <si>
    <t>0943</t>
  </si>
  <si>
    <t>0958</t>
  </si>
  <si>
    <t>1013</t>
  </si>
  <si>
    <t>1028</t>
  </si>
  <si>
    <t>1043</t>
  </si>
  <si>
    <t>1058</t>
  </si>
  <si>
    <t>1113</t>
  </si>
  <si>
    <t>1128</t>
  </si>
  <si>
    <t>1143</t>
  </si>
  <si>
    <t>Mocrocks Beach - Joe Creek south to Copalis River</t>
  </si>
  <si>
    <t>Saturday, April 24, 2004</t>
  </si>
  <si>
    <t>Tide: 0.0 ft. @ 1022</t>
  </si>
  <si>
    <t>Roosevelt Beach Approach</t>
  </si>
  <si>
    <t>0722</t>
  </si>
  <si>
    <t>0737</t>
  </si>
  <si>
    <t>0752</t>
  </si>
  <si>
    <t>0807</t>
  </si>
  <si>
    <t>0822</t>
  </si>
  <si>
    <t>0837</t>
  </si>
  <si>
    <t>0852</t>
  </si>
  <si>
    <t>0907</t>
  </si>
  <si>
    <t>0922</t>
  </si>
  <si>
    <t>0937</t>
  </si>
  <si>
    <t>0952</t>
  </si>
  <si>
    <t>1007</t>
  </si>
  <si>
    <t>1022</t>
  </si>
  <si>
    <t>1037</t>
  </si>
  <si>
    <t>1052</t>
  </si>
  <si>
    <t>1107</t>
  </si>
  <si>
    <t>1121</t>
  </si>
  <si>
    <t>1137</t>
  </si>
  <si>
    <t>1152</t>
  </si>
  <si>
    <t>1207</t>
  </si>
  <si>
    <t>1222</t>
  </si>
  <si>
    <t>Ocean City Approach</t>
  </si>
  <si>
    <t>Bonge Approach</t>
  </si>
  <si>
    <t>Grayland Approach</t>
  </si>
  <si>
    <t>Seaview Approach</t>
  </si>
  <si>
    <t>Longbeach - Seaview Approach South to Beards Hollow</t>
  </si>
  <si>
    <t>Count of cars left in area:</t>
  </si>
  <si>
    <t># of cars discrepency:</t>
  </si>
  <si>
    <t>Twin Harbors Beach</t>
  </si>
  <si>
    <t>Sampler: Deibert , Ayres</t>
  </si>
  <si>
    <t>Actual Time</t>
  </si>
  <si>
    <t>3:00</t>
  </si>
  <si>
    <t>2:45</t>
  </si>
  <si>
    <t>2:30</t>
  </si>
  <si>
    <t>2:15</t>
  </si>
  <si>
    <t>2:00</t>
  </si>
  <si>
    <t>1:45</t>
  </si>
  <si>
    <t>1:30</t>
  </si>
  <si>
    <t>1:15</t>
  </si>
  <si>
    <t>1:00</t>
  </si>
  <si>
    <t>0:45</t>
  </si>
  <si>
    <t>0:30</t>
  </si>
  <si>
    <t>0:15</t>
  </si>
  <si>
    <t>0:00</t>
  </si>
  <si>
    <t>to Start</t>
  </si>
  <si>
    <t>Period Prior</t>
  </si>
  <si>
    <t>Longbeach - Seaview Approach South to Beard's Hollow</t>
  </si>
  <si>
    <t>Longbeach - Oysterville Approach North to Leadbetter Point</t>
  </si>
  <si>
    <t>Oysterville Approach</t>
  </si>
  <si>
    <t>Thursday, April 22, 2004</t>
  </si>
  <si>
    <t>Tide: -0.5 ft. @ 0906</t>
  </si>
  <si>
    <t>Sampler: Sanchez</t>
  </si>
  <si>
    <t>0606</t>
  </si>
  <si>
    <t>0621</t>
  </si>
  <si>
    <t>0636</t>
  </si>
  <si>
    <t>0651</t>
  </si>
  <si>
    <t>0706</t>
  </si>
  <si>
    <t>0721</t>
  </si>
  <si>
    <t>0736</t>
  </si>
  <si>
    <t>0751</t>
  </si>
  <si>
    <t>0806</t>
  </si>
  <si>
    <t>0821</t>
  </si>
  <si>
    <t>0836</t>
  </si>
  <si>
    <t>0851</t>
  </si>
  <si>
    <t>0906</t>
  </si>
  <si>
    <t>0921</t>
  </si>
  <si>
    <t>0936</t>
  </si>
  <si>
    <t>0951</t>
  </si>
  <si>
    <t>1006</t>
  </si>
  <si>
    <t>Sampler: Deibert</t>
  </si>
  <si>
    <t>Copalis Beach</t>
  </si>
  <si>
    <t>Sampler: T. Wilson</t>
  </si>
  <si>
    <t xml:space="preserve">Overcast with Showers.  Wind: SW 5-15 mph. Surf: Low+ </t>
  </si>
  <si>
    <t>Mocrocks Beach</t>
  </si>
  <si>
    <t>Sampler: J. Deibert</t>
  </si>
  <si>
    <t>1122</t>
  </si>
  <si>
    <t>Stopped the count because most people left were no longer clam</t>
  </si>
  <si>
    <t>digging. They were staying on the beach having picnics and flying kites.</t>
  </si>
  <si>
    <t>Weather:  Clear Skies and Sunny, Cold early but very warm later.</t>
  </si>
  <si>
    <t>Wind:  West 0 - 5 mph</t>
  </si>
  <si>
    <t>Surf:  Low, App. 4ft.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</si>
</sst>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1" fillId="0" borderId="8" xfId="0" applyFont="1" applyBorder="1"/>
    <xf numFmtId="0" fontId="1" fillId="0" borderId="4" xfId="0" applyFont="1" applyBorder="1"/>
    <xf numFmtId="49" fontId="1" fillId="0" borderId="0" xfId="0" applyNumberFormat="1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5" xfId="0" applyFont="1" applyBorder="1"/>
    <xf numFmtId="0" fontId="1" fillId="0" borderId="1" xfId="0" applyFont="1" applyBorder="1"/>
    <xf numFmtId="49" fontId="1" fillId="0" borderId="2" xfId="0" applyNumberFormat="1" applyFont="1" applyBorder="1"/>
    <xf numFmtId="49" fontId="1" fillId="0" borderId="9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3" xfId="0" applyFont="1" applyBorder="1"/>
    <xf numFmtId="0" fontId="1" fillId="0" borderId="13" xfId="0" applyFont="1" applyBorder="1"/>
    <xf numFmtId="0" fontId="1" fillId="0" borderId="4" xfId="0" quotePrefix="1" applyFont="1" applyBorder="1"/>
    <xf numFmtId="0" fontId="3" fillId="0" borderId="0" xfId="0" applyFont="1"/>
    <xf numFmtId="49" fontId="4" fillId="0" borderId="2" xfId="0" applyNumberFormat="1" applyFont="1" applyBorder="1"/>
    <xf numFmtId="49" fontId="4" fillId="0" borderId="9" xfId="0" applyNumberFormat="1" applyFont="1" applyBorder="1"/>
    <xf numFmtId="49" fontId="4" fillId="0" borderId="1" xfId="0" applyNumberFormat="1" applyFont="1" applyBorder="1"/>
    <xf numFmtId="0" fontId="4" fillId="0" borderId="4" xfId="0" applyFont="1" applyBorder="1"/>
    <xf numFmtId="0" fontId="4" fillId="0" borderId="4" xfId="0" quotePrefix="1" applyFont="1" applyBorder="1"/>
    <xf numFmtId="0" fontId="4" fillId="0" borderId="1" xfId="0" applyFont="1" applyBorder="1"/>
    <xf numFmtId="0" fontId="2" fillId="0" borderId="12" xfId="0" applyFont="1" applyBorder="1"/>
    <xf numFmtId="0" fontId="2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/>
    <xf numFmtId="0" fontId="2" fillId="0" borderId="8" xfId="0" applyFont="1" applyBorder="1"/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2" fillId="0" borderId="9" xfId="0" applyNumberFormat="1" applyFont="1" applyBorder="1"/>
    <xf numFmtId="49" fontId="2" fillId="0" borderId="1" xfId="0" applyNumberFormat="1" applyFont="1" applyBorder="1"/>
    <xf numFmtId="10" fontId="2" fillId="0" borderId="4" xfId="0" applyNumberFormat="1" applyFont="1" applyBorder="1"/>
    <xf numFmtId="49" fontId="4" fillId="0" borderId="1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0" xfId="0" applyFont="1" applyBorder="1"/>
    <xf numFmtId="49" fontId="4" fillId="0" borderId="0" xfId="0" applyNumberFormat="1" applyFont="1" applyBorder="1"/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selection activeCell="K5" sqref="K5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4" width="6.5703125" customWidth="1"/>
    <col min="5" max="5" width="1.7109375" customWidth="1"/>
    <col min="6" max="6" width="6.42578125" customWidth="1"/>
    <col min="7" max="7" width="10.7109375" customWidth="1"/>
    <col min="8" max="8" width="9" customWidth="1"/>
    <col min="9" max="9" width="10.7109375" customWidth="1"/>
    <col min="10" max="10" width="9" customWidth="1"/>
    <col min="11" max="11" width="10.140625" customWidth="1"/>
    <col min="12" max="12" width="18.5703125" customWidth="1"/>
  </cols>
  <sheetData>
    <row r="1" spans="1:12" ht="18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5.75">
      <c r="A3" s="66" t="s">
        <v>114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>
      <c r="A4" s="11" t="s">
        <v>92</v>
      </c>
      <c r="B4" s="11"/>
      <c r="C4" s="11"/>
      <c r="D4" s="11"/>
      <c r="E4" s="11"/>
      <c r="F4" s="11"/>
    </row>
    <row r="5" spans="1:12" ht="15.75">
      <c r="A5" s="11" t="s">
        <v>41</v>
      </c>
      <c r="B5" s="11"/>
      <c r="C5" s="11"/>
      <c r="D5" s="11"/>
      <c r="E5" s="11"/>
      <c r="F5" s="11"/>
      <c r="K5" s="11" t="s">
        <v>137</v>
      </c>
    </row>
    <row r="6" spans="1:12" ht="15.75">
      <c r="A6" s="11" t="s">
        <v>42</v>
      </c>
      <c r="B6" s="11"/>
      <c r="C6" s="11"/>
      <c r="D6" s="11"/>
      <c r="E6" s="11"/>
      <c r="F6" s="11"/>
    </row>
    <row r="7" spans="1:12" ht="15.75">
      <c r="A7" s="11"/>
      <c r="B7" s="11"/>
      <c r="C7" s="11"/>
      <c r="D7" s="11"/>
      <c r="E7" s="11"/>
      <c r="F7" s="11"/>
    </row>
    <row r="8" spans="1:12" ht="15.75">
      <c r="A8" s="67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18">
      <c r="A9" s="14"/>
      <c r="B9" s="14"/>
      <c r="C9" s="14"/>
      <c r="D9" s="14"/>
      <c r="E9" s="14"/>
      <c r="F9" s="14"/>
      <c r="G9" s="13"/>
      <c r="H9" s="13"/>
      <c r="I9" s="13"/>
      <c r="J9" s="13"/>
      <c r="K9" s="13"/>
      <c r="L9" s="13"/>
    </row>
    <row r="10" spans="1:12" ht="18">
      <c r="A10" s="14"/>
      <c r="B10" s="14"/>
      <c r="C10" s="14"/>
      <c r="D10" s="14"/>
      <c r="E10" s="14"/>
      <c r="F10" s="14"/>
      <c r="G10" s="13"/>
      <c r="H10" s="13"/>
      <c r="I10" s="13"/>
      <c r="J10" s="13"/>
      <c r="K10" s="13"/>
      <c r="L10" s="13"/>
    </row>
    <row r="11" spans="1:12" ht="18">
      <c r="A11" s="18"/>
      <c r="B11" s="18"/>
      <c r="C11" s="18"/>
      <c r="D11" s="18"/>
      <c r="E11" s="18"/>
      <c r="F11" s="18"/>
      <c r="G11" s="12"/>
      <c r="H11" s="12"/>
      <c r="I11" s="12"/>
      <c r="J11" s="12"/>
      <c r="K11" s="12"/>
      <c r="L11" s="12"/>
    </row>
    <row r="12" spans="1:12" ht="15.75">
      <c r="A12" s="36"/>
      <c r="B12" s="37"/>
      <c r="C12" s="37"/>
      <c r="D12" s="68" t="s">
        <v>98</v>
      </c>
      <c r="E12" s="69"/>
      <c r="F12" s="70"/>
      <c r="G12" s="71" t="s">
        <v>2</v>
      </c>
      <c r="H12" s="72"/>
      <c r="I12" s="73" t="s">
        <v>5</v>
      </c>
      <c r="J12" s="71"/>
      <c r="K12" s="40" t="s">
        <v>4</v>
      </c>
      <c r="L12" s="41" t="s">
        <v>6</v>
      </c>
    </row>
    <row r="13" spans="1:12" ht="15.75">
      <c r="A13" s="42" t="s">
        <v>0</v>
      </c>
      <c r="B13" s="43"/>
      <c r="C13" s="43"/>
      <c r="D13" s="56" t="s">
        <v>113</v>
      </c>
      <c r="E13" s="57"/>
      <c r="F13" s="58"/>
      <c r="G13" s="38" t="s">
        <v>3</v>
      </c>
      <c r="H13" s="44" t="s">
        <v>4</v>
      </c>
      <c r="I13" s="44" t="s">
        <v>3</v>
      </c>
      <c r="J13" s="39" t="s">
        <v>4</v>
      </c>
      <c r="K13" s="45" t="s">
        <v>8</v>
      </c>
      <c r="L13" s="46" t="s">
        <v>7</v>
      </c>
    </row>
    <row r="14" spans="1:12" ht="15.75">
      <c r="A14" s="59" t="s">
        <v>1</v>
      </c>
      <c r="B14" s="60"/>
      <c r="C14" s="61"/>
      <c r="D14" s="62" t="s">
        <v>112</v>
      </c>
      <c r="E14" s="63"/>
      <c r="F14" s="64"/>
      <c r="G14" s="35">
        <v>3</v>
      </c>
      <c r="H14" s="34">
        <f>G14</f>
        <v>3</v>
      </c>
      <c r="I14" s="33">
        <v>0</v>
      </c>
      <c r="J14" s="34">
        <f>I14</f>
        <v>0</v>
      </c>
      <c r="K14" s="33">
        <f>H14-J14</f>
        <v>3</v>
      </c>
      <c r="L14" s="51">
        <f>K14/$H$33</f>
        <v>3.6585365853658534E-2</v>
      </c>
    </row>
    <row r="15" spans="1:12" ht="15.75">
      <c r="A15" s="47" t="s">
        <v>43</v>
      </c>
      <c r="B15" s="31" t="s">
        <v>34</v>
      </c>
      <c r="C15" s="32" t="s">
        <v>44</v>
      </c>
      <c r="D15" s="48" t="s">
        <v>99</v>
      </c>
      <c r="E15" s="49" t="s">
        <v>34</v>
      </c>
      <c r="F15" s="50" t="s">
        <v>100</v>
      </c>
      <c r="G15" s="33">
        <v>3</v>
      </c>
      <c r="H15" s="33">
        <f>H14+G15</f>
        <v>6</v>
      </c>
      <c r="I15" s="33">
        <v>0</v>
      </c>
      <c r="J15" s="33">
        <f>J14+I15</f>
        <v>0</v>
      </c>
      <c r="K15" s="33">
        <f t="shared" ref="K15:K33" si="0">H15-J15</f>
        <v>6</v>
      </c>
      <c r="L15" s="51">
        <f t="shared" ref="L15:L33" si="1">K15/$H$33</f>
        <v>7.3170731707317069E-2</v>
      </c>
    </row>
    <row r="16" spans="1:12" ht="15.75">
      <c r="A16" s="47" t="s">
        <v>44</v>
      </c>
      <c r="B16" s="31" t="s">
        <v>34</v>
      </c>
      <c r="C16" s="32" t="s">
        <v>45</v>
      </c>
      <c r="D16" s="48" t="s">
        <v>100</v>
      </c>
      <c r="E16" s="49" t="s">
        <v>34</v>
      </c>
      <c r="F16" s="50" t="s">
        <v>101</v>
      </c>
      <c r="G16" s="35">
        <v>6</v>
      </c>
      <c r="H16" s="33">
        <f t="shared" ref="H16:H33" si="2">H15+G16</f>
        <v>12</v>
      </c>
      <c r="I16" s="33">
        <v>0</v>
      </c>
      <c r="J16" s="33">
        <f t="shared" ref="J16:J33" si="3">J15+I16</f>
        <v>0</v>
      </c>
      <c r="K16" s="33">
        <f t="shared" si="0"/>
        <v>12</v>
      </c>
      <c r="L16" s="51">
        <f t="shared" si="1"/>
        <v>0.14634146341463414</v>
      </c>
    </row>
    <row r="17" spans="1:12" ht="15.75">
      <c r="A17" s="47" t="s">
        <v>45</v>
      </c>
      <c r="B17" s="31" t="s">
        <v>34</v>
      </c>
      <c r="C17" s="32" t="s">
        <v>46</v>
      </c>
      <c r="D17" s="48" t="s">
        <v>101</v>
      </c>
      <c r="E17" s="49" t="s">
        <v>34</v>
      </c>
      <c r="F17" s="50" t="s">
        <v>102</v>
      </c>
      <c r="G17" s="33">
        <v>3</v>
      </c>
      <c r="H17" s="33">
        <f t="shared" si="2"/>
        <v>15</v>
      </c>
      <c r="I17" s="33">
        <v>0</v>
      </c>
      <c r="J17" s="33">
        <f t="shared" si="3"/>
        <v>0</v>
      </c>
      <c r="K17" s="33">
        <f t="shared" si="0"/>
        <v>15</v>
      </c>
      <c r="L17" s="51">
        <f t="shared" si="1"/>
        <v>0.18292682926829268</v>
      </c>
    </row>
    <row r="18" spans="1:12" ht="15.75">
      <c r="A18" s="47" t="s">
        <v>46</v>
      </c>
      <c r="B18" s="31" t="s">
        <v>34</v>
      </c>
      <c r="C18" s="32" t="s">
        <v>47</v>
      </c>
      <c r="D18" s="48" t="s">
        <v>102</v>
      </c>
      <c r="E18" s="49" t="s">
        <v>34</v>
      </c>
      <c r="F18" s="50" t="s">
        <v>103</v>
      </c>
      <c r="G18" s="33">
        <v>8</v>
      </c>
      <c r="H18" s="33">
        <f t="shared" si="2"/>
        <v>23</v>
      </c>
      <c r="I18" s="33">
        <v>9</v>
      </c>
      <c r="J18" s="33">
        <f t="shared" si="3"/>
        <v>9</v>
      </c>
      <c r="K18" s="33">
        <f t="shared" si="0"/>
        <v>14</v>
      </c>
      <c r="L18" s="51">
        <f t="shared" si="1"/>
        <v>0.17073170731707318</v>
      </c>
    </row>
    <row r="19" spans="1:12" ht="15.75">
      <c r="A19" s="47" t="s">
        <v>47</v>
      </c>
      <c r="B19" s="31" t="s">
        <v>34</v>
      </c>
      <c r="C19" s="32" t="s">
        <v>48</v>
      </c>
      <c r="D19" s="48" t="s">
        <v>103</v>
      </c>
      <c r="E19" s="49" t="s">
        <v>34</v>
      </c>
      <c r="F19" s="50" t="s">
        <v>104</v>
      </c>
      <c r="G19" s="33">
        <v>1</v>
      </c>
      <c r="H19" s="33">
        <f t="shared" si="2"/>
        <v>24</v>
      </c>
      <c r="I19" s="33">
        <v>3</v>
      </c>
      <c r="J19" s="33">
        <f t="shared" si="3"/>
        <v>12</v>
      </c>
      <c r="K19" s="33">
        <f t="shared" si="0"/>
        <v>12</v>
      </c>
      <c r="L19" s="51">
        <f t="shared" si="1"/>
        <v>0.14634146341463414</v>
      </c>
    </row>
    <row r="20" spans="1:12" ht="15.75">
      <c r="A20" s="47" t="s">
        <v>48</v>
      </c>
      <c r="B20" s="31" t="s">
        <v>34</v>
      </c>
      <c r="C20" s="32" t="s">
        <v>49</v>
      </c>
      <c r="D20" s="48" t="s">
        <v>104</v>
      </c>
      <c r="E20" s="49" t="s">
        <v>34</v>
      </c>
      <c r="F20" s="50" t="s">
        <v>105</v>
      </c>
      <c r="G20" s="33">
        <v>3</v>
      </c>
      <c r="H20" s="33">
        <f t="shared" si="2"/>
        <v>27</v>
      </c>
      <c r="I20" s="33">
        <v>0</v>
      </c>
      <c r="J20" s="33">
        <f t="shared" si="3"/>
        <v>12</v>
      </c>
      <c r="K20" s="33">
        <f t="shared" si="0"/>
        <v>15</v>
      </c>
      <c r="L20" s="51">
        <f t="shared" si="1"/>
        <v>0.18292682926829268</v>
      </c>
    </row>
    <row r="21" spans="1:12" ht="15.75">
      <c r="A21" s="47" t="s">
        <v>49</v>
      </c>
      <c r="B21" s="31" t="s">
        <v>34</v>
      </c>
      <c r="C21" s="32" t="s">
        <v>50</v>
      </c>
      <c r="D21" s="48" t="s">
        <v>105</v>
      </c>
      <c r="E21" s="49" t="s">
        <v>34</v>
      </c>
      <c r="F21" s="50" t="s">
        <v>106</v>
      </c>
      <c r="G21" s="33">
        <v>11</v>
      </c>
      <c r="H21" s="33">
        <f t="shared" si="2"/>
        <v>38</v>
      </c>
      <c r="I21" s="33">
        <v>4</v>
      </c>
      <c r="J21" s="33">
        <f t="shared" si="3"/>
        <v>16</v>
      </c>
      <c r="K21" s="33">
        <f t="shared" si="0"/>
        <v>22</v>
      </c>
      <c r="L21" s="51">
        <f t="shared" si="1"/>
        <v>0.26829268292682928</v>
      </c>
    </row>
    <row r="22" spans="1:12" ht="15.75">
      <c r="A22" s="47" t="s">
        <v>50</v>
      </c>
      <c r="B22" s="31" t="s">
        <v>34</v>
      </c>
      <c r="C22" s="32" t="s">
        <v>51</v>
      </c>
      <c r="D22" s="48" t="s">
        <v>106</v>
      </c>
      <c r="E22" s="49" t="s">
        <v>34</v>
      </c>
      <c r="F22" s="50" t="s">
        <v>107</v>
      </c>
      <c r="G22" s="33">
        <v>6</v>
      </c>
      <c r="H22" s="33">
        <f t="shared" si="2"/>
        <v>44</v>
      </c>
      <c r="I22" s="33">
        <v>2</v>
      </c>
      <c r="J22" s="33">
        <f t="shared" si="3"/>
        <v>18</v>
      </c>
      <c r="K22" s="33">
        <f t="shared" si="0"/>
        <v>26</v>
      </c>
      <c r="L22" s="51">
        <f t="shared" si="1"/>
        <v>0.31707317073170732</v>
      </c>
    </row>
    <row r="23" spans="1:12" ht="15.75">
      <c r="A23" s="47" t="s">
        <v>51</v>
      </c>
      <c r="B23" s="31" t="s">
        <v>34</v>
      </c>
      <c r="C23" s="32" t="s">
        <v>52</v>
      </c>
      <c r="D23" s="48" t="s">
        <v>107</v>
      </c>
      <c r="E23" s="49" t="s">
        <v>34</v>
      </c>
      <c r="F23" s="50" t="s">
        <v>108</v>
      </c>
      <c r="G23" s="33">
        <v>5</v>
      </c>
      <c r="H23" s="33">
        <f t="shared" si="2"/>
        <v>49</v>
      </c>
      <c r="I23" s="33">
        <v>3</v>
      </c>
      <c r="J23" s="33">
        <f t="shared" si="3"/>
        <v>21</v>
      </c>
      <c r="K23" s="33">
        <f t="shared" si="0"/>
        <v>28</v>
      </c>
      <c r="L23" s="51">
        <f t="shared" si="1"/>
        <v>0.34146341463414637</v>
      </c>
    </row>
    <row r="24" spans="1:12" ht="15.75">
      <c r="A24" s="47" t="s">
        <v>52</v>
      </c>
      <c r="B24" s="31" t="s">
        <v>34</v>
      </c>
      <c r="C24" s="32" t="s">
        <v>53</v>
      </c>
      <c r="D24" s="48" t="s">
        <v>108</v>
      </c>
      <c r="E24" s="49" t="s">
        <v>34</v>
      </c>
      <c r="F24" s="50" t="s">
        <v>109</v>
      </c>
      <c r="G24" s="33">
        <v>6</v>
      </c>
      <c r="H24" s="33">
        <f t="shared" si="2"/>
        <v>55</v>
      </c>
      <c r="I24" s="33">
        <v>5</v>
      </c>
      <c r="J24" s="33">
        <f t="shared" si="3"/>
        <v>26</v>
      </c>
      <c r="K24" s="33">
        <f t="shared" si="0"/>
        <v>29</v>
      </c>
      <c r="L24" s="51">
        <f t="shared" si="1"/>
        <v>0.35365853658536583</v>
      </c>
    </row>
    <row r="25" spans="1:12" ht="15.75">
      <c r="A25" s="47" t="s">
        <v>53</v>
      </c>
      <c r="B25" s="31" t="s">
        <v>34</v>
      </c>
      <c r="C25" s="32" t="s">
        <v>54</v>
      </c>
      <c r="D25" s="48" t="s">
        <v>109</v>
      </c>
      <c r="E25" s="49" t="s">
        <v>34</v>
      </c>
      <c r="F25" s="50" t="s">
        <v>110</v>
      </c>
      <c r="G25" s="33">
        <v>4</v>
      </c>
      <c r="H25" s="33">
        <f t="shared" si="2"/>
        <v>59</v>
      </c>
      <c r="I25" s="33">
        <v>4</v>
      </c>
      <c r="J25" s="33">
        <f t="shared" si="3"/>
        <v>30</v>
      </c>
      <c r="K25" s="33">
        <f t="shared" si="0"/>
        <v>29</v>
      </c>
      <c r="L25" s="51">
        <f t="shared" si="1"/>
        <v>0.35365853658536583</v>
      </c>
    </row>
    <row r="26" spans="1:12" ht="15.75">
      <c r="A26" s="47" t="s">
        <v>54</v>
      </c>
      <c r="B26" s="31" t="s">
        <v>34</v>
      </c>
      <c r="C26" s="32" t="s">
        <v>55</v>
      </c>
      <c r="D26" s="48" t="s">
        <v>110</v>
      </c>
      <c r="E26" s="49" t="s">
        <v>34</v>
      </c>
      <c r="F26" s="50" t="s">
        <v>111</v>
      </c>
      <c r="G26" s="33">
        <v>0</v>
      </c>
      <c r="H26" s="33">
        <f t="shared" si="2"/>
        <v>59</v>
      </c>
      <c r="I26" s="33">
        <v>11</v>
      </c>
      <c r="J26" s="33">
        <f t="shared" si="3"/>
        <v>41</v>
      </c>
      <c r="K26" s="33">
        <f t="shared" si="0"/>
        <v>18</v>
      </c>
      <c r="L26" s="51">
        <f t="shared" si="1"/>
        <v>0.21951219512195122</v>
      </c>
    </row>
    <row r="27" spans="1:12" ht="15.75">
      <c r="A27" s="47" t="s">
        <v>55</v>
      </c>
      <c r="B27" s="31" t="s">
        <v>34</v>
      </c>
      <c r="C27" s="32" t="s">
        <v>56</v>
      </c>
      <c r="D27" s="48" t="s">
        <v>111</v>
      </c>
      <c r="E27" s="49" t="s">
        <v>34</v>
      </c>
      <c r="F27" s="50" t="s">
        <v>110</v>
      </c>
      <c r="G27" s="33">
        <v>3</v>
      </c>
      <c r="H27" s="33">
        <f t="shared" si="2"/>
        <v>62</v>
      </c>
      <c r="I27" s="33">
        <v>6</v>
      </c>
      <c r="J27" s="33">
        <f t="shared" si="3"/>
        <v>47</v>
      </c>
      <c r="K27" s="33">
        <f t="shared" si="0"/>
        <v>15</v>
      </c>
      <c r="L27" s="51">
        <f t="shared" si="1"/>
        <v>0.18292682926829268</v>
      </c>
    </row>
    <row r="28" spans="1:12" ht="15.75">
      <c r="A28" s="47" t="s">
        <v>56</v>
      </c>
      <c r="B28" s="31" t="s">
        <v>34</v>
      </c>
      <c r="C28" s="32" t="s">
        <v>57</v>
      </c>
      <c r="D28" s="48" t="s">
        <v>110</v>
      </c>
      <c r="E28" s="49" t="s">
        <v>34</v>
      </c>
      <c r="F28" s="50" t="s">
        <v>109</v>
      </c>
      <c r="G28" s="33">
        <v>5</v>
      </c>
      <c r="H28" s="33">
        <f t="shared" si="2"/>
        <v>67</v>
      </c>
      <c r="I28" s="33">
        <v>5</v>
      </c>
      <c r="J28" s="33">
        <f t="shared" si="3"/>
        <v>52</v>
      </c>
      <c r="K28" s="33">
        <f t="shared" si="0"/>
        <v>15</v>
      </c>
      <c r="L28" s="51">
        <f t="shared" si="1"/>
        <v>0.18292682926829268</v>
      </c>
    </row>
    <row r="29" spans="1:12" ht="15.75">
      <c r="A29" s="47" t="s">
        <v>57</v>
      </c>
      <c r="B29" s="31" t="s">
        <v>34</v>
      </c>
      <c r="C29" s="32" t="s">
        <v>58</v>
      </c>
      <c r="D29" s="48" t="s">
        <v>109</v>
      </c>
      <c r="E29" s="49" t="s">
        <v>34</v>
      </c>
      <c r="F29" s="50" t="s">
        <v>108</v>
      </c>
      <c r="G29" s="33">
        <v>3</v>
      </c>
      <c r="H29" s="33">
        <f t="shared" si="2"/>
        <v>70</v>
      </c>
      <c r="I29" s="33">
        <v>7</v>
      </c>
      <c r="J29" s="33">
        <f t="shared" si="3"/>
        <v>59</v>
      </c>
      <c r="K29" s="33">
        <f t="shared" si="0"/>
        <v>11</v>
      </c>
      <c r="L29" s="51">
        <f t="shared" si="1"/>
        <v>0.13414634146341464</v>
      </c>
    </row>
    <row r="30" spans="1:12" ht="15.75">
      <c r="A30" s="47" t="s">
        <v>58</v>
      </c>
      <c r="B30" s="31" t="s">
        <v>34</v>
      </c>
      <c r="C30" s="32" t="s">
        <v>59</v>
      </c>
      <c r="D30" s="48" t="s">
        <v>108</v>
      </c>
      <c r="E30" s="49" t="s">
        <v>34</v>
      </c>
      <c r="F30" s="50" t="s">
        <v>107</v>
      </c>
      <c r="G30" s="33">
        <v>5</v>
      </c>
      <c r="H30" s="33">
        <f t="shared" si="2"/>
        <v>75</v>
      </c>
      <c r="I30" s="33">
        <v>4</v>
      </c>
      <c r="J30" s="33">
        <f t="shared" si="3"/>
        <v>63</v>
      </c>
      <c r="K30" s="33">
        <f t="shared" si="0"/>
        <v>12</v>
      </c>
      <c r="L30" s="51">
        <f t="shared" si="1"/>
        <v>0.14634146341463414</v>
      </c>
    </row>
    <row r="31" spans="1:12" ht="15.75">
      <c r="A31" s="47" t="s">
        <v>59</v>
      </c>
      <c r="B31" s="31" t="s">
        <v>34</v>
      </c>
      <c r="C31" s="32" t="s">
        <v>60</v>
      </c>
      <c r="D31" s="48" t="s">
        <v>107</v>
      </c>
      <c r="E31" s="49" t="s">
        <v>34</v>
      </c>
      <c r="F31" s="50" t="s">
        <v>106</v>
      </c>
      <c r="G31" s="33">
        <v>4</v>
      </c>
      <c r="H31" s="33">
        <f t="shared" si="2"/>
        <v>79</v>
      </c>
      <c r="I31" s="33">
        <v>5</v>
      </c>
      <c r="J31" s="33">
        <f t="shared" si="3"/>
        <v>68</v>
      </c>
      <c r="K31" s="33">
        <f t="shared" si="0"/>
        <v>11</v>
      </c>
      <c r="L31" s="51">
        <f t="shared" si="1"/>
        <v>0.13414634146341464</v>
      </c>
    </row>
    <row r="32" spans="1:12" ht="15.75">
      <c r="A32" s="47" t="s">
        <v>60</v>
      </c>
      <c r="B32" s="31" t="s">
        <v>34</v>
      </c>
      <c r="C32" s="32" t="s">
        <v>61</v>
      </c>
      <c r="D32" s="48" t="s">
        <v>106</v>
      </c>
      <c r="E32" s="49" t="s">
        <v>34</v>
      </c>
      <c r="F32" s="50" t="s">
        <v>105</v>
      </c>
      <c r="G32" s="33">
        <v>1</v>
      </c>
      <c r="H32" s="33">
        <f t="shared" si="2"/>
        <v>80</v>
      </c>
      <c r="I32" s="33">
        <v>3</v>
      </c>
      <c r="J32" s="33">
        <f t="shared" si="3"/>
        <v>71</v>
      </c>
      <c r="K32" s="33">
        <f t="shared" si="0"/>
        <v>9</v>
      </c>
      <c r="L32" s="51">
        <f t="shared" si="1"/>
        <v>0.10975609756097561</v>
      </c>
    </row>
    <row r="33" spans="1:12" ht="15.75">
      <c r="A33" s="47" t="s">
        <v>61</v>
      </c>
      <c r="B33" s="31" t="s">
        <v>34</v>
      </c>
      <c r="C33" s="32" t="s">
        <v>62</v>
      </c>
      <c r="D33" s="48" t="s">
        <v>105</v>
      </c>
      <c r="E33" s="49" t="s">
        <v>34</v>
      </c>
      <c r="F33" s="50" t="s">
        <v>104</v>
      </c>
      <c r="G33" s="33">
        <v>2</v>
      </c>
      <c r="H33" s="33">
        <f t="shared" si="2"/>
        <v>82</v>
      </c>
      <c r="I33" s="33">
        <v>8</v>
      </c>
      <c r="J33" s="33">
        <f t="shared" si="3"/>
        <v>79</v>
      </c>
      <c r="K33" s="33">
        <f t="shared" si="0"/>
        <v>3</v>
      </c>
      <c r="L33" s="51">
        <f t="shared" si="1"/>
        <v>3.6585365853658534E-2</v>
      </c>
    </row>
    <row r="34" spans="1:12" ht="15.75">
      <c r="A34" s="47" t="s">
        <v>62</v>
      </c>
      <c r="B34" s="31" t="s">
        <v>34</v>
      </c>
      <c r="C34" s="32" t="s">
        <v>63</v>
      </c>
      <c r="D34" s="48" t="s">
        <v>104</v>
      </c>
      <c r="E34" s="49" t="s">
        <v>34</v>
      </c>
      <c r="F34" s="50" t="s">
        <v>103</v>
      </c>
      <c r="G34" s="33"/>
      <c r="H34" s="33"/>
      <c r="I34" s="33"/>
      <c r="J34" s="33"/>
      <c r="K34" s="33"/>
      <c r="L34" s="51"/>
    </row>
    <row r="35" spans="1:12" ht="15">
      <c r="A35" s="30"/>
      <c r="B35" s="31"/>
      <c r="C35" s="32"/>
      <c r="D35" s="30"/>
      <c r="E35" s="31"/>
      <c r="F35" s="32"/>
      <c r="G35" s="33"/>
      <c r="H35" s="33"/>
      <c r="I35" s="33"/>
      <c r="J35" s="33"/>
      <c r="K35" s="33"/>
      <c r="L35" s="33"/>
    </row>
    <row r="36" spans="1:12" ht="15">
      <c r="A36" s="30"/>
      <c r="B36" s="31"/>
      <c r="C36" s="32"/>
      <c r="D36" s="30"/>
      <c r="E36" s="31"/>
      <c r="F36" s="32"/>
      <c r="G36" s="33"/>
      <c r="H36" s="33"/>
      <c r="I36" s="33"/>
      <c r="J36" s="33"/>
      <c r="K36" s="33"/>
      <c r="L36" s="33"/>
    </row>
    <row r="37" spans="1:12" ht="18">
      <c r="A37" s="17"/>
      <c r="B37" s="17"/>
      <c r="C37" s="17"/>
      <c r="D37" s="17"/>
      <c r="E37" s="17"/>
      <c r="F37" s="17"/>
      <c r="G37" s="18"/>
      <c r="H37" s="18"/>
      <c r="I37" s="18"/>
      <c r="J37" s="18"/>
      <c r="K37" s="18"/>
      <c r="L37" s="18"/>
    </row>
    <row r="38" spans="1:12" ht="18">
      <c r="A38" s="29" t="s">
        <v>94</v>
      </c>
      <c r="B38" s="11"/>
      <c r="C38" s="11"/>
      <c r="D38" s="11"/>
      <c r="E38" s="11"/>
      <c r="F38" s="11"/>
      <c r="G38" s="1"/>
      <c r="H38" s="1">
        <v>3</v>
      </c>
      <c r="I38" s="1"/>
      <c r="J38" s="11"/>
      <c r="K38" s="1"/>
      <c r="L38" s="1"/>
    </row>
    <row r="39" spans="1:12" ht="18">
      <c r="A39" s="11"/>
      <c r="B39" s="11"/>
      <c r="C39" s="11"/>
      <c r="D39" s="11"/>
      <c r="E39" s="11"/>
      <c r="F39" s="11"/>
      <c r="G39" s="1"/>
      <c r="H39" s="1"/>
      <c r="I39" s="1"/>
      <c r="J39" s="1"/>
      <c r="K39" s="1"/>
      <c r="L39" s="1"/>
    </row>
    <row r="40" spans="1:12" ht="18">
      <c r="A40" s="29" t="s">
        <v>95</v>
      </c>
      <c r="B40" s="11"/>
      <c r="C40" s="11"/>
      <c r="D40" s="11"/>
      <c r="E40" s="11"/>
      <c r="F40" s="11"/>
      <c r="G40" s="1"/>
      <c r="H40" s="1">
        <v>0</v>
      </c>
      <c r="I40" s="1"/>
      <c r="J40" s="1"/>
      <c r="K40" s="1"/>
      <c r="L40" s="1"/>
    </row>
  </sheetData>
  <mergeCells count="9">
    <mergeCell ref="D13:F13"/>
    <mergeCell ref="A14:C14"/>
    <mergeCell ref="D14:F14"/>
    <mergeCell ref="A1:L1"/>
    <mergeCell ref="A3:L3"/>
    <mergeCell ref="A8:L8"/>
    <mergeCell ref="D12:F12"/>
    <mergeCell ref="G12:H12"/>
    <mergeCell ref="I12:J12"/>
  </mergeCells>
  <phoneticPr fontId="0" type="noConversion"/>
  <pageMargins left="0.63" right="0.2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selection sqref="A1:L1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4" width="6.5703125" customWidth="1"/>
    <col min="5" max="5" width="1.7109375" customWidth="1"/>
    <col min="6" max="6" width="6.42578125" customWidth="1"/>
    <col min="7" max="7" width="10.7109375" customWidth="1"/>
    <col min="8" max="8" width="9" customWidth="1"/>
    <col min="9" max="9" width="10.7109375" customWidth="1"/>
    <col min="10" max="10" width="9" customWidth="1"/>
    <col min="11" max="11" width="10.140625" customWidth="1"/>
    <col min="12" max="12" width="18.5703125" customWidth="1"/>
  </cols>
  <sheetData>
    <row r="1" spans="1:12" ht="18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5.75">
      <c r="A3" s="66" t="s">
        <v>115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>
      <c r="A4" s="11" t="s">
        <v>116</v>
      </c>
      <c r="B4" s="11"/>
      <c r="C4" s="11"/>
      <c r="D4" s="11"/>
      <c r="E4" s="11"/>
      <c r="F4" s="11"/>
    </row>
    <row r="5" spans="1:12" ht="15.75">
      <c r="A5" s="11" t="s">
        <v>117</v>
      </c>
      <c r="B5" s="11"/>
      <c r="C5" s="11"/>
      <c r="D5" s="11"/>
      <c r="E5" s="11"/>
      <c r="F5" s="11"/>
      <c r="K5" s="11" t="s">
        <v>119</v>
      </c>
    </row>
    <row r="6" spans="1:12" ht="15.75">
      <c r="A6" s="11" t="s">
        <v>118</v>
      </c>
      <c r="B6" s="11"/>
      <c r="C6" s="11"/>
      <c r="D6" s="11"/>
      <c r="E6" s="11"/>
      <c r="F6" s="11"/>
    </row>
    <row r="7" spans="1:12" ht="15.75">
      <c r="A7" s="11"/>
      <c r="B7" s="11"/>
      <c r="C7" s="11"/>
      <c r="D7" s="11"/>
      <c r="E7" s="11"/>
      <c r="F7" s="11"/>
    </row>
    <row r="8" spans="1:12" ht="15.75">
      <c r="A8" s="67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18">
      <c r="A9" s="14"/>
      <c r="B9" s="14"/>
      <c r="C9" s="14"/>
      <c r="D9" s="14"/>
      <c r="E9" s="14"/>
      <c r="F9" s="14"/>
      <c r="G9" s="13"/>
      <c r="H9" s="13"/>
      <c r="I9" s="13"/>
      <c r="J9" s="13"/>
      <c r="K9" s="13"/>
      <c r="L9" s="13"/>
    </row>
    <row r="10" spans="1:12" ht="18">
      <c r="A10" s="14"/>
      <c r="B10" s="14"/>
      <c r="C10" s="14"/>
      <c r="D10" s="14"/>
      <c r="E10" s="14"/>
      <c r="F10" s="14"/>
      <c r="G10" s="13"/>
      <c r="H10" s="13"/>
      <c r="I10" s="13"/>
      <c r="J10" s="13"/>
      <c r="K10" s="13"/>
      <c r="L10" s="13"/>
    </row>
    <row r="11" spans="1:12" ht="18">
      <c r="A11" s="18"/>
      <c r="B11" s="18"/>
      <c r="C11" s="18"/>
      <c r="D11" s="18"/>
      <c r="E11" s="18"/>
      <c r="F11" s="18"/>
      <c r="G11" s="12"/>
      <c r="H11" s="12"/>
      <c r="I11" s="12"/>
      <c r="J11" s="12"/>
      <c r="K11" s="12"/>
      <c r="L11" s="12"/>
    </row>
    <row r="12" spans="1:12" ht="15.75">
      <c r="A12" s="36"/>
      <c r="B12" s="37"/>
      <c r="C12" s="37"/>
      <c r="D12" s="68" t="s">
        <v>98</v>
      </c>
      <c r="E12" s="69"/>
      <c r="F12" s="70"/>
      <c r="G12" s="71" t="s">
        <v>2</v>
      </c>
      <c r="H12" s="72"/>
      <c r="I12" s="73" t="s">
        <v>5</v>
      </c>
      <c r="J12" s="71"/>
      <c r="K12" s="40" t="s">
        <v>4</v>
      </c>
      <c r="L12" s="41" t="s">
        <v>6</v>
      </c>
    </row>
    <row r="13" spans="1:12" ht="15.75">
      <c r="A13" s="42" t="s">
        <v>0</v>
      </c>
      <c r="B13" s="43"/>
      <c r="C13" s="43"/>
      <c r="D13" s="56" t="s">
        <v>113</v>
      </c>
      <c r="E13" s="57"/>
      <c r="F13" s="58"/>
      <c r="G13" s="38" t="s">
        <v>3</v>
      </c>
      <c r="H13" s="44" t="s">
        <v>4</v>
      </c>
      <c r="I13" s="44" t="s">
        <v>3</v>
      </c>
      <c r="J13" s="39" t="s">
        <v>4</v>
      </c>
      <c r="K13" s="45" t="s">
        <v>8</v>
      </c>
      <c r="L13" s="46" t="s">
        <v>7</v>
      </c>
    </row>
    <row r="14" spans="1:12" ht="15.75">
      <c r="A14" s="59" t="s">
        <v>1</v>
      </c>
      <c r="B14" s="60"/>
      <c r="C14" s="61"/>
      <c r="D14" s="62" t="s">
        <v>112</v>
      </c>
      <c r="E14" s="63"/>
      <c r="F14" s="64"/>
      <c r="G14" s="35">
        <v>7</v>
      </c>
      <c r="H14" s="34">
        <f>G14</f>
        <v>7</v>
      </c>
      <c r="I14" s="33">
        <v>0</v>
      </c>
      <c r="J14" s="34">
        <f>I14</f>
        <v>0</v>
      </c>
      <c r="K14" s="33">
        <f>H14-J14</f>
        <v>7</v>
      </c>
      <c r="L14" s="51">
        <f>K14/$H$30</f>
        <v>7.5349838536060282E-3</v>
      </c>
    </row>
    <row r="15" spans="1:12" ht="15.75">
      <c r="A15" s="47" t="s">
        <v>120</v>
      </c>
      <c r="B15" s="31" t="s">
        <v>34</v>
      </c>
      <c r="C15" s="47" t="s">
        <v>121</v>
      </c>
      <c r="D15" s="48" t="s">
        <v>99</v>
      </c>
      <c r="E15" s="49" t="s">
        <v>34</v>
      </c>
      <c r="F15" s="50" t="s">
        <v>100</v>
      </c>
      <c r="G15" s="33">
        <v>17</v>
      </c>
      <c r="H15" s="33">
        <f>H14+G15</f>
        <v>24</v>
      </c>
      <c r="I15" s="33">
        <v>0</v>
      </c>
      <c r="J15" s="33">
        <f>J14+I15</f>
        <v>0</v>
      </c>
      <c r="K15" s="33">
        <f t="shared" ref="K15:K30" si="0">H15-J15</f>
        <v>24</v>
      </c>
      <c r="L15" s="51">
        <f t="shared" ref="L15:L30" si="1">K15/$H$30</f>
        <v>2.5834230355220669E-2</v>
      </c>
    </row>
    <row r="16" spans="1:12" ht="15.75">
      <c r="A16" s="47" t="s">
        <v>121</v>
      </c>
      <c r="B16" s="31" t="s">
        <v>34</v>
      </c>
      <c r="C16" s="47" t="s">
        <v>122</v>
      </c>
      <c r="D16" s="48" t="s">
        <v>100</v>
      </c>
      <c r="E16" s="49" t="s">
        <v>34</v>
      </c>
      <c r="F16" s="50" t="s">
        <v>101</v>
      </c>
      <c r="G16" s="35">
        <v>66</v>
      </c>
      <c r="H16" s="33">
        <f t="shared" ref="H16:H30" si="2">H15+G16</f>
        <v>90</v>
      </c>
      <c r="I16" s="33">
        <v>1</v>
      </c>
      <c r="J16" s="33">
        <f t="shared" ref="J16:J30" si="3">J15+I16</f>
        <v>1</v>
      </c>
      <c r="K16" s="33">
        <f t="shared" si="0"/>
        <v>89</v>
      </c>
      <c r="L16" s="51">
        <f t="shared" si="1"/>
        <v>9.5801937567276646E-2</v>
      </c>
    </row>
    <row r="17" spans="1:12" ht="15.75">
      <c r="A17" s="47" t="s">
        <v>122</v>
      </c>
      <c r="B17" s="31" t="s">
        <v>34</v>
      </c>
      <c r="C17" s="47" t="s">
        <v>123</v>
      </c>
      <c r="D17" s="48" t="s">
        <v>101</v>
      </c>
      <c r="E17" s="49" t="s">
        <v>34</v>
      </c>
      <c r="F17" s="50" t="s">
        <v>102</v>
      </c>
      <c r="G17" s="33">
        <v>94</v>
      </c>
      <c r="H17" s="33">
        <f t="shared" si="2"/>
        <v>184</v>
      </c>
      <c r="I17" s="33">
        <v>0</v>
      </c>
      <c r="J17" s="33">
        <f t="shared" si="3"/>
        <v>1</v>
      </c>
      <c r="K17" s="33">
        <f t="shared" si="0"/>
        <v>183</v>
      </c>
      <c r="L17" s="51">
        <f t="shared" si="1"/>
        <v>0.1969860064585576</v>
      </c>
    </row>
    <row r="18" spans="1:12" ht="15.75">
      <c r="A18" s="47" t="s">
        <v>123</v>
      </c>
      <c r="B18" s="31" t="s">
        <v>34</v>
      </c>
      <c r="C18" s="47" t="s">
        <v>124</v>
      </c>
      <c r="D18" s="48" t="s">
        <v>102</v>
      </c>
      <c r="E18" s="49" t="s">
        <v>34</v>
      </c>
      <c r="F18" s="50" t="s">
        <v>103</v>
      </c>
      <c r="G18" s="33">
        <v>132</v>
      </c>
      <c r="H18" s="33">
        <f t="shared" si="2"/>
        <v>316</v>
      </c>
      <c r="I18" s="33">
        <v>8</v>
      </c>
      <c r="J18" s="33">
        <f t="shared" si="3"/>
        <v>9</v>
      </c>
      <c r="K18" s="33">
        <f t="shared" si="0"/>
        <v>307</v>
      </c>
      <c r="L18" s="51">
        <f t="shared" si="1"/>
        <v>0.33046286329386437</v>
      </c>
    </row>
    <row r="19" spans="1:12" ht="15.75">
      <c r="A19" s="47" t="s">
        <v>124</v>
      </c>
      <c r="B19" s="31" t="s">
        <v>34</v>
      </c>
      <c r="C19" s="47" t="s">
        <v>125</v>
      </c>
      <c r="D19" s="48" t="s">
        <v>103</v>
      </c>
      <c r="E19" s="49" t="s">
        <v>34</v>
      </c>
      <c r="F19" s="50" t="s">
        <v>104</v>
      </c>
      <c r="G19" s="33">
        <v>151</v>
      </c>
      <c r="H19" s="33">
        <f t="shared" si="2"/>
        <v>467</v>
      </c>
      <c r="I19" s="33">
        <v>28</v>
      </c>
      <c r="J19" s="33">
        <f t="shared" si="3"/>
        <v>37</v>
      </c>
      <c r="K19" s="33">
        <f t="shared" si="0"/>
        <v>430</v>
      </c>
      <c r="L19" s="51">
        <f t="shared" si="1"/>
        <v>0.46286329386437031</v>
      </c>
    </row>
    <row r="20" spans="1:12" ht="15.75">
      <c r="A20" s="47" t="s">
        <v>125</v>
      </c>
      <c r="B20" s="31" t="s">
        <v>34</v>
      </c>
      <c r="C20" s="47" t="s">
        <v>126</v>
      </c>
      <c r="D20" s="48" t="s">
        <v>104</v>
      </c>
      <c r="E20" s="49" t="s">
        <v>34</v>
      </c>
      <c r="F20" s="50" t="s">
        <v>105</v>
      </c>
      <c r="G20" s="33">
        <v>121</v>
      </c>
      <c r="H20" s="33">
        <f t="shared" si="2"/>
        <v>588</v>
      </c>
      <c r="I20" s="33">
        <v>32</v>
      </c>
      <c r="J20" s="33">
        <f t="shared" si="3"/>
        <v>69</v>
      </c>
      <c r="K20" s="33">
        <f t="shared" si="0"/>
        <v>519</v>
      </c>
      <c r="L20" s="51">
        <f t="shared" si="1"/>
        <v>0.55866523143164692</v>
      </c>
    </row>
    <row r="21" spans="1:12" ht="15.75">
      <c r="A21" s="47" t="s">
        <v>126</v>
      </c>
      <c r="B21" s="31" t="s">
        <v>34</v>
      </c>
      <c r="C21" s="47" t="s">
        <v>127</v>
      </c>
      <c r="D21" s="48" t="s">
        <v>105</v>
      </c>
      <c r="E21" s="49" t="s">
        <v>34</v>
      </c>
      <c r="F21" s="50" t="s">
        <v>106</v>
      </c>
      <c r="G21" s="33">
        <v>93</v>
      </c>
      <c r="H21" s="33">
        <f t="shared" si="2"/>
        <v>681</v>
      </c>
      <c r="I21" s="33">
        <v>75</v>
      </c>
      <c r="J21" s="33">
        <f t="shared" si="3"/>
        <v>144</v>
      </c>
      <c r="K21" s="33">
        <f t="shared" si="0"/>
        <v>537</v>
      </c>
      <c r="L21" s="51">
        <f t="shared" si="1"/>
        <v>0.57804090419806242</v>
      </c>
    </row>
    <row r="22" spans="1:12" ht="15.75">
      <c r="A22" s="47" t="s">
        <v>127</v>
      </c>
      <c r="B22" s="31" t="s">
        <v>34</v>
      </c>
      <c r="C22" s="47" t="s">
        <v>128</v>
      </c>
      <c r="D22" s="48" t="s">
        <v>106</v>
      </c>
      <c r="E22" s="49" t="s">
        <v>34</v>
      </c>
      <c r="F22" s="50" t="s">
        <v>107</v>
      </c>
      <c r="G22" s="33">
        <v>92</v>
      </c>
      <c r="H22" s="33">
        <f t="shared" si="2"/>
        <v>773</v>
      </c>
      <c r="I22" s="33">
        <v>93</v>
      </c>
      <c r="J22" s="33">
        <f t="shared" si="3"/>
        <v>237</v>
      </c>
      <c r="K22" s="33">
        <f t="shared" si="0"/>
        <v>536</v>
      </c>
      <c r="L22" s="51">
        <f t="shared" si="1"/>
        <v>0.57696447793326155</v>
      </c>
    </row>
    <row r="23" spans="1:12" ht="15.75">
      <c r="A23" s="47" t="s">
        <v>128</v>
      </c>
      <c r="B23" s="31" t="s">
        <v>34</v>
      </c>
      <c r="C23" s="47" t="s">
        <v>129</v>
      </c>
      <c r="D23" s="48" t="s">
        <v>107</v>
      </c>
      <c r="E23" s="49" t="s">
        <v>34</v>
      </c>
      <c r="F23" s="50" t="s">
        <v>108</v>
      </c>
      <c r="G23" s="33">
        <v>61</v>
      </c>
      <c r="H23" s="33">
        <f t="shared" si="2"/>
        <v>834</v>
      </c>
      <c r="I23" s="33">
        <v>121</v>
      </c>
      <c r="J23" s="33">
        <f t="shared" si="3"/>
        <v>358</v>
      </c>
      <c r="K23" s="33">
        <f t="shared" si="0"/>
        <v>476</v>
      </c>
      <c r="L23" s="51">
        <f t="shared" si="1"/>
        <v>0.51237890204520986</v>
      </c>
    </row>
    <row r="24" spans="1:12" ht="15.75">
      <c r="A24" s="47" t="s">
        <v>129</v>
      </c>
      <c r="B24" s="31" t="s">
        <v>34</v>
      </c>
      <c r="C24" s="47" t="s">
        <v>130</v>
      </c>
      <c r="D24" s="48" t="s">
        <v>108</v>
      </c>
      <c r="E24" s="49" t="s">
        <v>34</v>
      </c>
      <c r="F24" s="50" t="s">
        <v>109</v>
      </c>
      <c r="G24" s="33">
        <v>32</v>
      </c>
      <c r="H24" s="33">
        <f t="shared" si="2"/>
        <v>866</v>
      </c>
      <c r="I24" s="33">
        <v>119</v>
      </c>
      <c r="J24" s="33">
        <f t="shared" si="3"/>
        <v>477</v>
      </c>
      <c r="K24" s="33">
        <f t="shared" si="0"/>
        <v>389</v>
      </c>
      <c r="L24" s="51">
        <f t="shared" si="1"/>
        <v>0.41872981700753498</v>
      </c>
    </row>
    <row r="25" spans="1:12" ht="15.75">
      <c r="A25" s="47" t="s">
        <v>130</v>
      </c>
      <c r="B25" s="31" t="s">
        <v>34</v>
      </c>
      <c r="C25" s="47" t="s">
        <v>131</v>
      </c>
      <c r="D25" s="48" t="s">
        <v>109</v>
      </c>
      <c r="E25" s="49" t="s">
        <v>34</v>
      </c>
      <c r="F25" s="50" t="s">
        <v>110</v>
      </c>
      <c r="G25" s="33">
        <v>18</v>
      </c>
      <c r="H25" s="33">
        <f t="shared" si="2"/>
        <v>884</v>
      </c>
      <c r="I25" s="33">
        <v>120</v>
      </c>
      <c r="J25" s="33">
        <f t="shared" si="3"/>
        <v>597</v>
      </c>
      <c r="K25" s="33">
        <f t="shared" si="0"/>
        <v>287</v>
      </c>
      <c r="L25" s="51">
        <f t="shared" si="1"/>
        <v>0.30893433799784714</v>
      </c>
    </row>
    <row r="26" spans="1:12" ht="15.75">
      <c r="A26" s="47" t="s">
        <v>131</v>
      </c>
      <c r="B26" s="31" t="s">
        <v>34</v>
      </c>
      <c r="C26" s="47" t="s">
        <v>132</v>
      </c>
      <c r="D26" s="48" t="s">
        <v>110</v>
      </c>
      <c r="E26" s="49" t="s">
        <v>34</v>
      </c>
      <c r="F26" s="50" t="s">
        <v>111</v>
      </c>
      <c r="G26" s="33">
        <v>12</v>
      </c>
      <c r="H26" s="33">
        <f t="shared" si="2"/>
        <v>896</v>
      </c>
      <c r="I26" s="33">
        <v>77</v>
      </c>
      <c r="J26" s="33">
        <f t="shared" si="3"/>
        <v>674</v>
      </c>
      <c r="K26" s="33">
        <f t="shared" si="0"/>
        <v>222</v>
      </c>
      <c r="L26" s="51">
        <f t="shared" si="1"/>
        <v>0.23896663078579117</v>
      </c>
    </row>
    <row r="27" spans="1:12" ht="15.75">
      <c r="A27" s="47" t="s">
        <v>132</v>
      </c>
      <c r="B27" s="31" t="s">
        <v>34</v>
      </c>
      <c r="C27" s="47" t="s">
        <v>133</v>
      </c>
      <c r="D27" s="48" t="s">
        <v>111</v>
      </c>
      <c r="E27" s="49" t="s">
        <v>34</v>
      </c>
      <c r="F27" s="50" t="s">
        <v>110</v>
      </c>
      <c r="G27" s="33">
        <v>17</v>
      </c>
      <c r="H27" s="33">
        <f t="shared" si="2"/>
        <v>913</v>
      </c>
      <c r="I27" s="33">
        <v>69</v>
      </c>
      <c r="J27" s="33">
        <f t="shared" si="3"/>
        <v>743</v>
      </c>
      <c r="K27" s="33">
        <f t="shared" si="0"/>
        <v>170</v>
      </c>
      <c r="L27" s="51">
        <f t="shared" si="1"/>
        <v>0.18299246501614638</v>
      </c>
    </row>
    <row r="28" spans="1:12" ht="15.75">
      <c r="A28" s="47" t="s">
        <v>133</v>
      </c>
      <c r="B28" s="31" t="s">
        <v>34</v>
      </c>
      <c r="C28" s="47" t="s">
        <v>134</v>
      </c>
      <c r="D28" s="48" t="s">
        <v>110</v>
      </c>
      <c r="E28" s="49" t="s">
        <v>34</v>
      </c>
      <c r="F28" s="50" t="s">
        <v>109</v>
      </c>
      <c r="G28" s="33">
        <v>5</v>
      </c>
      <c r="H28" s="33">
        <f t="shared" si="2"/>
        <v>918</v>
      </c>
      <c r="I28" s="33">
        <v>63</v>
      </c>
      <c r="J28" s="33">
        <f t="shared" si="3"/>
        <v>806</v>
      </c>
      <c r="K28" s="33">
        <f t="shared" si="0"/>
        <v>112</v>
      </c>
      <c r="L28" s="51">
        <f t="shared" si="1"/>
        <v>0.12055974165769645</v>
      </c>
    </row>
    <row r="29" spans="1:12" ht="15.75">
      <c r="A29" s="47" t="s">
        <v>134</v>
      </c>
      <c r="B29" s="31" t="s">
        <v>34</v>
      </c>
      <c r="C29" s="47" t="s">
        <v>135</v>
      </c>
      <c r="D29" s="48" t="s">
        <v>109</v>
      </c>
      <c r="E29" s="49" t="s">
        <v>34</v>
      </c>
      <c r="F29" s="50" t="s">
        <v>108</v>
      </c>
      <c r="G29" s="33">
        <v>5</v>
      </c>
      <c r="H29" s="33">
        <f t="shared" si="2"/>
        <v>923</v>
      </c>
      <c r="I29" s="33">
        <v>36</v>
      </c>
      <c r="J29" s="33">
        <f t="shared" si="3"/>
        <v>842</v>
      </c>
      <c r="K29" s="33">
        <f t="shared" si="0"/>
        <v>81</v>
      </c>
      <c r="L29" s="51">
        <f t="shared" si="1"/>
        <v>8.7190527448869751E-2</v>
      </c>
    </row>
    <row r="30" spans="1:12" ht="15.75">
      <c r="A30" s="47" t="s">
        <v>135</v>
      </c>
      <c r="B30" s="31" t="s">
        <v>34</v>
      </c>
      <c r="C30" s="47" t="s">
        <v>136</v>
      </c>
      <c r="D30" s="48" t="s">
        <v>108</v>
      </c>
      <c r="E30" s="49" t="s">
        <v>34</v>
      </c>
      <c r="F30" s="50" t="s">
        <v>107</v>
      </c>
      <c r="G30" s="33">
        <v>6</v>
      </c>
      <c r="H30" s="33">
        <f t="shared" si="2"/>
        <v>929</v>
      </c>
      <c r="I30" s="33">
        <v>23</v>
      </c>
      <c r="J30" s="33">
        <f t="shared" si="3"/>
        <v>865</v>
      </c>
      <c r="K30" s="33">
        <f t="shared" si="0"/>
        <v>64</v>
      </c>
      <c r="L30" s="51">
        <f t="shared" si="1"/>
        <v>6.8891280947255107E-2</v>
      </c>
    </row>
    <row r="31" spans="1:12" ht="15.75">
      <c r="A31" s="47"/>
      <c r="B31" s="31"/>
      <c r="C31" s="52"/>
      <c r="D31" s="48" t="s">
        <v>107</v>
      </c>
      <c r="E31" s="49" t="s">
        <v>34</v>
      </c>
      <c r="F31" s="50" t="s">
        <v>106</v>
      </c>
      <c r="G31" s="33"/>
      <c r="H31" s="33"/>
      <c r="I31" s="33"/>
      <c r="J31" s="33"/>
      <c r="K31" s="33"/>
      <c r="L31" s="51"/>
    </row>
    <row r="32" spans="1:12" ht="15.75">
      <c r="A32" s="47"/>
      <c r="B32" s="31"/>
      <c r="C32" s="32"/>
      <c r="D32" s="48" t="s">
        <v>106</v>
      </c>
      <c r="E32" s="49" t="s">
        <v>34</v>
      </c>
      <c r="F32" s="50" t="s">
        <v>105</v>
      </c>
      <c r="G32" s="33"/>
      <c r="H32" s="33"/>
      <c r="I32" s="33"/>
      <c r="J32" s="33"/>
      <c r="K32" s="33"/>
      <c r="L32" s="51"/>
    </row>
    <row r="33" spans="1:12" ht="15.75">
      <c r="A33" s="47"/>
      <c r="B33" s="31"/>
      <c r="C33" s="32"/>
      <c r="D33" s="48" t="s">
        <v>105</v>
      </c>
      <c r="E33" s="49" t="s">
        <v>34</v>
      </c>
      <c r="F33" s="50" t="s">
        <v>104</v>
      </c>
      <c r="G33" s="33"/>
      <c r="H33" s="33"/>
      <c r="I33" s="33"/>
      <c r="J33" s="33"/>
      <c r="K33" s="33"/>
      <c r="L33" s="51"/>
    </row>
    <row r="34" spans="1:12" ht="15.75">
      <c r="A34" s="47"/>
      <c r="B34" s="31"/>
      <c r="C34" s="32"/>
      <c r="D34" s="48" t="s">
        <v>104</v>
      </c>
      <c r="E34" s="49" t="s">
        <v>34</v>
      </c>
      <c r="F34" s="50" t="s">
        <v>103</v>
      </c>
      <c r="G34" s="33"/>
      <c r="H34" s="33"/>
      <c r="I34" s="33"/>
      <c r="J34" s="33"/>
      <c r="K34" s="33"/>
      <c r="L34" s="51"/>
    </row>
    <row r="35" spans="1:12" ht="15">
      <c r="A35" s="30"/>
      <c r="B35" s="31"/>
      <c r="C35" s="32"/>
      <c r="D35" s="30"/>
      <c r="E35" s="31"/>
      <c r="F35" s="32"/>
      <c r="G35" s="33"/>
      <c r="H35" s="33"/>
      <c r="I35" s="33"/>
      <c r="J35" s="33"/>
      <c r="K35" s="33"/>
      <c r="L35" s="33"/>
    </row>
    <row r="36" spans="1:12" ht="15">
      <c r="A36" s="30"/>
      <c r="B36" s="31"/>
      <c r="C36" s="32"/>
      <c r="D36" s="30"/>
      <c r="E36" s="31"/>
      <c r="F36" s="32"/>
      <c r="G36" s="33"/>
      <c r="H36" s="33"/>
      <c r="I36" s="33"/>
      <c r="J36" s="33"/>
      <c r="K36" s="33"/>
      <c r="L36" s="33"/>
    </row>
    <row r="37" spans="1:12" ht="18">
      <c r="A37" s="17"/>
      <c r="B37" s="17"/>
      <c r="C37" s="17"/>
      <c r="D37" s="17"/>
      <c r="E37" s="17"/>
      <c r="F37" s="17"/>
      <c r="G37" s="18"/>
      <c r="H37" s="18"/>
      <c r="I37" s="18"/>
      <c r="J37" s="18"/>
      <c r="K37" s="18"/>
      <c r="L37" s="18"/>
    </row>
    <row r="38" spans="1:12" ht="18">
      <c r="A38" s="29" t="s">
        <v>94</v>
      </c>
      <c r="B38" s="11"/>
      <c r="C38" s="11"/>
      <c r="D38" s="11"/>
      <c r="E38" s="11"/>
      <c r="F38" s="11"/>
      <c r="G38" s="1"/>
      <c r="H38" s="1">
        <v>62</v>
      </c>
      <c r="I38" s="1"/>
      <c r="J38" s="11"/>
      <c r="K38" s="1"/>
      <c r="L38" s="1"/>
    </row>
    <row r="39" spans="1:12" ht="18">
      <c r="A39" s="11"/>
      <c r="B39" s="11"/>
      <c r="C39" s="11"/>
      <c r="D39" s="11"/>
      <c r="E39" s="11"/>
      <c r="F39" s="11"/>
      <c r="G39" s="1"/>
      <c r="H39" s="1"/>
      <c r="I39" s="1"/>
      <c r="J39" s="1"/>
      <c r="K39" s="1"/>
      <c r="L39" s="1"/>
    </row>
    <row r="40" spans="1:12" ht="18">
      <c r="A40" s="29" t="s">
        <v>95</v>
      </c>
      <c r="B40" s="11"/>
      <c r="C40" s="11"/>
      <c r="D40" s="11"/>
      <c r="E40" s="11"/>
      <c r="F40" s="11"/>
      <c r="G40" s="1"/>
      <c r="H40" s="1">
        <v>2</v>
      </c>
      <c r="I40" s="1"/>
      <c r="J40" s="1"/>
      <c r="K40" s="1"/>
      <c r="L40" s="1"/>
    </row>
  </sheetData>
  <mergeCells count="9">
    <mergeCell ref="D13:F13"/>
    <mergeCell ref="A14:C14"/>
    <mergeCell ref="D14:F14"/>
    <mergeCell ref="A1:L1"/>
    <mergeCell ref="A3:L3"/>
    <mergeCell ref="A8:L8"/>
    <mergeCell ref="D12:F12"/>
    <mergeCell ref="G12:H12"/>
    <mergeCell ref="I12:J12"/>
  </mergeCells>
  <phoneticPr fontId="0" type="noConversion"/>
  <pageMargins left="0.61" right="0.2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selection sqref="A1:L1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4" width="6.5703125" customWidth="1"/>
    <col min="5" max="5" width="1.7109375" customWidth="1"/>
    <col min="6" max="6" width="6.42578125" customWidth="1"/>
    <col min="7" max="7" width="10.7109375" customWidth="1"/>
    <col min="8" max="8" width="9" customWidth="1"/>
    <col min="9" max="9" width="10.7109375" customWidth="1"/>
    <col min="10" max="10" width="9" customWidth="1"/>
    <col min="11" max="11" width="10.140625" customWidth="1"/>
    <col min="12" max="12" width="18.5703125" customWidth="1"/>
  </cols>
  <sheetData>
    <row r="1" spans="1:12" ht="18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5.75">
      <c r="A3" s="66" t="s">
        <v>96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>
      <c r="A4" s="11"/>
      <c r="B4" s="11"/>
      <c r="C4" s="11"/>
      <c r="D4" s="11"/>
      <c r="E4" s="11"/>
      <c r="F4" s="11"/>
    </row>
    <row r="5" spans="1:12" ht="15.75">
      <c r="A5" s="11" t="s">
        <v>28</v>
      </c>
      <c r="B5" s="11"/>
      <c r="C5" s="11"/>
      <c r="D5" s="11"/>
      <c r="E5" s="11"/>
      <c r="F5" s="11"/>
      <c r="K5" s="11" t="s">
        <v>97</v>
      </c>
    </row>
    <row r="6" spans="1:12" ht="15.75">
      <c r="A6" s="11" t="s">
        <v>30</v>
      </c>
      <c r="B6" s="11"/>
      <c r="C6" s="11"/>
      <c r="D6" s="11"/>
      <c r="E6" s="11"/>
      <c r="F6" s="11"/>
    </row>
    <row r="7" spans="1:12" ht="15.75">
      <c r="A7" s="11"/>
      <c r="B7" s="11"/>
      <c r="C7" s="11"/>
      <c r="D7" s="11"/>
      <c r="E7" s="11"/>
      <c r="F7" s="11"/>
    </row>
    <row r="8" spans="1:12" ht="15.75">
      <c r="A8" s="67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18">
      <c r="A9" s="14"/>
      <c r="B9" s="14"/>
      <c r="C9" s="14"/>
      <c r="D9" s="14"/>
      <c r="E9" s="14"/>
      <c r="F9" s="14"/>
      <c r="G9" s="13"/>
      <c r="H9" s="13"/>
      <c r="I9" s="13"/>
      <c r="J9" s="13"/>
      <c r="K9" s="13"/>
      <c r="L9" s="13"/>
    </row>
    <row r="10" spans="1:12" ht="18">
      <c r="A10" s="14"/>
      <c r="B10" s="14"/>
      <c r="C10" s="14"/>
      <c r="D10" s="14"/>
      <c r="E10" s="14"/>
      <c r="F10" s="14"/>
      <c r="G10" s="13"/>
      <c r="H10" s="13"/>
      <c r="I10" s="13"/>
      <c r="J10" s="13"/>
      <c r="K10" s="13"/>
      <c r="L10" s="13"/>
    </row>
    <row r="11" spans="1:12" ht="18">
      <c r="A11" s="18"/>
      <c r="B11" s="18"/>
      <c r="C11" s="18"/>
      <c r="D11" s="18"/>
      <c r="E11" s="18"/>
      <c r="F11" s="18"/>
      <c r="G11" s="12"/>
      <c r="H11" s="12"/>
      <c r="I11" s="12"/>
      <c r="J11" s="12"/>
      <c r="K11" s="12"/>
      <c r="L11" s="12"/>
    </row>
    <row r="12" spans="1:12" ht="15.75">
      <c r="A12" s="36"/>
      <c r="B12" s="37"/>
      <c r="C12" s="37"/>
      <c r="D12" s="68" t="s">
        <v>98</v>
      </c>
      <c r="E12" s="69"/>
      <c r="F12" s="70"/>
      <c r="G12" s="71" t="s">
        <v>2</v>
      </c>
      <c r="H12" s="72"/>
      <c r="I12" s="73" t="s">
        <v>5</v>
      </c>
      <c r="J12" s="71"/>
      <c r="K12" s="40" t="s">
        <v>4</v>
      </c>
      <c r="L12" s="41" t="s">
        <v>6</v>
      </c>
    </row>
    <row r="13" spans="1:12" ht="15.75">
      <c r="A13" s="42" t="s">
        <v>0</v>
      </c>
      <c r="B13" s="43"/>
      <c r="C13" s="43"/>
      <c r="D13" s="56" t="s">
        <v>113</v>
      </c>
      <c r="E13" s="57"/>
      <c r="F13" s="58"/>
      <c r="G13" s="38" t="s">
        <v>3</v>
      </c>
      <c r="H13" s="44" t="s">
        <v>4</v>
      </c>
      <c r="I13" s="44" t="s">
        <v>3</v>
      </c>
      <c r="J13" s="39" t="s">
        <v>4</v>
      </c>
      <c r="K13" s="45" t="s">
        <v>8</v>
      </c>
      <c r="L13" s="46" t="s">
        <v>7</v>
      </c>
    </row>
    <row r="14" spans="1:12" ht="15.75">
      <c r="A14" s="59" t="s">
        <v>1</v>
      </c>
      <c r="B14" s="60"/>
      <c r="C14" s="61"/>
      <c r="D14" s="62" t="s">
        <v>112</v>
      </c>
      <c r="E14" s="63"/>
      <c r="F14" s="64"/>
      <c r="G14" s="35">
        <v>0</v>
      </c>
      <c r="H14" s="34">
        <f>G14</f>
        <v>0</v>
      </c>
      <c r="I14" s="33">
        <v>0</v>
      </c>
      <c r="J14" s="34">
        <f>I14</f>
        <v>0</v>
      </c>
      <c r="K14" s="33">
        <f>H14-J14</f>
        <v>0</v>
      </c>
      <c r="L14" s="51">
        <f>K14/$H$34</f>
        <v>0</v>
      </c>
    </row>
    <row r="15" spans="1:12" ht="15.75">
      <c r="A15" s="47" t="s">
        <v>9</v>
      </c>
      <c r="B15" s="31" t="s">
        <v>34</v>
      </c>
      <c r="C15" s="32" t="s">
        <v>10</v>
      </c>
      <c r="D15" s="48" t="s">
        <v>99</v>
      </c>
      <c r="E15" s="49" t="s">
        <v>34</v>
      </c>
      <c r="F15" s="50" t="s">
        <v>100</v>
      </c>
      <c r="G15" s="33">
        <v>5</v>
      </c>
      <c r="H15" s="33">
        <f>H14+G15</f>
        <v>5</v>
      </c>
      <c r="I15" s="33">
        <v>1</v>
      </c>
      <c r="J15" s="33">
        <f>J14+I15</f>
        <v>1</v>
      </c>
      <c r="K15" s="33">
        <f t="shared" ref="K15:K34" si="0">H15-J15</f>
        <v>4</v>
      </c>
      <c r="L15" s="51">
        <f>K15/$H$34</f>
        <v>9.1954022988505746E-3</v>
      </c>
    </row>
    <row r="16" spans="1:12" ht="15.75">
      <c r="A16" s="47" t="s">
        <v>10</v>
      </c>
      <c r="B16" s="31" t="s">
        <v>34</v>
      </c>
      <c r="C16" s="32" t="s">
        <v>11</v>
      </c>
      <c r="D16" s="48" t="s">
        <v>100</v>
      </c>
      <c r="E16" s="49" t="s">
        <v>34</v>
      </c>
      <c r="F16" s="50" t="s">
        <v>101</v>
      </c>
      <c r="G16" s="35">
        <v>10</v>
      </c>
      <c r="H16" s="33">
        <f t="shared" ref="H16:H34" si="1">H15+G16</f>
        <v>15</v>
      </c>
      <c r="I16" s="33">
        <v>0</v>
      </c>
      <c r="J16" s="33">
        <f t="shared" ref="J16:J34" si="2">J15+I16</f>
        <v>1</v>
      </c>
      <c r="K16" s="33">
        <f t="shared" si="0"/>
        <v>14</v>
      </c>
      <c r="L16" s="51">
        <f t="shared" ref="L16:L34" si="3">K16/$H$34</f>
        <v>3.2183908045977011E-2</v>
      </c>
    </row>
    <row r="17" spans="1:12" ht="15.75">
      <c r="A17" s="47" t="s">
        <v>11</v>
      </c>
      <c r="B17" s="31" t="s">
        <v>34</v>
      </c>
      <c r="C17" s="32" t="s">
        <v>12</v>
      </c>
      <c r="D17" s="48" t="s">
        <v>101</v>
      </c>
      <c r="E17" s="49" t="s">
        <v>34</v>
      </c>
      <c r="F17" s="50" t="s">
        <v>102</v>
      </c>
      <c r="G17" s="33">
        <v>20</v>
      </c>
      <c r="H17" s="33">
        <f t="shared" si="1"/>
        <v>35</v>
      </c>
      <c r="I17" s="33">
        <v>4</v>
      </c>
      <c r="J17" s="33">
        <f t="shared" si="2"/>
        <v>5</v>
      </c>
      <c r="K17" s="33">
        <f t="shared" si="0"/>
        <v>30</v>
      </c>
      <c r="L17" s="51">
        <f t="shared" si="3"/>
        <v>6.8965517241379309E-2</v>
      </c>
    </row>
    <row r="18" spans="1:12" ht="15.75">
      <c r="A18" s="47" t="s">
        <v>12</v>
      </c>
      <c r="B18" s="31" t="s">
        <v>34</v>
      </c>
      <c r="C18" s="32" t="s">
        <v>13</v>
      </c>
      <c r="D18" s="48" t="s">
        <v>102</v>
      </c>
      <c r="E18" s="49" t="s">
        <v>34</v>
      </c>
      <c r="F18" s="50" t="s">
        <v>103</v>
      </c>
      <c r="G18" s="33">
        <v>23</v>
      </c>
      <c r="H18" s="33">
        <f t="shared" si="1"/>
        <v>58</v>
      </c>
      <c r="I18" s="33">
        <v>5</v>
      </c>
      <c r="J18" s="33">
        <f t="shared" si="2"/>
        <v>10</v>
      </c>
      <c r="K18" s="33">
        <f t="shared" si="0"/>
        <v>48</v>
      </c>
      <c r="L18" s="51">
        <f t="shared" si="3"/>
        <v>0.1103448275862069</v>
      </c>
    </row>
    <row r="19" spans="1:12" ht="15.75">
      <c r="A19" s="47" t="s">
        <v>13</v>
      </c>
      <c r="B19" s="31" t="s">
        <v>34</v>
      </c>
      <c r="C19" s="32" t="s">
        <v>14</v>
      </c>
      <c r="D19" s="48" t="s">
        <v>103</v>
      </c>
      <c r="E19" s="49" t="s">
        <v>34</v>
      </c>
      <c r="F19" s="50" t="s">
        <v>104</v>
      </c>
      <c r="G19" s="33">
        <v>54</v>
      </c>
      <c r="H19" s="33">
        <f t="shared" si="1"/>
        <v>112</v>
      </c>
      <c r="I19" s="33">
        <v>2</v>
      </c>
      <c r="J19" s="33">
        <f t="shared" si="2"/>
        <v>12</v>
      </c>
      <c r="K19" s="33">
        <f t="shared" si="0"/>
        <v>100</v>
      </c>
      <c r="L19" s="51">
        <f t="shared" si="3"/>
        <v>0.22988505747126436</v>
      </c>
    </row>
    <row r="20" spans="1:12" ht="15.75">
      <c r="A20" s="47" t="s">
        <v>14</v>
      </c>
      <c r="B20" s="31" t="s">
        <v>34</v>
      </c>
      <c r="C20" s="32" t="s">
        <v>15</v>
      </c>
      <c r="D20" s="48" t="s">
        <v>104</v>
      </c>
      <c r="E20" s="49" t="s">
        <v>34</v>
      </c>
      <c r="F20" s="50" t="s">
        <v>105</v>
      </c>
      <c r="G20" s="33">
        <v>69</v>
      </c>
      <c r="H20" s="33">
        <f t="shared" si="1"/>
        <v>181</v>
      </c>
      <c r="I20" s="33">
        <v>4</v>
      </c>
      <c r="J20" s="33">
        <f t="shared" si="2"/>
        <v>16</v>
      </c>
      <c r="K20" s="33">
        <f t="shared" si="0"/>
        <v>165</v>
      </c>
      <c r="L20" s="51">
        <f t="shared" si="3"/>
        <v>0.37931034482758619</v>
      </c>
    </row>
    <row r="21" spans="1:12" ht="15.75">
      <c r="A21" s="47" t="s">
        <v>15</v>
      </c>
      <c r="B21" s="31" t="s">
        <v>34</v>
      </c>
      <c r="C21" s="32" t="s">
        <v>16</v>
      </c>
      <c r="D21" s="48" t="s">
        <v>105</v>
      </c>
      <c r="E21" s="49" t="s">
        <v>34</v>
      </c>
      <c r="F21" s="50" t="s">
        <v>106</v>
      </c>
      <c r="G21" s="33">
        <v>53</v>
      </c>
      <c r="H21" s="33">
        <f t="shared" si="1"/>
        <v>234</v>
      </c>
      <c r="I21" s="33">
        <v>6</v>
      </c>
      <c r="J21" s="33">
        <f t="shared" si="2"/>
        <v>22</v>
      </c>
      <c r="K21" s="33">
        <f t="shared" si="0"/>
        <v>212</v>
      </c>
      <c r="L21" s="51">
        <f t="shared" si="3"/>
        <v>0.48735632183908045</v>
      </c>
    </row>
    <row r="22" spans="1:12" ht="15.75">
      <c r="A22" s="47" t="s">
        <v>16</v>
      </c>
      <c r="B22" s="31" t="s">
        <v>34</v>
      </c>
      <c r="C22" s="32" t="s">
        <v>17</v>
      </c>
      <c r="D22" s="48" t="s">
        <v>106</v>
      </c>
      <c r="E22" s="49" t="s">
        <v>34</v>
      </c>
      <c r="F22" s="50" t="s">
        <v>107</v>
      </c>
      <c r="G22" s="33">
        <v>61</v>
      </c>
      <c r="H22" s="33">
        <f t="shared" si="1"/>
        <v>295</v>
      </c>
      <c r="I22" s="33">
        <v>18</v>
      </c>
      <c r="J22" s="33">
        <f t="shared" si="2"/>
        <v>40</v>
      </c>
      <c r="K22" s="33">
        <f t="shared" si="0"/>
        <v>255</v>
      </c>
      <c r="L22" s="51">
        <f t="shared" si="3"/>
        <v>0.58620689655172409</v>
      </c>
    </row>
    <row r="23" spans="1:12" ht="15.75">
      <c r="A23" s="47" t="s">
        <v>17</v>
      </c>
      <c r="B23" s="31" t="s">
        <v>34</v>
      </c>
      <c r="C23" s="32" t="s">
        <v>18</v>
      </c>
      <c r="D23" s="48" t="s">
        <v>107</v>
      </c>
      <c r="E23" s="49" t="s">
        <v>34</v>
      </c>
      <c r="F23" s="50" t="s">
        <v>108</v>
      </c>
      <c r="G23" s="33">
        <v>27</v>
      </c>
      <c r="H23" s="33">
        <f t="shared" si="1"/>
        <v>322</v>
      </c>
      <c r="I23" s="33">
        <v>12</v>
      </c>
      <c r="J23" s="33">
        <f t="shared" si="2"/>
        <v>52</v>
      </c>
      <c r="K23" s="33">
        <f t="shared" si="0"/>
        <v>270</v>
      </c>
      <c r="L23" s="51">
        <f t="shared" si="3"/>
        <v>0.62068965517241381</v>
      </c>
    </row>
    <row r="24" spans="1:12" ht="15.75">
      <c r="A24" s="47" t="s">
        <v>18</v>
      </c>
      <c r="B24" s="31" t="s">
        <v>34</v>
      </c>
      <c r="C24" s="32" t="s">
        <v>19</v>
      </c>
      <c r="D24" s="48" t="s">
        <v>108</v>
      </c>
      <c r="E24" s="49" t="s">
        <v>34</v>
      </c>
      <c r="F24" s="50" t="s">
        <v>109</v>
      </c>
      <c r="G24" s="33">
        <v>27</v>
      </c>
      <c r="H24" s="33">
        <f t="shared" si="1"/>
        <v>349</v>
      </c>
      <c r="I24" s="33">
        <v>26</v>
      </c>
      <c r="J24" s="33">
        <f t="shared" si="2"/>
        <v>78</v>
      </c>
      <c r="K24" s="33">
        <f t="shared" si="0"/>
        <v>271</v>
      </c>
      <c r="L24" s="51">
        <f t="shared" si="3"/>
        <v>0.62298850574712639</v>
      </c>
    </row>
    <row r="25" spans="1:12" ht="15.75">
      <c r="A25" s="47" t="s">
        <v>19</v>
      </c>
      <c r="B25" s="31" t="s">
        <v>34</v>
      </c>
      <c r="C25" s="32" t="s">
        <v>20</v>
      </c>
      <c r="D25" s="48" t="s">
        <v>109</v>
      </c>
      <c r="E25" s="49" t="s">
        <v>34</v>
      </c>
      <c r="F25" s="50" t="s">
        <v>110</v>
      </c>
      <c r="G25" s="33">
        <v>21</v>
      </c>
      <c r="H25" s="33">
        <f t="shared" si="1"/>
        <v>370</v>
      </c>
      <c r="I25" s="33">
        <v>23</v>
      </c>
      <c r="J25" s="33">
        <f t="shared" si="2"/>
        <v>101</v>
      </c>
      <c r="K25" s="33">
        <f t="shared" si="0"/>
        <v>269</v>
      </c>
      <c r="L25" s="51">
        <f t="shared" si="3"/>
        <v>0.61839080459770113</v>
      </c>
    </row>
    <row r="26" spans="1:12" ht="15.75">
      <c r="A26" s="47" t="s">
        <v>20</v>
      </c>
      <c r="B26" s="31" t="s">
        <v>34</v>
      </c>
      <c r="C26" s="32" t="s">
        <v>21</v>
      </c>
      <c r="D26" s="48" t="s">
        <v>110</v>
      </c>
      <c r="E26" s="49" t="s">
        <v>34</v>
      </c>
      <c r="F26" s="50" t="s">
        <v>111</v>
      </c>
      <c r="G26" s="33">
        <v>14</v>
      </c>
      <c r="H26" s="33">
        <f t="shared" si="1"/>
        <v>384</v>
      </c>
      <c r="I26" s="33">
        <v>38</v>
      </c>
      <c r="J26" s="33">
        <f t="shared" si="2"/>
        <v>139</v>
      </c>
      <c r="K26" s="33">
        <f t="shared" si="0"/>
        <v>245</v>
      </c>
      <c r="L26" s="51">
        <f t="shared" si="3"/>
        <v>0.56321839080459768</v>
      </c>
    </row>
    <row r="27" spans="1:12" ht="15.75">
      <c r="A27" s="47" t="s">
        <v>21</v>
      </c>
      <c r="B27" s="31" t="s">
        <v>34</v>
      </c>
      <c r="C27" s="32" t="s">
        <v>22</v>
      </c>
      <c r="D27" s="48" t="s">
        <v>111</v>
      </c>
      <c r="E27" s="49" t="s">
        <v>34</v>
      </c>
      <c r="F27" s="50" t="s">
        <v>110</v>
      </c>
      <c r="G27" s="33">
        <v>7</v>
      </c>
      <c r="H27" s="33">
        <f t="shared" si="1"/>
        <v>391</v>
      </c>
      <c r="I27" s="33">
        <v>47</v>
      </c>
      <c r="J27" s="33">
        <f t="shared" si="2"/>
        <v>186</v>
      </c>
      <c r="K27" s="33">
        <f t="shared" si="0"/>
        <v>205</v>
      </c>
      <c r="L27" s="51">
        <f t="shared" si="3"/>
        <v>0.47126436781609193</v>
      </c>
    </row>
    <row r="28" spans="1:12" ht="15.75">
      <c r="A28" s="47" t="s">
        <v>22</v>
      </c>
      <c r="B28" s="31" t="s">
        <v>34</v>
      </c>
      <c r="C28" s="32" t="s">
        <v>23</v>
      </c>
      <c r="D28" s="48" t="s">
        <v>110</v>
      </c>
      <c r="E28" s="49" t="s">
        <v>34</v>
      </c>
      <c r="F28" s="50" t="s">
        <v>109</v>
      </c>
      <c r="G28" s="33">
        <v>11</v>
      </c>
      <c r="H28" s="33">
        <f t="shared" si="1"/>
        <v>402</v>
      </c>
      <c r="I28" s="33">
        <v>46</v>
      </c>
      <c r="J28" s="33">
        <f t="shared" si="2"/>
        <v>232</v>
      </c>
      <c r="K28" s="33">
        <f t="shared" si="0"/>
        <v>170</v>
      </c>
      <c r="L28" s="51">
        <f t="shared" si="3"/>
        <v>0.39080459770114945</v>
      </c>
    </row>
    <row r="29" spans="1:12" ht="15.75">
      <c r="A29" s="47" t="s">
        <v>23</v>
      </c>
      <c r="B29" s="31" t="s">
        <v>34</v>
      </c>
      <c r="C29" s="32" t="s">
        <v>24</v>
      </c>
      <c r="D29" s="48" t="s">
        <v>109</v>
      </c>
      <c r="E29" s="49" t="s">
        <v>34</v>
      </c>
      <c r="F29" s="50" t="s">
        <v>108</v>
      </c>
      <c r="G29" s="33">
        <v>6</v>
      </c>
      <c r="H29" s="33">
        <f t="shared" si="1"/>
        <v>408</v>
      </c>
      <c r="I29" s="33">
        <v>39</v>
      </c>
      <c r="J29" s="33">
        <f t="shared" si="2"/>
        <v>271</v>
      </c>
      <c r="K29" s="33">
        <f t="shared" si="0"/>
        <v>137</v>
      </c>
      <c r="L29" s="51">
        <f t="shared" si="3"/>
        <v>0.31494252873563217</v>
      </c>
    </row>
    <row r="30" spans="1:12" ht="15.75">
      <c r="A30" s="47" t="s">
        <v>24</v>
      </c>
      <c r="B30" s="31" t="s">
        <v>34</v>
      </c>
      <c r="C30" s="32" t="s">
        <v>25</v>
      </c>
      <c r="D30" s="48" t="s">
        <v>108</v>
      </c>
      <c r="E30" s="49" t="s">
        <v>34</v>
      </c>
      <c r="F30" s="50" t="s">
        <v>107</v>
      </c>
      <c r="G30" s="33">
        <v>9</v>
      </c>
      <c r="H30" s="33">
        <f t="shared" si="1"/>
        <v>417</v>
      </c>
      <c r="I30" s="33">
        <v>40</v>
      </c>
      <c r="J30" s="33">
        <f t="shared" si="2"/>
        <v>311</v>
      </c>
      <c r="K30" s="33">
        <f t="shared" si="0"/>
        <v>106</v>
      </c>
      <c r="L30" s="51">
        <f t="shared" si="3"/>
        <v>0.24367816091954023</v>
      </c>
    </row>
    <row r="31" spans="1:12" ht="15.75">
      <c r="A31" s="47" t="s">
        <v>25</v>
      </c>
      <c r="B31" s="31" t="s">
        <v>34</v>
      </c>
      <c r="C31" s="32" t="s">
        <v>26</v>
      </c>
      <c r="D31" s="48" t="s">
        <v>107</v>
      </c>
      <c r="E31" s="49" t="s">
        <v>34</v>
      </c>
      <c r="F31" s="50" t="s">
        <v>106</v>
      </c>
      <c r="G31" s="33">
        <v>3</v>
      </c>
      <c r="H31" s="33">
        <f t="shared" si="1"/>
        <v>420</v>
      </c>
      <c r="I31" s="33">
        <v>32</v>
      </c>
      <c r="J31" s="33">
        <f t="shared" si="2"/>
        <v>343</v>
      </c>
      <c r="K31" s="33">
        <f t="shared" si="0"/>
        <v>77</v>
      </c>
      <c r="L31" s="51">
        <f t="shared" si="3"/>
        <v>0.17701149425287357</v>
      </c>
    </row>
    <row r="32" spans="1:12" ht="15.75">
      <c r="A32" s="47" t="s">
        <v>26</v>
      </c>
      <c r="B32" s="31" t="s">
        <v>34</v>
      </c>
      <c r="C32" s="32" t="s">
        <v>35</v>
      </c>
      <c r="D32" s="48" t="s">
        <v>106</v>
      </c>
      <c r="E32" s="49" t="s">
        <v>34</v>
      </c>
      <c r="F32" s="50" t="s">
        <v>105</v>
      </c>
      <c r="G32" s="33">
        <v>5</v>
      </c>
      <c r="H32" s="33">
        <f t="shared" si="1"/>
        <v>425</v>
      </c>
      <c r="I32" s="33">
        <v>23</v>
      </c>
      <c r="J32" s="33">
        <f t="shared" si="2"/>
        <v>366</v>
      </c>
      <c r="K32" s="33">
        <f t="shared" si="0"/>
        <v>59</v>
      </c>
      <c r="L32" s="51">
        <f t="shared" si="3"/>
        <v>0.13563218390804599</v>
      </c>
    </row>
    <row r="33" spans="1:12" ht="15.75">
      <c r="A33" s="47" t="s">
        <v>35</v>
      </c>
      <c r="B33" s="31" t="s">
        <v>34</v>
      </c>
      <c r="C33" s="32" t="s">
        <v>36</v>
      </c>
      <c r="D33" s="48" t="s">
        <v>105</v>
      </c>
      <c r="E33" s="49" t="s">
        <v>34</v>
      </c>
      <c r="F33" s="50" t="s">
        <v>104</v>
      </c>
      <c r="G33" s="33">
        <v>6</v>
      </c>
      <c r="H33" s="33">
        <f t="shared" si="1"/>
        <v>431</v>
      </c>
      <c r="I33" s="33">
        <v>31</v>
      </c>
      <c r="J33" s="33">
        <f t="shared" si="2"/>
        <v>397</v>
      </c>
      <c r="K33" s="33">
        <f t="shared" si="0"/>
        <v>34</v>
      </c>
      <c r="L33" s="51">
        <f t="shared" si="3"/>
        <v>7.8160919540229884E-2</v>
      </c>
    </row>
    <row r="34" spans="1:12" ht="15.75">
      <c r="A34" s="47" t="s">
        <v>36</v>
      </c>
      <c r="B34" s="31" t="s">
        <v>34</v>
      </c>
      <c r="C34" s="32" t="s">
        <v>37</v>
      </c>
      <c r="D34" s="48" t="s">
        <v>104</v>
      </c>
      <c r="E34" s="49" t="s">
        <v>34</v>
      </c>
      <c r="F34" s="50" t="s">
        <v>103</v>
      </c>
      <c r="G34" s="33">
        <v>4</v>
      </c>
      <c r="H34" s="33">
        <f t="shared" si="1"/>
        <v>435</v>
      </c>
      <c r="I34" s="33">
        <v>16</v>
      </c>
      <c r="J34" s="33">
        <f t="shared" si="2"/>
        <v>413</v>
      </c>
      <c r="K34" s="33">
        <f t="shared" si="0"/>
        <v>22</v>
      </c>
      <c r="L34" s="51">
        <f t="shared" si="3"/>
        <v>5.057471264367816E-2</v>
      </c>
    </row>
    <row r="35" spans="1:12" ht="15">
      <c r="A35" s="30"/>
      <c r="B35" s="31"/>
      <c r="C35" s="32"/>
      <c r="D35" s="30"/>
      <c r="E35" s="31"/>
      <c r="F35" s="32"/>
      <c r="G35" s="33"/>
      <c r="H35" s="33"/>
      <c r="I35" s="33"/>
      <c r="J35" s="33"/>
      <c r="K35" s="33"/>
      <c r="L35" s="33"/>
    </row>
    <row r="36" spans="1:12" ht="15">
      <c r="A36" s="30"/>
      <c r="B36" s="31"/>
      <c r="C36" s="32"/>
      <c r="D36" s="30"/>
      <c r="E36" s="31"/>
      <c r="F36" s="32"/>
      <c r="G36" s="33"/>
      <c r="H36" s="33"/>
      <c r="I36" s="33"/>
      <c r="J36" s="33"/>
      <c r="K36" s="33"/>
      <c r="L36" s="33"/>
    </row>
    <row r="37" spans="1:12" ht="18">
      <c r="A37" s="17"/>
      <c r="B37" s="17"/>
      <c r="C37" s="17"/>
      <c r="D37" s="17"/>
      <c r="E37" s="17"/>
      <c r="F37" s="17"/>
      <c r="G37" s="18"/>
      <c r="H37" s="18"/>
      <c r="I37" s="18"/>
      <c r="J37" s="18"/>
      <c r="K37" s="18"/>
      <c r="L37" s="18"/>
    </row>
    <row r="38" spans="1:12" ht="18">
      <c r="A38" s="29" t="s">
        <v>94</v>
      </c>
      <c r="B38" s="11"/>
      <c r="C38" s="11"/>
      <c r="D38" s="11"/>
      <c r="E38" s="11"/>
      <c r="F38" s="11"/>
      <c r="G38" s="1"/>
      <c r="H38" s="1">
        <v>25</v>
      </c>
      <c r="I38" s="1"/>
      <c r="J38" s="11"/>
      <c r="K38" s="1"/>
      <c r="L38" s="1"/>
    </row>
    <row r="39" spans="1:12" ht="18">
      <c r="A39" s="11"/>
      <c r="B39" s="11"/>
      <c r="C39" s="11"/>
      <c r="D39" s="11"/>
      <c r="E39" s="11"/>
      <c r="F39" s="11"/>
      <c r="G39" s="1"/>
      <c r="H39" s="1"/>
      <c r="I39" s="1"/>
      <c r="J39" s="1"/>
      <c r="K39" s="1"/>
      <c r="L39" s="1"/>
    </row>
    <row r="40" spans="1:12" ht="18">
      <c r="A40" s="29" t="s">
        <v>95</v>
      </c>
      <c r="B40" s="11"/>
      <c r="C40" s="11"/>
      <c r="D40" s="11"/>
      <c r="E40" s="11"/>
      <c r="F40" s="11"/>
      <c r="G40" s="1"/>
      <c r="H40" s="1">
        <v>3</v>
      </c>
      <c r="I40" s="1"/>
      <c r="J40" s="1"/>
      <c r="K40" s="1"/>
      <c r="L40" s="1"/>
    </row>
  </sheetData>
  <mergeCells count="9">
    <mergeCell ref="A1:L1"/>
    <mergeCell ref="A3:L3"/>
    <mergeCell ref="A8:L8"/>
    <mergeCell ref="G12:H12"/>
    <mergeCell ref="I12:J12"/>
    <mergeCell ref="D14:F14"/>
    <mergeCell ref="D12:F12"/>
    <mergeCell ref="D13:F13"/>
    <mergeCell ref="A14:C14"/>
  </mergeCells>
  <phoneticPr fontId="0" type="noConversion"/>
  <pageMargins left="0.63" right="0.27" top="0.98" bottom="0.53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selection sqref="A1:L1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4" width="6.5703125" customWidth="1"/>
    <col min="5" max="5" width="1.7109375" customWidth="1"/>
    <col min="6" max="6" width="6.42578125" customWidth="1"/>
    <col min="7" max="7" width="10.7109375" customWidth="1"/>
    <col min="8" max="8" width="9" customWidth="1"/>
    <col min="9" max="9" width="10.7109375" customWidth="1"/>
    <col min="10" max="10" width="9" customWidth="1"/>
    <col min="11" max="11" width="10.140625" customWidth="1"/>
    <col min="12" max="12" width="18.5703125" customWidth="1"/>
  </cols>
  <sheetData>
    <row r="1" spans="1:12" ht="18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5.75">
      <c r="A3" s="66" t="s">
        <v>138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>
      <c r="A4" s="11" t="s">
        <v>89</v>
      </c>
      <c r="B4" s="11"/>
      <c r="C4" s="11"/>
      <c r="D4" s="11"/>
      <c r="E4" s="11"/>
      <c r="F4" s="11"/>
    </row>
    <row r="5" spans="1:12" ht="15.75">
      <c r="A5" s="11" t="s">
        <v>41</v>
      </c>
      <c r="B5" s="11"/>
      <c r="C5" s="11"/>
      <c r="D5" s="11"/>
      <c r="E5" s="11"/>
      <c r="F5" s="11"/>
      <c r="K5" s="11" t="s">
        <v>139</v>
      </c>
    </row>
    <row r="6" spans="1:12" ht="15.75">
      <c r="A6" s="11" t="s">
        <v>42</v>
      </c>
      <c r="B6" s="11"/>
      <c r="C6" s="11"/>
      <c r="D6" s="11"/>
      <c r="E6" s="11"/>
      <c r="F6" s="11"/>
    </row>
    <row r="7" spans="1:12" ht="15.75">
      <c r="A7" s="11"/>
      <c r="B7" s="11"/>
      <c r="C7" s="11"/>
      <c r="D7" s="11"/>
      <c r="E7" s="11"/>
      <c r="F7" s="11"/>
    </row>
    <row r="8" spans="1:12" ht="15.75">
      <c r="A8" s="67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18">
      <c r="A9" s="53" t="s">
        <v>140</v>
      </c>
      <c r="B9" s="14"/>
      <c r="C9" s="14"/>
      <c r="D9" s="14"/>
      <c r="E9" s="14"/>
      <c r="F9" s="14"/>
      <c r="G9" s="13"/>
      <c r="H9" s="13"/>
      <c r="I9" s="13"/>
      <c r="J9" s="13"/>
      <c r="K9" s="13"/>
      <c r="L9" s="13"/>
    </row>
    <row r="10" spans="1:12" ht="18">
      <c r="A10" s="14"/>
      <c r="B10" s="14"/>
      <c r="C10" s="14"/>
      <c r="D10" s="14"/>
      <c r="E10" s="14"/>
      <c r="F10" s="14"/>
      <c r="G10" s="13"/>
      <c r="H10" s="13"/>
      <c r="I10" s="13"/>
      <c r="J10" s="13"/>
      <c r="K10" s="13"/>
      <c r="L10" s="13"/>
    </row>
    <row r="11" spans="1:12" ht="18">
      <c r="A11" s="18"/>
      <c r="B11" s="18"/>
      <c r="C11" s="18"/>
      <c r="D11" s="18"/>
      <c r="E11" s="18"/>
      <c r="F11" s="18"/>
      <c r="G11" s="12"/>
      <c r="H11" s="12"/>
      <c r="I11" s="12"/>
      <c r="J11" s="12"/>
      <c r="K11" s="12"/>
      <c r="L11" s="12"/>
    </row>
    <row r="12" spans="1:12" ht="15.75">
      <c r="A12" s="36"/>
      <c r="B12" s="37"/>
      <c r="C12" s="37"/>
      <c r="D12" s="68" t="s">
        <v>98</v>
      </c>
      <c r="E12" s="69"/>
      <c r="F12" s="70"/>
      <c r="G12" s="71" t="s">
        <v>2</v>
      </c>
      <c r="H12" s="72"/>
      <c r="I12" s="73" t="s">
        <v>5</v>
      </c>
      <c r="J12" s="71"/>
      <c r="K12" s="40" t="s">
        <v>4</v>
      </c>
      <c r="L12" s="41" t="s">
        <v>6</v>
      </c>
    </row>
    <row r="13" spans="1:12" ht="15.75">
      <c r="A13" s="42" t="s">
        <v>0</v>
      </c>
      <c r="B13" s="43"/>
      <c r="C13" s="43"/>
      <c r="D13" s="56" t="s">
        <v>113</v>
      </c>
      <c r="E13" s="57"/>
      <c r="F13" s="58"/>
      <c r="G13" s="38" t="s">
        <v>3</v>
      </c>
      <c r="H13" s="44" t="s">
        <v>4</v>
      </c>
      <c r="I13" s="44" t="s">
        <v>3</v>
      </c>
      <c r="J13" s="39" t="s">
        <v>4</v>
      </c>
      <c r="K13" s="45" t="s">
        <v>8</v>
      </c>
      <c r="L13" s="46" t="s">
        <v>7</v>
      </c>
    </row>
    <row r="14" spans="1:12" ht="15.75">
      <c r="A14" s="59" t="s">
        <v>1</v>
      </c>
      <c r="B14" s="60"/>
      <c r="C14" s="61"/>
      <c r="D14" s="62" t="s">
        <v>112</v>
      </c>
      <c r="E14" s="63"/>
      <c r="F14" s="64"/>
      <c r="G14" s="35">
        <v>11</v>
      </c>
      <c r="H14" s="34">
        <f>G14</f>
        <v>11</v>
      </c>
      <c r="I14" s="33">
        <v>1</v>
      </c>
      <c r="J14" s="34">
        <f>I14</f>
        <v>1</v>
      </c>
      <c r="K14" s="33">
        <f>H14-J14</f>
        <v>10</v>
      </c>
      <c r="L14" s="51">
        <f>K14/$H$31</f>
        <v>2.6737967914438502E-2</v>
      </c>
    </row>
    <row r="15" spans="1:12" ht="15.75">
      <c r="A15" s="47" t="s">
        <v>43</v>
      </c>
      <c r="B15" s="31" t="s">
        <v>34</v>
      </c>
      <c r="C15" s="32" t="s">
        <v>44</v>
      </c>
      <c r="D15" s="48" t="s">
        <v>99</v>
      </c>
      <c r="E15" s="49" t="s">
        <v>34</v>
      </c>
      <c r="F15" s="50" t="s">
        <v>100</v>
      </c>
      <c r="G15" s="33">
        <v>23</v>
      </c>
      <c r="H15" s="33">
        <f>H14+G15</f>
        <v>34</v>
      </c>
      <c r="I15" s="33">
        <v>0</v>
      </c>
      <c r="J15" s="33">
        <f>J14+I15</f>
        <v>1</v>
      </c>
      <c r="K15" s="33">
        <f t="shared" ref="K15:K31" si="0">H15-J15</f>
        <v>33</v>
      </c>
      <c r="L15" s="51">
        <f t="shared" ref="L15:L31" si="1">K15/$H$31</f>
        <v>8.8235294117647065E-2</v>
      </c>
    </row>
    <row r="16" spans="1:12" ht="15.75">
      <c r="A16" s="47" t="s">
        <v>44</v>
      </c>
      <c r="B16" s="31" t="s">
        <v>34</v>
      </c>
      <c r="C16" s="32" t="s">
        <v>45</v>
      </c>
      <c r="D16" s="48" t="s">
        <v>100</v>
      </c>
      <c r="E16" s="49" t="s">
        <v>34</v>
      </c>
      <c r="F16" s="50" t="s">
        <v>101</v>
      </c>
      <c r="G16" s="35">
        <v>25</v>
      </c>
      <c r="H16" s="33">
        <f t="shared" ref="H16:H31" si="2">H15+G16</f>
        <v>59</v>
      </c>
      <c r="I16" s="33">
        <v>0</v>
      </c>
      <c r="J16" s="33">
        <f t="shared" ref="J16:J31" si="3">J15+I16</f>
        <v>1</v>
      </c>
      <c r="K16" s="33">
        <f t="shared" si="0"/>
        <v>58</v>
      </c>
      <c r="L16" s="51">
        <f t="shared" si="1"/>
        <v>0.15508021390374332</v>
      </c>
    </row>
    <row r="17" spans="1:12" ht="15.75">
      <c r="A17" s="47" t="s">
        <v>45</v>
      </c>
      <c r="B17" s="31" t="s">
        <v>34</v>
      </c>
      <c r="C17" s="32" t="s">
        <v>46</v>
      </c>
      <c r="D17" s="48" t="s">
        <v>101</v>
      </c>
      <c r="E17" s="49" t="s">
        <v>34</v>
      </c>
      <c r="F17" s="50" t="s">
        <v>102</v>
      </c>
      <c r="G17" s="33">
        <v>39</v>
      </c>
      <c r="H17" s="33">
        <f t="shared" si="2"/>
        <v>98</v>
      </c>
      <c r="I17" s="33">
        <v>5</v>
      </c>
      <c r="J17" s="33">
        <f t="shared" si="3"/>
        <v>6</v>
      </c>
      <c r="K17" s="33">
        <f t="shared" si="0"/>
        <v>92</v>
      </c>
      <c r="L17" s="51">
        <f t="shared" si="1"/>
        <v>0.24598930481283424</v>
      </c>
    </row>
    <row r="18" spans="1:12" ht="15.75">
      <c r="A18" s="47" t="s">
        <v>46</v>
      </c>
      <c r="B18" s="31" t="s">
        <v>34</v>
      </c>
      <c r="C18" s="32" t="s">
        <v>47</v>
      </c>
      <c r="D18" s="48" t="s">
        <v>102</v>
      </c>
      <c r="E18" s="49" t="s">
        <v>34</v>
      </c>
      <c r="F18" s="50" t="s">
        <v>103</v>
      </c>
      <c r="G18" s="33">
        <v>38</v>
      </c>
      <c r="H18" s="33">
        <f t="shared" si="2"/>
        <v>136</v>
      </c>
      <c r="I18" s="33">
        <v>4</v>
      </c>
      <c r="J18" s="33">
        <f t="shared" si="3"/>
        <v>10</v>
      </c>
      <c r="K18" s="33">
        <f t="shared" si="0"/>
        <v>126</v>
      </c>
      <c r="L18" s="51">
        <f t="shared" si="1"/>
        <v>0.33689839572192515</v>
      </c>
    </row>
    <row r="19" spans="1:12" ht="15.75">
      <c r="A19" s="47" t="s">
        <v>47</v>
      </c>
      <c r="B19" s="31" t="s">
        <v>34</v>
      </c>
      <c r="C19" s="32" t="s">
        <v>48</v>
      </c>
      <c r="D19" s="48" t="s">
        <v>103</v>
      </c>
      <c r="E19" s="49" t="s">
        <v>34</v>
      </c>
      <c r="F19" s="50" t="s">
        <v>104</v>
      </c>
      <c r="G19" s="33">
        <v>24</v>
      </c>
      <c r="H19" s="33">
        <f t="shared" si="2"/>
        <v>160</v>
      </c>
      <c r="I19" s="33">
        <v>16</v>
      </c>
      <c r="J19" s="33">
        <f t="shared" si="3"/>
        <v>26</v>
      </c>
      <c r="K19" s="33">
        <f t="shared" si="0"/>
        <v>134</v>
      </c>
      <c r="L19" s="51">
        <f t="shared" si="1"/>
        <v>0.35828877005347592</v>
      </c>
    </row>
    <row r="20" spans="1:12" ht="15.75">
      <c r="A20" s="47" t="s">
        <v>48</v>
      </c>
      <c r="B20" s="31" t="s">
        <v>34</v>
      </c>
      <c r="C20" s="32" t="s">
        <v>49</v>
      </c>
      <c r="D20" s="48" t="s">
        <v>104</v>
      </c>
      <c r="E20" s="49" t="s">
        <v>34</v>
      </c>
      <c r="F20" s="50" t="s">
        <v>105</v>
      </c>
      <c r="G20" s="33">
        <v>51</v>
      </c>
      <c r="H20" s="33">
        <f t="shared" si="2"/>
        <v>211</v>
      </c>
      <c r="I20" s="33">
        <v>18</v>
      </c>
      <c r="J20" s="33">
        <f t="shared" si="3"/>
        <v>44</v>
      </c>
      <c r="K20" s="33">
        <f t="shared" si="0"/>
        <v>167</v>
      </c>
      <c r="L20" s="51">
        <f t="shared" si="1"/>
        <v>0.446524064171123</v>
      </c>
    </row>
    <row r="21" spans="1:12" ht="15.75">
      <c r="A21" s="47" t="s">
        <v>49</v>
      </c>
      <c r="B21" s="31" t="s">
        <v>34</v>
      </c>
      <c r="C21" s="32" t="s">
        <v>50</v>
      </c>
      <c r="D21" s="48" t="s">
        <v>105</v>
      </c>
      <c r="E21" s="49" t="s">
        <v>34</v>
      </c>
      <c r="F21" s="50" t="s">
        <v>106</v>
      </c>
      <c r="G21" s="33">
        <v>49</v>
      </c>
      <c r="H21" s="33">
        <f t="shared" si="2"/>
        <v>260</v>
      </c>
      <c r="I21" s="33">
        <v>20</v>
      </c>
      <c r="J21" s="33">
        <f t="shared" si="3"/>
        <v>64</v>
      </c>
      <c r="K21" s="33">
        <f t="shared" si="0"/>
        <v>196</v>
      </c>
      <c r="L21" s="51">
        <f t="shared" si="1"/>
        <v>0.52406417112299464</v>
      </c>
    </row>
    <row r="22" spans="1:12" ht="15.75">
      <c r="A22" s="47" t="s">
        <v>50</v>
      </c>
      <c r="B22" s="31" t="s">
        <v>34</v>
      </c>
      <c r="C22" s="32" t="s">
        <v>51</v>
      </c>
      <c r="D22" s="48" t="s">
        <v>106</v>
      </c>
      <c r="E22" s="49" t="s">
        <v>34</v>
      </c>
      <c r="F22" s="50" t="s">
        <v>107</v>
      </c>
      <c r="G22" s="33">
        <v>36</v>
      </c>
      <c r="H22" s="33">
        <f t="shared" si="2"/>
        <v>296</v>
      </c>
      <c r="I22" s="33">
        <v>28</v>
      </c>
      <c r="J22" s="33">
        <f t="shared" si="3"/>
        <v>92</v>
      </c>
      <c r="K22" s="33">
        <f t="shared" si="0"/>
        <v>204</v>
      </c>
      <c r="L22" s="51">
        <f t="shared" si="1"/>
        <v>0.54545454545454541</v>
      </c>
    </row>
    <row r="23" spans="1:12" ht="15.75">
      <c r="A23" s="47" t="s">
        <v>51</v>
      </c>
      <c r="B23" s="31" t="s">
        <v>34</v>
      </c>
      <c r="C23" s="32" t="s">
        <v>52</v>
      </c>
      <c r="D23" s="48" t="s">
        <v>107</v>
      </c>
      <c r="E23" s="49" t="s">
        <v>34</v>
      </c>
      <c r="F23" s="50" t="s">
        <v>108</v>
      </c>
      <c r="G23" s="33">
        <v>21</v>
      </c>
      <c r="H23" s="33">
        <f t="shared" si="2"/>
        <v>317</v>
      </c>
      <c r="I23" s="33">
        <v>30</v>
      </c>
      <c r="J23" s="33">
        <f t="shared" si="3"/>
        <v>122</v>
      </c>
      <c r="K23" s="33">
        <f t="shared" si="0"/>
        <v>195</v>
      </c>
      <c r="L23" s="51">
        <f t="shared" si="1"/>
        <v>0.52139037433155078</v>
      </c>
    </row>
    <row r="24" spans="1:12" ht="15.75">
      <c r="A24" s="47" t="s">
        <v>52</v>
      </c>
      <c r="B24" s="31" t="s">
        <v>34</v>
      </c>
      <c r="C24" s="32" t="s">
        <v>53</v>
      </c>
      <c r="D24" s="48" t="s">
        <v>108</v>
      </c>
      <c r="E24" s="49" t="s">
        <v>34</v>
      </c>
      <c r="F24" s="50" t="s">
        <v>109</v>
      </c>
      <c r="G24" s="33">
        <v>20</v>
      </c>
      <c r="H24" s="33">
        <f t="shared" si="2"/>
        <v>337</v>
      </c>
      <c r="I24" s="33">
        <v>40</v>
      </c>
      <c r="J24" s="33">
        <f t="shared" si="3"/>
        <v>162</v>
      </c>
      <c r="K24" s="33">
        <f t="shared" si="0"/>
        <v>175</v>
      </c>
      <c r="L24" s="51">
        <f t="shared" si="1"/>
        <v>0.46791443850267378</v>
      </c>
    </row>
    <row r="25" spans="1:12" ht="15.75">
      <c r="A25" s="47" t="s">
        <v>53</v>
      </c>
      <c r="B25" s="31" t="s">
        <v>34</v>
      </c>
      <c r="C25" s="32" t="s">
        <v>54</v>
      </c>
      <c r="D25" s="48" t="s">
        <v>109</v>
      </c>
      <c r="E25" s="49" t="s">
        <v>34</v>
      </c>
      <c r="F25" s="50" t="s">
        <v>110</v>
      </c>
      <c r="G25" s="33">
        <v>11</v>
      </c>
      <c r="H25" s="33">
        <f t="shared" si="2"/>
        <v>348</v>
      </c>
      <c r="I25" s="33">
        <v>61</v>
      </c>
      <c r="J25" s="33">
        <f t="shared" si="3"/>
        <v>223</v>
      </c>
      <c r="K25" s="33">
        <f t="shared" si="0"/>
        <v>125</v>
      </c>
      <c r="L25" s="51">
        <f t="shared" si="1"/>
        <v>0.33422459893048129</v>
      </c>
    </row>
    <row r="26" spans="1:12" ht="15.75">
      <c r="A26" s="47" t="s">
        <v>54</v>
      </c>
      <c r="B26" s="31" t="s">
        <v>34</v>
      </c>
      <c r="C26" s="32" t="s">
        <v>55</v>
      </c>
      <c r="D26" s="48" t="s">
        <v>110</v>
      </c>
      <c r="E26" s="49" t="s">
        <v>34</v>
      </c>
      <c r="F26" s="50" t="s">
        <v>111</v>
      </c>
      <c r="G26" s="33">
        <v>8</v>
      </c>
      <c r="H26" s="33">
        <f t="shared" si="2"/>
        <v>356</v>
      </c>
      <c r="I26" s="33">
        <v>34</v>
      </c>
      <c r="J26" s="33">
        <f t="shared" si="3"/>
        <v>257</v>
      </c>
      <c r="K26" s="33">
        <f t="shared" si="0"/>
        <v>99</v>
      </c>
      <c r="L26" s="51">
        <f t="shared" si="1"/>
        <v>0.26470588235294118</v>
      </c>
    </row>
    <row r="27" spans="1:12" ht="15.75">
      <c r="A27" s="47" t="s">
        <v>55</v>
      </c>
      <c r="B27" s="31" t="s">
        <v>34</v>
      </c>
      <c r="C27" s="32" t="s">
        <v>56</v>
      </c>
      <c r="D27" s="48" t="s">
        <v>111</v>
      </c>
      <c r="E27" s="49" t="s">
        <v>34</v>
      </c>
      <c r="F27" s="50" t="s">
        <v>110</v>
      </c>
      <c r="G27" s="33">
        <v>8</v>
      </c>
      <c r="H27" s="33">
        <f t="shared" si="2"/>
        <v>364</v>
      </c>
      <c r="I27" s="33">
        <v>29</v>
      </c>
      <c r="J27" s="33">
        <f t="shared" si="3"/>
        <v>286</v>
      </c>
      <c r="K27" s="33">
        <f t="shared" si="0"/>
        <v>78</v>
      </c>
      <c r="L27" s="51">
        <f t="shared" si="1"/>
        <v>0.20855614973262032</v>
      </c>
    </row>
    <row r="28" spans="1:12" ht="15.75">
      <c r="A28" s="47" t="s">
        <v>56</v>
      </c>
      <c r="B28" s="31" t="s">
        <v>34</v>
      </c>
      <c r="C28" s="32" t="s">
        <v>57</v>
      </c>
      <c r="D28" s="48" t="s">
        <v>110</v>
      </c>
      <c r="E28" s="49" t="s">
        <v>34</v>
      </c>
      <c r="F28" s="50" t="s">
        <v>109</v>
      </c>
      <c r="G28" s="33">
        <v>7</v>
      </c>
      <c r="H28" s="33">
        <f t="shared" si="2"/>
        <v>371</v>
      </c>
      <c r="I28" s="33">
        <v>23</v>
      </c>
      <c r="J28" s="33">
        <f t="shared" si="3"/>
        <v>309</v>
      </c>
      <c r="K28" s="33">
        <f t="shared" si="0"/>
        <v>62</v>
      </c>
      <c r="L28" s="51">
        <f t="shared" si="1"/>
        <v>0.16577540106951871</v>
      </c>
    </row>
    <row r="29" spans="1:12" ht="15.75">
      <c r="A29" s="47" t="s">
        <v>57</v>
      </c>
      <c r="B29" s="31" t="s">
        <v>34</v>
      </c>
      <c r="C29" s="32" t="s">
        <v>58</v>
      </c>
      <c r="D29" s="48" t="s">
        <v>109</v>
      </c>
      <c r="E29" s="49" t="s">
        <v>34</v>
      </c>
      <c r="F29" s="50" t="s">
        <v>108</v>
      </c>
      <c r="G29" s="33">
        <v>1</v>
      </c>
      <c r="H29" s="33">
        <f t="shared" si="2"/>
        <v>372</v>
      </c>
      <c r="I29" s="33">
        <v>22</v>
      </c>
      <c r="J29" s="33">
        <f t="shared" si="3"/>
        <v>331</v>
      </c>
      <c r="K29" s="33">
        <f t="shared" si="0"/>
        <v>41</v>
      </c>
      <c r="L29" s="51">
        <f t="shared" si="1"/>
        <v>0.10962566844919786</v>
      </c>
    </row>
    <row r="30" spans="1:12" ht="15.75">
      <c r="A30" s="47" t="s">
        <v>58</v>
      </c>
      <c r="B30" s="31" t="s">
        <v>34</v>
      </c>
      <c r="C30" s="32" t="s">
        <v>59</v>
      </c>
      <c r="D30" s="48" t="s">
        <v>108</v>
      </c>
      <c r="E30" s="49" t="s">
        <v>34</v>
      </c>
      <c r="F30" s="50" t="s">
        <v>107</v>
      </c>
      <c r="G30" s="33">
        <v>0</v>
      </c>
      <c r="H30" s="33">
        <f t="shared" si="2"/>
        <v>372</v>
      </c>
      <c r="I30" s="33">
        <v>21</v>
      </c>
      <c r="J30" s="33">
        <f t="shared" si="3"/>
        <v>352</v>
      </c>
      <c r="K30" s="33">
        <f t="shared" si="0"/>
        <v>20</v>
      </c>
      <c r="L30" s="51">
        <f t="shared" si="1"/>
        <v>5.3475935828877004E-2</v>
      </c>
    </row>
    <row r="31" spans="1:12" ht="15.75">
      <c r="A31" s="47" t="s">
        <v>59</v>
      </c>
      <c r="B31" s="31" t="s">
        <v>34</v>
      </c>
      <c r="C31" s="32" t="s">
        <v>60</v>
      </c>
      <c r="D31" s="48" t="s">
        <v>107</v>
      </c>
      <c r="E31" s="49" t="s">
        <v>34</v>
      </c>
      <c r="F31" s="50" t="s">
        <v>106</v>
      </c>
      <c r="G31" s="33">
        <v>2</v>
      </c>
      <c r="H31" s="33">
        <f t="shared" si="2"/>
        <v>374</v>
      </c>
      <c r="I31" s="33">
        <v>16</v>
      </c>
      <c r="J31" s="33">
        <f t="shared" si="3"/>
        <v>368</v>
      </c>
      <c r="K31" s="33">
        <f t="shared" si="0"/>
        <v>6</v>
      </c>
      <c r="L31" s="51">
        <f t="shared" si="1"/>
        <v>1.6042780748663103E-2</v>
      </c>
    </row>
    <row r="32" spans="1:12" ht="15.75">
      <c r="A32" s="47" t="s">
        <v>60</v>
      </c>
      <c r="B32" s="31" t="s">
        <v>34</v>
      </c>
      <c r="C32" s="32" t="s">
        <v>61</v>
      </c>
      <c r="D32" s="48" t="s">
        <v>106</v>
      </c>
      <c r="E32" s="49" t="s">
        <v>34</v>
      </c>
      <c r="F32" s="50" t="s">
        <v>105</v>
      </c>
      <c r="G32" s="33"/>
      <c r="H32" s="33"/>
      <c r="I32" s="33"/>
      <c r="J32" s="33"/>
      <c r="K32" s="33"/>
      <c r="L32" s="51"/>
    </row>
    <row r="33" spans="1:12" ht="15.75">
      <c r="A33" s="47" t="s">
        <v>61</v>
      </c>
      <c r="B33" s="31" t="s">
        <v>34</v>
      </c>
      <c r="C33" s="32" t="s">
        <v>62</v>
      </c>
      <c r="D33" s="48" t="s">
        <v>105</v>
      </c>
      <c r="E33" s="49" t="s">
        <v>34</v>
      </c>
      <c r="F33" s="50" t="s">
        <v>104</v>
      </c>
      <c r="G33" s="33"/>
      <c r="H33" s="33"/>
      <c r="I33" s="33"/>
      <c r="J33" s="33"/>
      <c r="K33" s="33"/>
      <c r="L33" s="51"/>
    </row>
    <row r="34" spans="1:12" ht="15.75">
      <c r="A34" s="47" t="s">
        <v>62</v>
      </c>
      <c r="B34" s="31" t="s">
        <v>34</v>
      </c>
      <c r="C34" s="32" t="s">
        <v>63</v>
      </c>
      <c r="D34" s="48" t="s">
        <v>104</v>
      </c>
      <c r="E34" s="49" t="s">
        <v>34</v>
      </c>
      <c r="F34" s="50" t="s">
        <v>103</v>
      </c>
      <c r="G34" s="33"/>
      <c r="H34" s="33"/>
      <c r="I34" s="33"/>
      <c r="J34" s="33"/>
      <c r="K34" s="33"/>
      <c r="L34" s="51"/>
    </row>
    <row r="35" spans="1:12" ht="15">
      <c r="A35" s="30"/>
      <c r="B35" s="31"/>
      <c r="C35" s="32"/>
      <c r="D35" s="30"/>
      <c r="E35" s="31"/>
      <c r="F35" s="32"/>
      <c r="G35" s="33"/>
      <c r="H35" s="33"/>
      <c r="I35" s="33"/>
      <c r="J35" s="33"/>
      <c r="K35" s="33"/>
      <c r="L35" s="33"/>
    </row>
    <row r="36" spans="1:12" ht="15">
      <c r="A36" s="30"/>
      <c r="B36" s="31"/>
      <c r="C36" s="32"/>
      <c r="D36" s="30"/>
      <c r="E36" s="31"/>
      <c r="F36" s="32"/>
      <c r="G36" s="33"/>
      <c r="H36" s="33"/>
      <c r="I36" s="33"/>
      <c r="J36" s="33"/>
      <c r="K36" s="33"/>
      <c r="L36" s="33"/>
    </row>
    <row r="37" spans="1:12" ht="18">
      <c r="A37" s="17"/>
      <c r="B37" s="17"/>
      <c r="C37" s="17"/>
      <c r="D37" s="17"/>
      <c r="E37" s="17"/>
      <c r="F37" s="17"/>
      <c r="G37" s="18"/>
      <c r="H37" s="18"/>
      <c r="I37" s="18"/>
      <c r="J37" s="18"/>
      <c r="K37" s="18"/>
      <c r="L37" s="18"/>
    </row>
    <row r="38" spans="1:12" ht="18">
      <c r="A38" s="29" t="s">
        <v>94</v>
      </c>
      <c r="B38" s="11"/>
      <c r="C38" s="11"/>
      <c r="D38" s="11"/>
      <c r="E38" s="11"/>
      <c r="F38" s="11"/>
      <c r="G38" s="1">
        <v>12</v>
      </c>
      <c r="I38" s="1"/>
      <c r="J38" s="11"/>
      <c r="K38" s="1"/>
      <c r="L38" s="1"/>
    </row>
    <row r="39" spans="1:12" ht="18">
      <c r="A39" s="11"/>
      <c r="B39" s="11"/>
      <c r="C39" s="11"/>
      <c r="D39" s="11"/>
      <c r="E39" s="11"/>
      <c r="F39" s="11"/>
      <c r="G39" s="1"/>
      <c r="I39" s="1"/>
      <c r="J39" s="1"/>
      <c r="K39" s="1"/>
      <c r="L39" s="1"/>
    </row>
    <row r="40" spans="1:12" ht="18">
      <c r="A40" s="29" t="s">
        <v>95</v>
      </c>
      <c r="B40" s="11"/>
      <c r="C40" s="11"/>
      <c r="D40" s="11"/>
      <c r="E40" s="11"/>
      <c r="F40" s="11"/>
      <c r="G40" s="1">
        <v>6</v>
      </c>
      <c r="I40" s="1"/>
      <c r="J40" s="1"/>
      <c r="K40" s="1"/>
      <c r="L40" s="1"/>
    </row>
  </sheetData>
  <mergeCells count="9">
    <mergeCell ref="D13:F13"/>
    <mergeCell ref="A14:C14"/>
    <mergeCell ref="D14:F14"/>
    <mergeCell ref="A1:L1"/>
    <mergeCell ref="A3:L3"/>
    <mergeCell ref="A8:L8"/>
    <mergeCell ref="D12:F12"/>
    <mergeCell ref="G12:H12"/>
    <mergeCell ref="I12:J12"/>
  </mergeCells>
  <phoneticPr fontId="0" type="noConversion"/>
  <pageMargins left="0.63" right="0.25" top="1" bottom="0.6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selection sqref="A1:L1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4" width="6.5703125" customWidth="1"/>
    <col min="5" max="5" width="1.7109375" customWidth="1"/>
    <col min="6" max="6" width="6.42578125" customWidth="1"/>
    <col min="7" max="7" width="10.7109375" customWidth="1"/>
    <col min="8" max="8" width="9" customWidth="1"/>
    <col min="9" max="9" width="10.7109375" customWidth="1"/>
    <col min="10" max="10" width="9" customWidth="1"/>
    <col min="11" max="11" width="10.140625" customWidth="1"/>
    <col min="12" max="12" width="18.5703125" customWidth="1"/>
  </cols>
  <sheetData>
    <row r="1" spans="1:12" ht="18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5.75">
      <c r="A3" s="66" t="s">
        <v>141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15.75">
      <c r="A4" s="11" t="s">
        <v>67</v>
      </c>
      <c r="B4" s="11"/>
      <c r="C4" s="11"/>
      <c r="D4" s="11"/>
      <c r="E4" s="11"/>
      <c r="F4" s="11"/>
    </row>
    <row r="5" spans="1:12" ht="15.75">
      <c r="A5" s="11" t="s">
        <v>65</v>
      </c>
      <c r="B5" s="11"/>
      <c r="C5" s="11"/>
      <c r="D5" s="11"/>
      <c r="E5" s="11"/>
      <c r="F5" s="11"/>
      <c r="K5" s="11" t="s">
        <v>142</v>
      </c>
    </row>
    <row r="6" spans="1:12" ht="15.75">
      <c r="A6" s="11" t="s">
        <v>66</v>
      </c>
      <c r="B6" s="11"/>
      <c r="C6" s="11"/>
      <c r="D6" s="11"/>
      <c r="E6" s="11"/>
      <c r="F6" s="11"/>
    </row>
    <row r="7" spans="1:12" ht="15.75">
      <c r="A7" s="11"/>
      <c r="B7" s="11"/>
      <c r="C7" s="11"/>
      <c r="D7" s="11"/>
      <c r="E7" s="11"/>
      <c r="F7" s="11"/>
    </row>
    <row r="8" spans="1:12" ht="15.75">
      <c r="A8" s="67" t="s">
        <v>31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</row>
    <row r="9" spans="1:12" ht="18">
      <c r="A9" s="53" t="s">
        <v>146</v>
      </c>
      <c r="B9" s="14"/>
      <c r="C9" s="14"/>
      <c r="D9" s="14"/>
      <c r="E9" s="14"/>
      <c r="F9" s="14"/>
      <c r="G9" s="13"/>
      <c r="H9" s="13"/>
      <c r="I9" s="13"/>
      <c r="J9" s="13"/>
      <c r="K9" s="13"/>
      <c r="L9" s="13"/>
    </row>
    <row r="10" spans="1:12" ht="18">
      <c r="A10" s="53" t="s">
        <v>147</v>
      </c>
      <c r="B10" s="14"/>
      <c r="C10" s="14"/>
      <c r="D10" s="14"/>
      <c r="E10" s="14"/>
      <c r="F10" s="14"/>
      <c r="G10" s="13"/>
      <c r="H10" s="13"/>
      <c r="I10" s="13"/>
      <c r="J10" s="13"/>
      <c r="K10" s="13"/>
      <c r="L10" s="13"/>
    </row>
    <row r="11" spans="1:12" ht="18">
      <c r="A11" s="54" t="s">
        <v>148</v>
      </c>
      <c r="B11" s="18"/>
      <c r="C11" s="18"/>
      <c r="D11" s="18"/>
      <c r="E11" s="18"/>
      <c r="F11" s="18"/>
      <c r="G11" s="12"/>
      <c r="H11" s="12"/>
      <c r="I11" s="12"/>
      <c r="J11" s="12"/>
      <c r="K11" s="12"/>
      <c r="L11" s="12"/>
    </row>
    <row r="12" spans="1:12" ht="15.75">
      <c r="A12" s="36"/>
      <c r="B12" s="37"/>
      <c r="C12" s="37"/>
      <c r="D12" s="68" t="s">
        <v>98</v>
      </c>
      <c r="E12" s="69"/>
      <c r="F12" s="70"/>
      <c r="G12" s="71" t="s">
        <v>2</v>
      </c>
      <c r="H12" s="72"/>
      <c r="I12" s="73" t="s">
        <v>5</v>
      </c>
      <c r="J12" s="71"/>
      <c r="K12" s="40" t="s">
        <v>4</v>
      </c>
      <c r="L12" s="41" t="s">
        <v>6</v>
      </c>
    </row>
    <row r="13" spans="1:12" ht="15.75">
      <c r="A13" s="42" t="s">
        <v>0</v>
      </c>
      <c r="B13" s="43"/>
      <c r="C13" s="43"/>
      <c r="D13" s="56" t="s">
        <v>113</v>
      </c>
      <c r="E13" s="57"/>
      <c r="F13" s="58"/>
      <c r="G13" s="38" t="s">
        <v>3</v>
      </c>
      <c r="H13" s="44" t="s">
        <v>4</v>
      </c>
      <c r="I13" s="44" t="s">
        <v>3</v>
      </c>
      <c r="J13" s="39" t="s">
        <v>4</v>
      </c>
      <c r="K13" s="45" t="s">
        <v>8</v>
      </c>
      <c r="L13" s="46" t="s">
        <v>7</v>
      </c>
    </row>
    <row r="14" spans="1:12" ht="15.75">
      <c r="A14" s="59" t="s">
        <v>1</v>
      </c>
      <c r="B14" s="60"/>
      <c r="C14" s="61"/>
      <c r="D14" s="62" t="s">
        <v>112</v>
      </c>
      <c r="E14" s="63"/>
      <c r="F14" s="64"/>
      <c r="G14" s="35">
        <v>39</v>
      </c>
      <c r="H14" s="34">
        <f>G14</f>
        <v>39</v>
      </c>
      <c r="I14" s="33"/>
      <c r="J14" s="34">
        <f>I14</f>
        <v>0</v>
      </c>
      <c r="K14" s="33">
        <f>H14-J14</f>
        <v>39</v>
      </c>
      <c r="L14" s="51">
        <f>K14/$H$30</f>
        <v>5.5162659123055166E-2</v>
      </c>
    </row>
    <row r="15" spans="1:12" ht="15.75">
      <c r="A15" s="47" t="s">
        <v>68</v>
      </c>
      <c r="B15" s="31" t="s">
        <v>34</v>
      </c>
      <c r="C15" s="32" t="s">
        <v>69</v>
      </c>
      <c r="D15" s="48" t="s">
        <v>99</v>
      </c>
      <c r="E15" s="49" t="s">
        <v>34</v>
      </c>
      <c r="F15" s="50" t="s">
        <v>100</v>
      </c>
      <c r="G15" s="33">
        <v>29</v>
      </c>
      <c r="H15" s="33">
        <f>H14+G15</f>
        <v>68</v>
      </c>
      <c r="I15" s="33">
        <v>2</v>
      </c>
      <c r="J15" s="33">
        <f>J14+I15</f>
        <v>2</v>
      </c>
      <c r="K15" s="33">
        <f t="shared" ref="K15:K30" si="0">H15-J15</f>
        <v>66</v>
      </c>
      <c r="L15" s="51">
        <f t="shared" ref="L15:L30" si="1">K15/$H$30</f>
        <v>9.3352192362093356E-2</v>
      </c>
    </row>
    <row r="16" spans="1:12" ht="15.75">
      <c r="A16" s="47" t="s">
        <v>69</v>
      </c>
      <c r="B16" s="31" t="s">
        <v>34</v>
      </c>
      <c r="C16" s="32" t="s">
        <v>70</v>
      </c>
      <c r="D16" s="48" t="s">
        <v>100</v>
      </c>
      <c r="E16" s="49" t="s">
        <v>34</v>
      </c>
      <c r="F16" s="50" t="s">
        <v>101</v>
      </c>
      <c r="G16" s="35">
        <v>47</v>
      </c>
      <c r="H16" s="33">
        <f t="shared" ref="H16:H30" si="2">H15+G16</f>
        <v>115</v>
      </c>
      <c r="I16" s="33">
        <v>1</v>
      </c>
      <c r="J16" s="33">
        <f t="shared" ref="J16:J30" si="3">J15+I16</f>
        <v>3</v>
      </c>
      <c r="K16" s="33">
        <f t="shared" si="0"/>
        <v>112</v>
      </c>
      <c r="L16" s="51">
        <f t="shared" si="1"/>
        <v>0.15841584158415842</v>
      </c>
    </row>
    <row r="17" spans="1:12" ht="15.75">
      <c r="A17" s="47" t="s">
        <v>70</v>
      </c>
      <c r="B17" s="31" t="s">
        <v>34</v>
      </c>
      <c r="C17" s="32" t="s">
        <v>71</v>
      </c>
      <c r="D17" s="48" t="s">
        <v>101</v>
      </c>
      <c r="E17" s="49" t="s">
        <v>34</v>
      </c>
      <c r="F17" s="50" t="s">
        <v>102</v>
      </c>
      <c r="G17" s="33">
        <v>78</v>
      </c>
      <c r="H17" s="33">
        <f t="shared" si="2"/>
        <v>193</v>
      </c>
      <c r="I17" s="33">
        <v>3</v>
      </c>
      <c r="J17" s="33">
        <f t="shared" si="3"/>
        <v>6</v>
      </c>
      <c r="K17" s="33">
        <f t="shared" si="0"/>
        <v>187</v>
      </c>
      <c r="L17" s="51">
        <f t="shared" si="1"/>
        <v>0.26449787835926447</v>
      </c>
    </row>
    <row r="18" spans="1:12" ht="15.75">
      <c r="A18" s="47" t="s">
        <v>71</v>
      </c>
      <c r="B18" s="31" t="s">
        <v>34</v>
      </c>
      <c r="C18" s="32" t="s">
        <v>72</v>
      </c>
      <c r="D18" s="48" t="s">
        <v>102</v>
      </c>
      <c r="E18" s="49" t="s">
        <v>34</v>
      </c>
      <c r="F18" s="50" t="s">
        <v>103</v>
      </c>
      <c r="G18" s="33">
        <v>100</v>
      </c>
      <c r="H18" s="33">
        <f t="shared" si="2"/>
        <v>293</v>
      </c>
      <c r="I18" s="33">
        <v>9</v>
      </c>
      <c r="J18" s="33">
        <f t="shared" si="3"/>
        <v>15</v>
      </c>
      <c r="K18" s="33">
        <f t="shared" si="0"/>
        <v>278</v>
      </c>
      <c r="L18" s="51">
        <f t="shared" si="1"/>
        <v>0.39321074964639319</v>
      </c>
    </row>
    <row r="19" spans="1:12" ht="15.75">
      <c r="A19" s="47" t="s">
        <v>72</v>
      </c>
      <c r="B19" s="31" t="s">
        <v>34</v>
      </c>
      <c r="C19" s="32" t="s">
        <v>73</v>
      </c>
      <c r="D19" s="48" t="s">
        <v>103</v>
      </c>
      <c r="E19" s="49" t="s">
        <v>34</v>
      </c>
      <c r="F19" s="50" t="s">
        <v>104</v>
      </c>
      <c r="G19" s="33">
        <v>90</v>
      </c>
      <c r="H19" s="33">
        <f t="shared" si="2"/>
        <v>383</v>
      </c>
      <c r="I19" s="33">
        <v>10</v>
      </c>
      <c r="J19" s="33">
        <f t="shared" si="3"/>
        <v>25</v>
      </c>
      <c r="K19" s="33">
        <f t="shared" si="0"/>
        <v>358</v>
      </c>
      <c r="L19" s="51">
        <f t="shared" si="1"/>
        <v>0.50636492220650642</v>
      </c>
    </row>
    <row r="20" spans="1:12" ht="15.75">
      <c r="A20" s="47" t="s">
        <v>73</v>
      </c>
      <c r="B20" s="31" t="s">
        <v>34</v>
      </c>
      <c r="C20" s="32" t="s">
        <v>74</v>
      </c>
      <c r="D20" s="48" t="s">
        <v>104</v>
      </c>
      <c r="E20" s="49" t="s">
        <v>34</v>
      </c>
      <c r="F20" s="50" t="s">
        <v>105</v>
      </c>
      <c r="G20" s="33">
        <v>78</v>
      </c>
      <c r="H20" s="33">
        <f t="shared" si="2"/>
        <v>461</v>
      </c>
      <c r="I20" s="33">
        <v>22</v>
      </c>
      <c r="J20" s="33">
        <f t="shared" si="3"/>
        <v>47</v>
      </c>
      <c r="K20" s="33">
        <f t="shared" si="0"/>
        <v>414</v>
      </c>
      <c r="L20" s="51">
        <f t="shared" si="1"/>
        <v>0.58557284299858559</v>
      </c>
    </row>
    <row r="21" spans="1:12" ht="15.75">
      <c r="A21" s="47" t="s">
        <v>74</v>
      </c>
      <c r="B21" s="31" t="s">
        <v>34</v>
      </c>
      <c r="C21" s="32" t="s">
        <v>75</v>
      </c>
      <c r="D21" s="48" t="s">
        <v>105</v>
      </c>
      <c r="E21" s="49" t="s">
        <v>34</v>
      </c>
      <c r="F21" s="50" t="s">
        <v>106</v>
      </c>
      <c r="G21" s="33">
        <v>71</v>
      </c>
      <c r="H21" s="33">
        <f t="shared" si="2"/>
        <v>532</v>
      </c>
      <c r="I21" s="33">
        <v>40</v>
      </c>
      <c r="J21" s="33">
        <f t="shared" si="3"/>
        <v>87</v>
      </c>
      <c r="K21" s="33">
        <f t="shared" si="0"/>
        <v>445</v>
      </c>
      <c r="L21" s="51">
        <f t="shared" si="1"/>
        <v>0.62942008486562939</v>
      </c>
    </row>
    <row r="22" spans="1:12" ht="15.75">
      <c r="A22" s="47" t="s">
        <v>75</v>
      </c>
      <c r="B22" s="31" t="s">
        <v>34</v>
      </c>
      <c r="C22" s="32" t="s">
        <v>76</v>
      </c>
      <c r="D22" s="48" t="s">
        <v>106</v>
      </c>
      <c r="E22" s="49" t="s">
        <v>34</v>
      </c>
      <c r="F22" s="50" t="s">
        <v>107</v>
      </c>
      <c r="G22" s="33">
        <v>46</v>
      </c>
      <c r="H22" s="33">
        <f t="shared" si="2"/>
        <v>578</v>
      </c>
      <c r="I22" s="33">
        <v>60</v>
      </c>
      <c r="J22" s="33">
        <f t="shared" si="3"/>
        <v>147</v>
      </c>
      <c r="K22" s="33">
        <f t="shared" si="0"/>
        <v>431</v>
      </c>
      <c r="L22" s="51">
        <f t="shared" si="1"/>
        <v>0.60961810466760957</v>
      </c>
    </row>
    <row r="23" spans="1:12" ht="15.75">
      <c r="A23" s="47" t="s">
        <v>76</v>
      </c>
      <c r="B23" s="31" t="s">
        <v>34</v>
      </c>
      <c r="C23" s="32" t="s">
        <v>77</v>
      </c>
      <c r="D23" s="48" t="s">
        <v>107</v>
      </c>
      <c r="E23" s="49" t="s">
        <v>34</v>
      </c>
      <c r="F23" s="50" t="s">
        <v>108</v>
      </c>
      <c r="G23" s="33">
        <v>35</v>
      </c>
      <c r="H23" s="33">
        <f t="shared" si="2"/>
        <v>613</v>
      </c>
      <c r="I23" s="33">
        <v>54</v>
      </c>
      <c r="J23" s="33">
        <f t="shared" si="3"/>
        <v>201</v>
      </c>
      <c r="K23" s="33">
        <f t="shared" si="0"/>
        <v>412</v>
      </c>
      <c r="L23" s="51">
        <f t="shared" si="1"/>
        <v>0.58274398868458277</v>
      </c>
    </row>
    <row r="24" spans="1:12" ht="15.75">
      <c r="A24" s="47" t="s">
        <v>77</v>
      </c>
      <c r="B24" s="31" t="s">
        <v>34</v>
      </c>
      <c r="C24" s="32" t="s">
        <v>78</v>
      </c>
      <c r="D24" s="48" t="s">
        <v>108</v>
      </c>
      <c r="E24" s="49" t="s">
        <v>34</v>
      </c>
      <c r="F24" s="50" t="s">
        <v>109</v>
      </c>
      <c r="G24" s="33">
        <v>28</v>
      </c>
      <c r="H24" s="33">
        <f t="shared" si="2"/>
        <v>641</v>
      </c>
      <c r="I24" s="33">
        <v>49</v>
      </c>
      <c r="J24" s="33">
        <f t="shared" si="3"/>
        <v>250</v>
      </c>
      <c r="K24" s="33">
        <f t="shared" si="0"/>
        <v>391</v>
      </c>
      <c r="L24" s="51">
        <f t="shared" si="1"/>
        <v>0.55304101838755304</v>
      </c>
    </row>
    <row r="25" spans="1:12" ht="15.75">
      <c r="A25" s="47" t="s">
        <v>78</v>
      </c>
      <c r="B25" s="31" t="s">
        <v>34</v>
      </c>
      <c r="C25" s="32" t="s">
        <v>79</v>
      </c>
      <c r="D25" s="48" t="s">
        <v>109</v>
      </c>
      <c r="E25" s="49" t="s">
        <v>34</v>
      </c>
      <c r="F25" s="50" t="s">
        <v>110</v>
      </c>
      <c r="G25" s="33">
        <v>12</v>
      </c>
      <c r="H25" s="33">
        <f t="shared" si="2"/>
        <v>653</v>
      </c>
      <c r="I25" s="33">
        <v>64</v>
      </c>
      <c r="J25" s="33">
        <f t="shared" si="3"/>
        <v>314</v>
      </c>
      <c r="K25" s="33">
        <f t="shared" si="0"/>
        <v>339</v>
      </c>
      <c r="L25" s="51">
        <f t="shared" si="1"/>
        <v>0.4794908062234795</v>
      </c>
    </row>
    <row r="26" spans="1:12" ht="15.75">
      <c r="A26" s="47" t="s">
        <v>79</v>
      </c>
      <c r="B26" s="31" t="s">
        <v>34</v>
      </c>
      <c r="C26" s="32" t="s">
        <v>80</v>
      </c>
      <c r="D26" s="48" t="s">
        <v>110</v>
      </c>
      <c r="E26" s="49" t="s">
        <v>34</v>
      </c>
      <c r="F26" s="50" t="s">
        <v>111</v>
      </c>
      <c r="G26" s="33">
        <v>12</v>
      </c>
      <c r="H26" s="33">
        <f t="shared" si="2"/>
        <v>665</v>
      </c>
      <c r="I26" s="33">
        <v>65</v>
      </c>
      <c r="J26" s="33">
        <f t="shared" si="3"/>
        <v>379</v>
      </c>
      <c r="K26" s="33">
        <f t="shared" si="0"/>
        <v>286</v>
      </c>
      <c r="L26" s="51">
        <f t="shared" si="1"/>
        <v>0.4045261669024045</v>
      </c>
    </row>
    <row r="27" spans="1:12" ht="15.75">
      <c r="A27" s="47" t="s">
        <v>80</v>
      </c>
      <c r="B27" s="31" t="s">
        <v>34</v>
      </c>
      <c r="C27" s="32" t="s">
        <v>81</v>
      </c>
      <c r="D27" s="48" t="s">
        <v>111</v>
      </c>
      <c r="E27" s="49" t="s">
        <v>34</v>
      </c>
      <c r="F27" s="50" t="s">
        <v>110</v>
      </c>
      <c r="G27" s="33">
        <v>15</v>
      </c>
      <c r="H27" s="33">
        <f t="shared" si="2"/>
        <v>680</v>
      </c>
      <c r="I27" s="33">
        <v>63</v>
      </c>
      <c r="J27" s="33">
        <f t="shared" si="3"/>
        <v>442</v>
      </c>
      <c r="K27" s="33">
        <f t="shared" si="0"/>
        <v>238</v>
      </c>
      <c r="L27" s="51">
        <f t="shared" si="1"/>
        <v>0.33663366336633666</v>
      </c>
    </row>
    <row r="28" spans="1:12" ht="15.75">
      <c r="A28" s="47" t="s">
        <v>81</v>
      </c>
      <c r="B28" s="31" t="s">
        <v>34</v>
      </c>
      <c r="C28" s="32" t="s">
        <v>82</v>
      </c>
      <c r="D28" s="48" t="s">
        <v>110</v>
      </c>
      <c r="E28" s="49" t="s">
        <v>34</v>
      </c>
      <c r="F28" s="50" t="s">
        <v>109</v>
      </c>
      <c r="G28" s="33">
        <v>11</v>
      </c>
      <c r="H28" s="33">
        <f t="shared" si="2"/>
        <v>691</v>
      </c>
      <c r="I28" s="33">
        <v>51</v>
      </c>
      <c r="J28" s="33">
        <f t="shared" si="3"/>
        <v>493</v>
      </c>
      <c r="K28" s="33">
        <f t="shared" si="0"/>
        <v>198</v>
      </c>
      <c r="L28" s="51">
        <f t="shared" si="1"/>
        <v>0.28005657708628007</v>
      </c>
    </row>
    <row r="29" spans="1:12" ht="15.75">
      <c r="A29" s="47" t="s">
        <v>82</v>
      </c>
      <c r="B29" s="31" t="s">
        <v>34</v>
      </c>
      <c r="C29" s="32" t="s">
        <v>83</v>
      </c>
      <c r="D29" s="48" t="s">
        <v>109</v>
      </c>
      <c r="E29" s="49" t="s">
        <v>34</v>
      </c>
      <c r="F29" s="50" t="s">
        <v>108</v>
      </c>
      <c r="G29" s="33">
        <v>10</v>
      </c>
      <c r="H29" s="33">
        <f t="shared" si="2"/>
        <v>701</v>
      </c>
      <c r="I29" s="33">
        <v>47</v>
      </c>
      <c r="J29" s="33">
        <f t="shared" si="3"/>
        <v>540</v>
      </c>
      <c r="K29" s="33">
        <f t="shared" si="0"/>
        <v>161</v>
      </c>
      <c r="L29" s="51">
        <f t="shared" si="1"/>
        <v>0.22772277227722773</v>
      </c>
    </row>
    <row r="30" spans="1:12" ht="15.75">
      <c r="A30" s="47" t="s">
        <v>83</v>
      </c>
      <c r="B30" s="31" t="s">
        <v>34</v>
      </c>
      <c r="C30" s="32" t="s">
        <v>143</v>
      </c>
      <c r="D30" s="48" t="s">
        <v>108</v>
      </c>
      <c r="E30" s="49" t="s">
        <v>34</v>
      </c>
      <c r="F30" s="50" t="s">
        <v>107</v>
      </c>
      <c r="G30" s="33">
        <v>6</v>
      </c>
      <c r="H30" s="33">
        <f t="shared" si="2"/>
        <v>707</v>
      </c>
      <c r="I30" s="33">
        <v>22</v>
      </c>
      <c r="J30" s="33">
        <f t="shared" si="3"/>
        <v>562</v>
      </c>
      <c r="K30" s="33">
        <f t="shared" si="0"/>
        <v>145</v>
      </c>
      <c r="L30" s="51">
        <f t="shared" si="1"/>
        <v>0.2050919377652051</v>
      </c>
    </row>
    <row r="31" spans="1:12" ht="15.75">
      <c r="A31" s="47" t="s">
        <v>143</v>
      </c>
      <c r="B31" s="31" t="s">
        <v>34</v>
      </c>
      <c r="C31" s="32" t="s">
        <v>85</v>
      </c>
      <c r="D31" s="48" t="s">
        <v>107</v>
      </c>
      <c r="E31" s="49" t="s">
        <v>34</v>
      </c>
      <c r="F31" s="50" t="s">
        <v>106</v>
      </c>
      <c r="G31" s="33"/>
      <c r="H31" s="33"/>
      <c r="I31" s="33"/>
      <c r="J31" s="33"/>
      <c r="K31" s="33"/>
      <c r="L31" s="51"/>
    </row>
    <row r="32" spans="1:12" ht="15.75">
      <c r="A32" s="47" t="s">
        <v>85</v>
      </c>
      <c r="B32" s="31" t="s">
        <v>34</v>
      </c>
      <c r="C32" s="32" t="s">
        <v>86</v>
      </c>
      <c r="D32" s="48" t="s">
        <v>106</v>
      </c>
      <c r="E32" s="49" t="s">
        <v>34</v>
      </c>
      <c r="F32" s="50" t="s">
        <v>105</v>
      </c>
      <c r="G32" s="33"/>
      <c r="H32" s="33"/>
      <c r="I32" s="33"/>
      <c r="J32" s="33"/>
      <c r="K32" s="33"/>
      <c r="L32" s="51"/>
    </row>
    <row r="33" spans="1:12" ht="15.75">
      <c r="A33" s="47" t="s">
        <v>86</v>
      </c>
      <c r="B33" s="31" t="s">
        <v>34</v>
      </c>
      <c r="C33" s="32" t="s">
        <v>87</v>
      </c>
      <c r="D33" s="48" t="s">
        <v>105</v>
      </c>
      <c r="E33" s="49" t="s">
        <v>34</v>
      </c>
      <c r="F33" s="50" t="s">
        <v>104</v>
      </c>
      <c r="G33" s="33"/>
      <c r="H33" s="33"/>
      <c r="I33" s="33"/>
      <c r="J33" s="33"/>
      <c r="K33" s="33"/>
      <c r="L33" s="51"/>
    </row>
    <row r="34" spans="1:12" ht="15.75">
      <c r="A34" s="47" t="s">
        <v>87</v>
      </c>
      <c r="B34" s="31" t="s">
        <v>34</v>
      </c>
      <c r="C34" s="32" t="s">
        <v>88</v>
      </c>
      <c r="D34" s="48" t="s">
        <v>104</v>
      </c>
      <c r="E34" s="49" t="s">
        <v>34</v>
      </c>
      <c r="F34" s="50" t="s">
        <v>103</v>
      </c>
      <c r="G34" s="33"/>
      <c r="H34" s="33"/>
      <c r="I34" s="33"/>
      <c r="J34" s="33"/>
      <c r="K34" s="33"/>
      <c r="L34" s="51"/>
    </row>
    <row r="35" spans="1:12" ht="15">
      <c r="A35" s="30"/>
      <c r="B35" s="31"/>
      <c r="C35" s="32"/>
      <c r="D35" s="30"/>
      <c r="E35" s="31"/>
      <c r="F35" s="32"/>
      <c r="G35" s="33"/>
      <c r="H35" s="33"/>
      <c r="I35" s="33"/>
      <c r="J35" s="33"/>
      <c r="K35" s="33"/>
      <c r="L35" s="33"/>
    </row>
    <row r="36" spans="1:12" ht="15">
      <c r="A36" s="30"/>
      <c r="B36" s="31"/>
      <c r="C36" s="32"/>
      <c r="D36" s="30"/>
      <c r="E36" s="31"/>
      <c r="F36" s="32"/>
      <c r="G36" s="33"/>
      <c r="H36" s="33"/>
      <c r="I36" s="33"/>
      <c r="J36" s="33"/>
      <c r="K36" s="33"/>
      <c r="L36" s="33"/>
    </row>
    <row r="37" spans="1:12" ht="18">
      <c r="A37" s="17"/>
      <c r="B37" s="17"/>
      <c r="C37" s="17"/>
      <c r="D37" s="17"/>
      <c r="E37" s="17"/>
      <c r="F37" s="17"/>
      <c r="G37" s="18"/>
      <c r="H37" s="18"/>
      <c r="I37" s="18"/>
      <c r="J37" s="18"/>
      <c r="K37" s="18"/>
      <c r="L37" s="18"/>
    </row>
    <row r="38" spans="1:12" ht="18">
      <c r="A38" s="29" t="s">
        <v>94</v>
      </c>
      <c r="B38" s="11"/>
      <c r="C38" s="11"/>
      <c r="D38" s="11"/>
      <c r="E38" s="11"/>
      <c r="F38" s="11"/>
      <c r="G38" s="1">
        <v>137</v>
      </c>
      <c r="I38" s="1"/>
      <c r="J38" s="11"/>
      <c r="K38" s="1"/>
      <c r="L38" s="1"/>
    </row>
    <row r="39" spans="1:12" ht="18">
      <c r="A39" s="11"/>
      <c r="B39" s="11"/>
      <c r="C39" s="11"/>
      <c r="D39" s="11"/>
      <c r="E39" s="11"/>
      <c r="F39" s="11"/>
      <c r="G39" s="1"/>
      <c r="I39" s="1"/>
      <c r="J39" s="1"/>
      <c r="K39" s="1"/>
      <c r="L39" s="1"/>
    </row>
    <row r="40" spans="1:12" ht="18">
      <c r="A40" s="29" t="s">
        <v>95</v>
      </c>
      <c r="B40" s="11"/>
      <c r="C40" s="11"/>
      <c r="D40" s="11"/>
      <c r="E40" s="11"/>
      <c r="F40" s="11"/>
      <c r="G40" s="1">
        <v>8</v>
      </c>
      <c r="I40" s="1"/>
      <c r="J40" s="1"/>
      <c r="K40" s="1"/>
      <c r="L40" s="1"/>
    </row>
    <row r="42" spans="1:12" ht="15">
      <c r="A42" s="55" t="s">
        <v>144</v>
      </c>
    </row>
    <row r="43" spans="1:12" ht="15">
      <c r="A43" s="55" t="s">
        <v>145</v>
      </c>
    </row>
  </sheetData>
  <mergeCells count="9">
    <mergeCell ref="D13:F13"/>
    <mergeCell ref="A14:C14"/>
    <mergeCell ref="D14:F14"/>
    <mergeCell ref="A1:L1"/>
    <mergeCell ref="A3:L3"/>
    <mergeCell ref="A8:L8"/>
    <mergeCell ref="D12:F12"/>
    <mergeCell ref="G12:H12"/>
    <mergeCell ref="I12:J12"/>
  </mergeCells>
  <phoneticPr fontId="0" type="noConversion"/>
  <pageMargins left="0.61" right="0.25" top="1" bottom="0.55000000000000004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topLeftCell="A32" workbookViewId="0">
      <selection sqref="A1:I40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7" width="10.7109375" customWidth="1"/>
    <col min="8" max="8" width="15.7109375" customWidth="1"/>
    <col min="9" max="9" width="20.7109375" customWidth="1"/>
  </cols>
  <sheetData>
    <row r="1" spans="1:9" ht="18">
      <c r="A1" s="65" t="s">
        <v>27</v>
      </c>
      <c r="B1" s="65"/>
      <c r="C1" s="65"/>
      <c r="D1" s="65"/>
      <c r="E1" s="65"/>
      <c r="F1" s="65"/>
      <c r="G1" s="65"/>
      <c r="H1" s="65"/>
      <c r="I1" s="65"/>
    </row>
    <row r="2" spans="1:9" ht="18">
      <c r="A2" s="10"/>
      <c r="B2" s="10"/>
      <c r="C2" s="10"/>
      <c r="D2" s="10"/>
      <c r="E2" s="10"/>
      <c r="F2" s="10"/>
      <c r="G2" s="10"/>
      <c r="H2" s="10"/>
      <c r="I2" s="10"/>
    </row>
    <row r="3" spans="1:9" ht="15.75">
      <c r="A3" s="66" t="s">
        <v>29</v>
      </c>
      <c r="B3" s="66"/>
      <c r="C3" s="66"/>
      <c r="D3" s="66"/>
      <c r="E3" s="66"/>
      <c r="F3" s="66"/>
      <c r="G3" s="66"/>
      <c r="H3" s="66"/>
      <c r="I3" s="66"/>
    </row>
    <row r="4" spans="1:9" ht="15.75">
      <c r="A4" s="11" t="s">
        <v>90</v>
      </c>
      <c r="B4" s="11"/>
      <c r="C4" s="11"/>
    </row>
    <row r="5" spans="1:9" ht="15.75">
      <c r="A5" s="11" t="s">
        <v>28</v>
      </c>
      <c r="B5" s="11"/>
      <c r="C5" s="11"/>
      <c r="H5" s="11" t="s">
        <v>39</v>
      </c>
    </row>
    <row r="6" spans="1:9" ht="15.75">
      <c r="A6" s="11" t="s">
        <v>30</v>
      </c>
      <c r="B6" s="11"/>
      <c r="C6" s="11"/>
    </row>
    <row r="7" spans="1:9" ht="15.75">
      <c r="A7" s="11"/>
      <c r="B7" s="11"/>
      <c r="C7" s="11"/>
    </row>
    <row r="8" spans="1:9" ht="15.75">
      <c r="A8" s="67" t="s">
        <v>31</v>
      </c>
      <c r="B8" s="67"/>
      <c r="C8" s="67"/>
      <c r="D8" s="67"/>
      <c r="E8" s="67"/>
      <c r="F8" s="67"/>
      <c r="G8" s="67"/>
      <c r="H8" s="67"/>
      <c r="I8" s="67"/>
    </row>
    <row r="9" spans="1:9" ht="18">
      <c r="A9" s="14"/>
      <c r="B9" s="14"/>
      <c r="C9" s="14"/>
      <c r="D9" s="13"/>
      <c r="E9" s="13"/>
      <c r="F9" s="13"/>
      <c r="G9" s="13"/>
      <c r="H9" s="13"/>
      <c r="I9" s="13"/>
    </row>
    <row r="10" spans="1:9" ht="18">
      <c r="A10" s="14"/>
      <c r="B10" s="14"/>
      <c r="C10" s="14"/>
      <c r="D10" s="13"/>
      <c r="E10" s="13"/>
      <c r="F10" s="13"/>
      <c r="G10" s="13"/>
      <c r="H10" s="13"/>
      <c r="I10" s="13"/>
    </row>
    <row r="11" spans="1:9" ht="18">
      <c r="A11" s="18"/>
      <c r="B11" s="18"/>
      <c r="C11" s="18"/>
      <c r="D11" s="12"/>
      <c r="E11" s="12"/>
      <c r="F11" s="12"/>
      <c r="G11" s="12"/>
      <c r="H11" s="12"/>
      <c r="I11" s="12"/>
    </row>
    <row r="12" spans="1:9" ht="18">
      <c r="A12" s="25"/>
      <c r="B12" s="19"/>
      <c r="C12" s="26"/>
      <c r="D12" s="74" t="s">
        <v>2</v>
      </c>
      <c r="E12" s="75"/>
      <c r="F12" s="76" t="s">
        <v>5</v>
      </c>
      <c r="G12" s="74"/>
      <c r="H12" s="7" t="s">
        <v>4</v>
      </c>
      <c r="I12" s="4" t="s">
        <v>6</v>
      </c>
    </row>
    <row r="13" spans="1:9" ht="18">
      <c r="A13" s="27" t="s">
        <v>0</v>
      </c>
      <c r="B13" s="15"/>
      <c r="C13" s="20"/>
      <c r="D13" s="2" t="s">
        <v>3</v>
      </c>
      <c r="E13" s="5" t="s">
        <v>4</v>
      </c>
      <c r="F13" s="5" t="s">
        <v>3</v>
      </c>
      <c r="G13" s="3" t="s">
        <v>4</v>
      </c>
      <c r="H13" s="9" t="s">
        <v>8</v>
      </c>
      <c r="I13" s="6" t="s">
        <v>7</v>
      </c>
    </row>
    <row r="14" spans="1:9" ht="18">
      <c r="A14" s="24" t="s">
        <v>1</v>
      </c>
      <c r="B14" s="24"/>
      <c r="C14" s="24"/>
      <c r="D14" s="16"/>
      <c r="E14" s="28"/>
      <c r="F14" s="16"/>
      <c r="G14" s="28"/>
      <c r="H14" s="16"/>
      <c r="I14" s="16"/>
    </row>
    <row r="15" spans="1:9" ht="18">
      <c r="A15" s="22" t="s">
        <v>9</v>
      </c>
      <c r="B15" s="23" t="s">
        <v>34</v>
      </c>
      <c r="C15" s="8" t="s">
        <v>10</v>
      </c>
      <c r="D15" s="21"/>
      <c r="E15" s="16"/>
      <c r="F15" s="16"/>
      <c r="G15" s="16"/>
      <c r="H15" s="16"/>
      <c r="I15" s="16"/>
    </row>
    <row r="16" spans="1:9" ht="18">
      <c r="A16" s="22" t="s">
        <v>10</v>
      </c>
      <c r="B16" s="23" t="s">
        <v>34</v>
      </c>
      <c r="C16" s="8" t="s">
        <v>11</v>
      </c>
      <c r="D16" s="16"/>
      <c r="E16" s="16"/>
      <c r="F16" s="16"/>
      <c r="G16" s="16"/>
      <c r="H16" s="16"/>
      <c r="I16" s="16"/>
    </row>
    <row r="17" spans="1:9" ht="18">
      <c r="A17" s="22" t="s">
        <v>11</v>
      </c>
      <c r="B17" s="23" t="s">
        <v>34</v>
      </c>
      <c r="C17" s="8" t="s">
        <v>12</v>
      </c>
      <c r="D17" s="16"/>
      <c r="E17" s="16"/>
      <c r="F17" s="16"/>
      <c r="G17" s="16"/>
      <c r="H17" s="16"/>
      <c r="I17" s="16"/>
    </row>
    <row r="18" spans="1:9" ht="18">
      <c r="A18" s="22" t="s">
        <v>12</v>
      </c>
      <c r="B18" s="23" t="s">
        <v>34</v>
      </c>
      <c r="C18" s="8" t="s">
        <v>13</v>
      </c>
      <c r="D18" s="16"/>
      <c r="E18" s="16"/>
      <c r="F18" s="16"/>
      <c r="G18" s="16"/>
      <c r="H18" s="16"/>
      <c r="I18" s="16"/>
    </row>
    <row r="19" spans="1:9" ht="18">
      <c r="A19" s="22" t="s">
        <v>13</v>
      </c>
      <c r="B19" s="23" t="s">
        <v>34</v>
      </c>
      <c r="C19" s="8" t="s">
        <v>14</v>
      </c>
      <c r="D19" s="16"/>
      <c r="E19" s="16"/>
      <c r="F19" s="16"/>
      <c r="G19" s="16"/>
      <c r="H19" s="16"/>
      <c r="I19" s="16"/>
    </row>
    <row r="20" spans="1:9" ht="18">
      <c r="A20" s="22" t="s">
        <v>14</v>
      </c>
      <c r="B20" s="23" t="s">
        <v>34</v>
      </c>
      <c r="C20" s="8" t="s">
        <v>15</v>
      </c>
      <c r="D20" s="16"/>
      <c r="E20" s="16"/>
      <c r="F20" s="16"/>
      <c r="G20" s="16"/>
      <c r="H20" s="16"/>
      <c r="I20" s="16"/>
    </row>
    <row r="21" spans="1:9" ht="18">
      <c r="A21" s="22" t="s">
        <v>15</v>
      </c>
      <c r="B21" s="23" t="s">
        <v>34</v>
      </c>
      <c r="C21" s="8" t="s">
        <v>16</v>
      </c>
      <c r="D21" s="16"/>
      <c r="E21" s="16"/>
      <c r="F21" s="16"/>
      <c r="G21" s="16"/>
      <c r="H21" s="16"/>
      <c r="I21" s="16"/>
    </row>
    <row r="22" spans="1:9" ht="18">
      <c r="A22" s="22" t="s">
        <v>16</v>
      </c>
      <c r="B22" s="23" t="s">
        <v>34</v>
      </c>
      <c r="C22" s="8" t="s">
        <v>17</v>
      </c>
      <c r="D22" s="16"/>
      <c r="E22" s="16"/>
      <c r="F22" s="16"/>
      <c r="G22" s="16"/>
      <c r="H22" s="16"/>
      <c r="I22" s="16"/>
    </row>
    <row r="23" spans="1:9" ht="18">
      <c r="A23" s="22" t="s">
        <v>17</v>
      </c>
      <c r="B23" s="23" t="s">
        <v>34</v>
      </c>
      <c r="C23" s="8" t="s">
        <v>18</v>
      </c>
      <c r="D23" s="16"/>
      <c r="E23" s="16"/>
      <c r="F23" s="16"/>
      <c r="G23" s="16"/>
      <c r="H23" s="16"/>
      <c r="I23" s="16"/>
    </row>
    <row r="24" spans="1:9" ht="18">
      <c r="A24" s="22" t="s">
        <v>18</v>
      </c>
      <c r="B24" s="23" t="s">
        <v>34</v>
      </c>
      <c r="C24" s="8" t="s">
        <v>19</v>
      </c>
      <c r="D24" s="16"/>
      <c r="E24" s="16"/>
      <c r="F24" s="16"/>
      <c r="G24" s="16"/>
      <c r="H24" s="16"/>
      <c r="I24" s="16"/>
    </row>
    <row r="25" spans="1:9" ht="18">
      <c r="A25" s="22" t="s">
        <v>19</v>
      </c>
      <c r="B25" s="23" t="s">
        <v>34</v>
      </c>
      <c r="C25" s="8" t="s">
        <v>20</v>
      </c>
      <c r="D25" s="16"/>
      <c r="E25" s="16"/>
      <c r="F25" s="16"/>
      <c r="G25" s="16"/>
      <c r="H25" s="16"/>
      <c r="I25" s="16"/>
    </row>
    <row r="26" spans="1:9" ht="18">
      <c r="A26" s="22" t="s">
        <v>20</v>
      </c>
      <c r="B26" s="23" t="s">
        <v>34</v>
      </c>
      <c r="C26" s="8" t="s">
        <v>21</v>
      </c>
      <c r="D26" s="16"/>
      <c r="E26" s="16"/>
      <c r="F26" s="16"/>
      <c r="G26" s="16"/>
      <c r="H26" s="16"/>
      <c r="I26" s="16"/>
    </row>
    <row r="27" spans="1:9" ht="18">
      <c r="A27" s="22" t="s">
        <v>21</v>
      </c>
      <c r="B27" s="23" t="s">
        <v>34</v>
      </c>
      <c r="C27" s="8" t="s">
        <v>22</v>
      </c>
      <c r="D27" s="16"/>
      <c r="E27" s="16"/>
      <c r="F27" s="16"/>
      <c r="G27" s="16"/>
      <c r="H27" s="16"/>
      <c r="I27" s="16"/>
    </row>
    <row r="28" spans="1:9" ht="18">
      <c r="A28" s="22" t="s">
        <v>22</v>
      </c>
      <c r="B28" s="23" t="s">
        <v>34</v>
      </c>
      <c r="C28" s="8" t="s">
        <v>23</v>
      </c>
      <c r="D28" s="16"/>
      <c r="E28" s="16"/>
      <c r="F28" s="16"/>
      <c r="G28" s="16"/>
      <c r="H28" s="16"/>
      <c r="I28" s="16"/>
    </row>
    <row r="29" spans="1:9" ht="18">
      <c r="A29" s="22" t="s">
        <v>23</v>
      </c>
      <c r="B29" s="23" t="s">
        <v>34</v>
      </c>
      <c r="C29" s="8" t="s">
        <v>24</v>
      </c>
      <c r="D29" s="16"/>
      <c r="E29" s="16"/>
      <c r="F29" s="16"/>
      <c r="G29" s="16"/>
      <c r="H29" s="16"/>
      <c r="I29" s="16"/>
    </row>
    <row r="30" spans="1:9" ht="18">
      <c r="A30" s="22" t="s">
        <v>24</v>
      </c>
      <c r="B30" s="23" t="s">
        <v>34</v>
      </c>
      <c r="C30" s="8" t="s">
        <v>25</v>
      </c>
      <c r="D30" s="16"/>
      <c r="E30" s="16"/>
      <c r="F30" s="16"/>
      <c r="G30" s="16"/>
      <c r="H30" s="16"/>
      <c r="I30" s="16"/>
    </row>
    <row r="31" spans="1:9" ht="18">
      <c r="A31" s="22" t="s">
        <v>25</v>
      </c>
      <c r="B31" s="23" t="s">
        <v>34</v>
      </c>
      <c r="C31" s="8" t="s">
        <v>26</v>
      </c>
      <c r="D31" s="16"/>
      <c r="E31" s="16"/>
      <c r="F31" s="16"/>
      <c r="G31" s="16"/>
      <c r="H31" s="16"/>
      <c r="I31" s="16"/>
    </row>
    <row r="32" spans="1:9" ht="18">
      <c r="A32" s="22" t="s">
        <v>26</v>
      </c>
      <c r="B32" s="23" t="s">
        <v>34</v>
      </c>
      <c r="C32" s="8" t="s">
        <v>35</v>
      </c>
      <c r="D32" s="16"/>
      <c r="E32" s="16"/>
      <c r="F32" s="16"/>
      <c r="G32" s="16"/>
      <c r="H32" s="16"/>
      <c r="I32" s="16"/>
    </row>
    <row r="33" spans="1:9" ht="18">
      <c r="A33" s="22" t="s">
        <v>35</v>
      </c>
      <c r="B33" s="23" t="s">
        <v>34</v>
      </c>
      <c r="C33" s="8" t="s">
        <v>36</v>
      </c>
      <c r="D33" s="16"/>
      <c r="E33" s="16"/>
      <c r="F33" s="16"/>
      <c r="G33" s="16"/>
      <c r="H33" s="16"/>
      <c r="I33" s="16"/>
    </row>
    <row r="34" spans="1:9" ht="18">
      <c r="A34" s="22" t="s">
        <v>36</v>
      </c>
      <c r="B34" s="23" t="s">
        <v>34</v>
      </c>
      <c r="C34" s="8" t="s">
        <v>37</v>
      </c>
      <c r="D34" s="16"/>
      <c r="E34" s="16"/>
      <c r="F34" s="16"/>
      <c r="G34" s="16"/>
      <c r="H34" s="16"/>
      <c r="I34" s="16"/>
    </row>
    <row r="35" spans="1:9" ht="18">
      <c r="A35" s="22"/>
      <c r="B35" s="23"/>
      <c r="C35" s="8"/>
      <c r="D35" s="16"/>
      <c r="E35" s="16"/>
      <c r="F35" s="16"/>
      <c r="G35" s="16"/>
      <c r="H35" s="16"/>
      <c r="I35" s="16"/>
    </row>
    <row r="36" spans="1:9" ht="18">
      <c r="A36" s="22"/>
      <c r="B36" s="23"/>
      <c r="C36" s="8"/>
      <c r="D36" s="16"/>
      <c r="E36" s="16"/>
      <c r="F36" s="16"/>
      <c r="G36" s="16"/>
      <c r="H36" s="16"/>
      <c r="I36" s="16"/>
    </row>
    <row r="37" spans="1:9" ht="18">
      <c r="A37" s="17"/>
      <c r="B37" s="17"/>
      <c r="C37" s="17"/>
      <c r="D37" s="18"/>
      <c r="E37" s="18"/>
      <c r="F37" s="18"/>
      <c r="G37" s="18"/>
      <c r="H37" s="18"/>
      <c r="I37" s="18"/>
    </row>
    <row r="38" spans="1:9" ht="18">
      <c r="A38" s="11" t="s">
        <v>32</v>
      </c>
      <c r="B38" s="11"/>
      <c r="C38" s="11"/>
      <c r="D38" s="1"/>
      <c r="E38" s="1"/>
      <c r="F38" s="1"/>
      <c r="G38" s="11"/>
      <c r="H38" s="1"/>
      <c r="I38" s="1"/>
    </row>
    <row r="39" spans="1:9" ht="18">
      <c r="A39" s="11"/>
      <c r="B39" s="11"/>
      <c r="C39" s="11"/>
      <c r="D39" s="1"/>
      <c r="E39" s="1"/>
      <c r="F39" s="1"/>
      <c r="G39" s="1"/>
      <c r="H39" s="1"/>
      <c r="I39" s="1"/>
    </row>
    <row r="40" spans="1:9" ht="18">
      <c r="A40" s="11" t="s">
        <v>33</v>
      </c>
      <c r="B40" s="11"/>
      <c r="C40" s="11"/>
      <c r="D40" s="1"/>
      <c r="E40" s="1"/>
      <c r="F40" s="1"/>
      <c r="G40" s="1"/>
      <c r="H40" s="1"/>
      <c r="I40" s="1"/>
    </row>
    <row r="41" spans="1:9" ht="18">
      <c r="D41" s="1"/>
      <c r="E41" s="1"/>
      <c r="F41" s="1"/>
      <c r="G41" s="1"/>
      <c r="H41" s="1"/>
      <c r="I41" s="1"/>
    </row>
  </sheetData>
  <mergeCells count="5">
    <mergeCell ref="A1:I1"/>
    <mergeCell ref="A3:I3"/>
    <mergeCell ref="A8:I8"/>
    <mergeCell ref="D12:E12"/>
    <mergeCell ref="F12:G12"/>
  </mergeCells>
  <phoneticPr fontId="0" type="noConversion"/>
  <pageMargins left="0.33" right="0.46" top="0.77" bottom="0.53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G14" sqref="G14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7" width="10.7109375" customWidth="1"/>
    <col min="8" max="8" width="15.7109375" customWidth="1"/>
    <col min="9" max="9" width="20.7109375" customWidth="1"/>
  </cols>
  <sheetData>
    <row r="1" spans="1:9" ht="18">
      <c r="A1" s="65" t="s">
        <v>27</v>
      </c>
      <c r="B1" s="65"/>
      <c r="C1" s="65"/>
      <c r="D1" s="65"/>
      <c r="E1" s="65"/>
      <c r="F1" s="65"/>
      <c r="G1" s="65"/>
      <c r="H1" s="65"/>
      <c r="I1" s="65"/>
    </row>
    <row r="2" spans="1:9" ht="18">
      <c r="A2" s="10"/>
      <c r="B2" s="10"/>
      <c r="C2" s="10"/>
      <c r="D2" s="10"/>
      <c r="E2" s="10"/>
      <c r="F2" s="10"/>
      <c r="G2" s="10"/>
      <c r="H2" s="10"/>
      <c r="I2" s="10"/>
    </row>
    <row r="3" spans="1:9" ht="15.75">
      <c r="A3" s="66" t="s">
        <v>29</v>
      </c>
      <c r="B3" s="66"/>
      <c r="C3" s="66"/>
      <c r="D3" s="66"/>
      <c r="E3" s="66"/>
      <c r="F3" s="66"/>
      <c r="G3" s="66"/>
      <c r="H3" s="66"/>
      <c r="I3" s="66"/>
    </row>
    <row r="4" spans="1:9" ht="15.75">
      <c r="A4" s="11" t="s">
        <v>91</v>
      </c>
      <c r="B4" s="11"/>
      <c r="C4" s="11"/>
    </row>
    <row r="5" spans="1:9" ht="15.75">
      <c r="A5" s="11" t="s">
        <v>28</v>
      </c>
      <c r="B5" s="11"/>
      <c r="C5" s="11"/>
      <c r="H5" s="11" t="s">
        <v>39</v>
      </c>
    </row>
    <row r="6" spans="1:9" ht="15.75">
      <c r="A6" s="11" t="s">
        <v>30</v>
      </c>
      <c r="B6" s="11"/>
      <c r="C6" s="11"/>
    </row>
    <row r="7" spans="1:9" ht="15.75">
      <c r="A7" s="11"/>
      <c r="B7" s="11"/>
      <c r="C7" s="11"/>
    </row>
    <row r="8" spans="1:9" ht="15.75">
      <c r="A8" s="67" t="s">
        <v>31</v>
      </c>
      <c r="B8" s="67"/>
      <c r="C8" s="67"/>
      <c r="D8" s="67"/>
      <c r="E8" s="67"/>
      <c r="F8" s="67"/>
      <c r="G8" s="67"/>
      <c r="H8" s="67"/>
      <c r="I8" s="67"/>
    </row>
    <row r="9" spans="1:9" ht="18">
      <c r="A9" s="14"/>
      <c r="B9" s="14"/>
      <c r="C9" s="14"/>
      <c r="D9" s="13"/>
      <c r="E9" s="13"/>
      <c r="F9" s="13"/>
      <c r="G9" s="13"/>
      <c r="H9" s="13"/>
      <c r="I9" s="13"/>
    </row>
    <row r="10" spans="1:9" ht="18">
      <c r="A10" s="14"/>
      <c r="B10" s="14"/>
      <c r="C10" s="14"/>
      <c r="D10" s="13"/>
      <c r="E10" s="13"/>
      <c r="F10" s="13"/>
      <c r="G10" s="13"/>
      <c r="H10" s="13"/>
      <c r="I10" s="13"/>
    </row>
    <row r="11" spans="1:9" ht="18">
      <c r="A11" s="18"/>
      <c r="B11" s="18"/>
      <c r="C11" s="18"/>
      <c r="D11" s="12"/>
      <c r="E11" s="12"/>
      <c r="F11" s="12"/>
      <c r="G11" s="12"/>
      <c r="H11" s="12"/>
      <c r="I11" s="12"/>
    </row>
    <row r="12" spans="1:9" ht="18">
      <c r="A12" s="25"/>
      <c r="B12" s="19"/>
      <c r="C12" s="26"/>
      <c r="D12" s="74" t="s">
        <v>2</v>
      </c>
      <c r="E12" s="75"/>
      <c r="F12" s="76" t="s">
        <v>5</v>
      </c>
      <c r="G12" s="74"/>
      <c r="H12" s="7" t="s">
        <v>4</v>
      </c>
      <c r="I12" s="4" t="s">
        <v>6</v>
      </c>
    </row>
    <row r="13" spans="1:9" ht="18">
      <c r="A13" s="27" t="s">
        <v>0</v>
      </c>
      <c r="B13" s="15"/>
      <c r="C13" s="20"/>
      <c r="D13" s="2" t="s">
        <v>3</v>
      </c>
      <c r="E13" s="5" t="s">
        <v>4</v>
      </c>
      <c r="F13" s="5" t="s">
        <v>3</v>
      </c>
      <c r="G13" s="3" t="s">
        <v>4</v>
      </c>
      <c r="H13" s="9" t="s">
        <v>8</v>
      </c>
      <c r="I13" s="6" t="s">
        <v>7</v>
      </c>
    </row>
    <row r="14" spans="1:9" ht="18">
      <c r="A14" s="24" t="s">
        <v>1</v>
      </c>
      <c r="B14" s="24"/>
      <c r="C14" s="24"/>
      <c r="D14" s="16"/>
      <c r="E14" s="28"/>
      <c r="F14" s="16"/>
      <c r="G14" s="28"/>
      <c r="H14" s="16"/>
      <c r="I14" s="16"/>
    </row>
    <row r="15" spans="1:9" ht="18">
      <c r="A15" s="22" t="s">
        <v>9</v>
      </c>
      <c r="B15" s="23" t="s">
        <v>34</v>
      </c>
      <c r="C15" s="8" t="s">
        <v>10</v>
      </c>
      <c r="D15" s="21"/>
      <c r="E15" s="16"/>
      <c r="F15" s="16"/>
      <c r="G15" s="16"/>
      <c r="H15" s="16"/>
      <c r="I15" s="16"/>
    </row>
    <row r="16" spans="1:9" ht="18">
      <c r="A16" s="22" t="s">
        <v>10</v>
      </c>
      <c r="B16" s="23" t="s">
        <v>34</v>
      </c>
      <c r="C16" s="8" t="s">
        <v>11</v>
      </c>
      <c r="D16" s="16"/>
      <c r="E16" s="16"/>
      <c r="F16" s="16"/>
      <c r="G16" s="16"/>
      <c r="H16" s="16"/>
      <c r="I16" s="16"/>
    </row>
    <row r="17" spans="1:9" ht="18">
      <c r="A17" s="22" t="s">
        <v>11</v>
      </c>
      <c r="B17" s="23" t="s">
        <v>34</v>
      </c>
      <c r="C17" s="8" t="s">
        <v>12</v>
      </c>
      <c r="D17" s="16"/>
      <c r="E17" s="16"/>
      <c r="F17" s="16"/>
      <c r="G17" s="16"/>
      <c r="H17" s="16"/>
      <c r="I17" s="16"/>
    </row>
    <row r="18" spans="1:9" ht="18">
      <c r="A18" s="22" t="s">
        <v>12</v>
      </c>
      <c r="B18" s="23" t="s">
        <v>34</v>
      </c>
      <c r="C18" s="8" t="s">
        <v>13</v>
      </c>
      <c r="D18" s="16"/>
      <c r="E18" s="16"/>
      <c r="F18" s="16"/>
      <c r="G18" s="16"/>
      <c r="H18" s="16"/>
      <c r="I18" s="16"/>
    </row>
    <row r="19" spans="1:9" ht="18">
      <c r="A19" s="22" t="s">
        <v>13</v>
      </c>
      <c r="B19" s="23" t="s">
        <v>34</v>
      </c>
      <c r="C19" s="8" t="s">
        <v>14</v>
      </c>
      <c r="D19" s="16"/>
      <c r="E19" s="16"/>
      <c r="F19" s="16"/>
      <c r="G19" s="16"/>
      <c r="H19" s="16"/>
      <c r="I19" s="16"/>
    </row>
    <row r="20" spans="1:9" ht="18">
      <c r="A20" s="22" t="s">
        <v>14</v>
      </c>
      <c r="B20" s="23" t="s">
        <v>34</v>
      </c>
      <c r="C20" s="8" t="s">
        <v>15</v>
      </c>
      <c r="D20" s="16"/>
      <c r="E20" s="16"/>
      <c r="F20" s="16"/>
      <c r="G20" s="16"/>
      <c r="H20" s="16"/>
      <c r="I20" s="16"/>
    </row>
    <row r="21" spans="1:9" ht="18">
      <c r="A21" s="22" t="s">
        <v>15</v>
      </c>
      <c r="B21" s="23" t="s">
        <v>34</v>
      </c>
      <c r="C21" s="8" t="s">
        <v>16</v>
      </c>
      <c r="D21" s="16"/>
      <c r="E21" s="16"/>
      <c r="F21" s="16"/>
      <c r="G21" s="16"/>
      <c r="H21" s="16"/>
      <c r="I21" s="16"/>
    </row>
    <row r="22" spans="1:9" ht="18">
      <c r="A22" s="22" t="s">
        <v>16</v>
      </c>
      <c r="B22" s="23" t="s">
        <v>34</v>
      </c>
      <c r="C22" s="8" t="s">
        <v>17</v>
      </c>
      <c r="D22" s="16"/>
      <c r="E22" s="16"/>
      <c r="F22" s="16"/>
      <c r="G22" s="16"/>
      <c r="H22" s="16"/>
      <c r="I22" s="16"/>
    </row>
    <row r="23" spans="1:9" ht="18">
      <c r="A23" s="22" t="s">
        <v>17</v>
      </c>
      <c r="B23" s="23" t="s">
        <v>34</v>
      </c>
      <c r="C23" s="8" t="s">
        <v>18</v>
      </c>
      <c r="D23" s="16"/>
      <c r="E23" s="16"/>
      <c r="F23" s="16"/>
      <c r="G23" s="16"/>
      <c r="H23" s="16"/>
      <c r="I23" s="16"/>
    </row>
    <row r="24" spans="1:9" ht="18">
      <c r="A24" s="22" t="s">
        <v>18</v>
      </c>
      <c r="B24" s="23" t="s">
        <v>34</v>
      </c>
      <c r="C24" s="8" t="s">
        <v>19</v>
      </c>
      <c r="D24" s="16"/>
      <c r="E24" s="16"/>
      <c r="F24" s="16"/>
      <c r="G24" s="16"/>
      <c r="H24" s="16"/>
      <c r="I24" s="16"/>
    </row>
    <row r="25" spans="1:9" ht="18">
      <c r="A25" s="22" t="s">
        <v>19</v>
      </c>
      <c r="B25" s="23" t="s">
        <v>34</v>
      </c>
      <c r="C25" s="8" t="s">
        <v>20</v>
      </c>
      <c r="D25" s="16"/>
      <c r="E25" s="16"/>
      <c r="F25" s="16"/>
      <c r="G25" s="16"/>
      <c r="H25" s="16"/>
      <c r="I25" s="16"/>
    </row>
    <row r="26" spans="1:9" ht="18">
      <c r="A26" s="22" t="s">
        <v>20</v>
      </c>
      <c r="B26" s="23" t="s">
        <v>34</v>
      </c>
      <c r="C26" s="8" t="s">
        <v>21</v>
      </c>
      <c r="D26" s="16"/>
      <c r="E26" s="16"/>
      <c r="F26" s="16"/>
      <c r="G26" s="16"/>
      <c r="H26" s="16"/>
      <c r="I26" s="16"/>
    </row>
    <row r="27" spans="1:9" ht="18">
      <c r="A27" s="22" t="s">
        <v>21</v>
      </c>
      <c r="B27" s="23" t="s">
        <v>34</v>
      </c>
      <c r="C27" s="8" t="s">
        <v>22</v>
      </c>
      <c r="D27" s="16"/>
      <c r="E27" s="16"/>
      <c r="F27" s="16"/>
      <c r="G27" s="16"/>
      <c r="H27" s="16"/>
      <c r="I27" s="16"/>
    </row>
    <row r="28" spans="1:9" ht="18">
      <c r="A28" s="22" t="s">
        <v>22</v>
      </c>
      <c r="B28" s="23" t="s">
        <v>34</v>
      </c>
      <c r="C28" s="8" t="s">
        <v>23</v>
      </c>
      <c r="D28" s="16"/>
      <c r="E28" s="16"/>
      <c r="F28" s="16"/>
      <c r="G28" s="16"/>
      <c r="H28" s="16"/>
      <c r="I28" s="16"/>
    </row>
    <row r="29" spans="1:9" ht="18">
      <c r="A29" s="22" t="s">
        <v>23</v>
      </c>
      <c r="B29" s="23" t="s">
        <v>34</v>
      </c>
      <c r="C29" s="8" t="s">
        <v>24</v>
      </c>
      <c r="D29" s="16"/>
      <c r="E29" s="16"/>
      <c r="F29" s="16"/>
      <c r="G29" s="16"/>
      <c r="H29" s="16"/>
      <c r="I29" s="16"/>
    </row>
    <row r="30" spans="1:9" ht="18">
      <c r="A30" s="22" t="s">
        <v>24</v>
      </c>
      <c r="B30" s="23" t="s">
        <v>34</v>
      </c>
      <c r="C30" s="8" t="s">
        <v>25</v>
      </c>
      <c r="D30" s="16"/>
      <c r="E30" s="16"/>
      <c r="F30" s="16"/>
      <c r="G30" s="16"/>
      <c r="H30" s="16"/>
      <c r="I30" s="16"/>
    </row>
    <row r="31" spans="1:9" ht="18">
      <c r="A31" s="22" t="s">
        <v>25</v>
      </c>
      <c r="B31" s="23" t="s">
        <v>34</v>
      </c>
      <c r="C31" s="8" t="s">
        <v>26</v>
      </c>
      <c r="D31" s="16"/>
      <c r="E31" s="16"/>
      <c r="F31" s="16"/>
      <c r="G31" s="16"/>
      <c r="H31" s="16"/>
      <c r="I31" s="16"/>
    </row>
    <row r="32" spans="1:9" ht="18">
      <c r="A32" s="22" t="s">
        <v>26</v>
      </c>
      <c r="B32" s="23" t="s">
        <v>34</v>
      </c>
      <c r="C32" s="8" t="s">
        <v>35</v>
      </c>
      <c r="D32" s="16"/>
      <c r="E32" s="16"/>
      <c r="F32" s="16"/>
      <c r="G32" s="16"/>
      <c r="H32" s="16"/>
      <c r="I32" s="16"/>
    </row>
    <row r="33" spans="1:9" ht="18">
      <c r="A33" s="22" t="s">
        <v>35</v>
      </c>
      <c r="B33" s="23" t="s">
        <v>34</v>
      </c>
      <c r="C33" s="8" t="s">
        <v>36</v>
      </c>
      <c r="D33" s="16"/>
      <c r="E33" s="16"/>
      <c r="F33" s="16"/>
      <c r="G33" s="16"/>
      <c r="H33" s="16"/>
      <c r="I33" s="16"/>
    </row>
    <row r="34" spans="1:9" ht="18">
      <c r="A34" s="22" t="s">
        <v>36</v>
      </c>
      <c r="B34" s="23" t="s">
        <v>34</v>
      </c>
      <c r="C34" s="8" t="s">
        <v>37</v>
      </c>
      <c r="D34" s="16"/>
      <c r="E34" s="16"/>
      <c r="F34" s="16"/>
      <c r="G34" s="16"/>
      <c r="H34" s="16"/>
      <c r="I34" s="16"/>
    </row>
    <row r="35" spans="1:9" ht="18">
      <c r="A35" s="22"/>
      <c r="B35" s="23"/>
      <c r="C35" s="8"/>
      <c r="D35" s="16"/>
      <c r="E35" s="16"/>
      <c r="F35" s="16"/>
      <c r="G35" s="16"/>
      <c r="H35" s="16"/>
      <c r="I35" s="16"/>
    </row>
    <row r="36" spans="1:9" ht="18">
      <c r="A36" s="22"/>
      <c r="B36" s="23"/>
      <c r="C36" s="8"/>
      <c r="D36" s="16"/>
      <c r="E36" s="16"/>
      <c r="F36" s="16"/>
      <c r="G36" s="16"/>
      <c r="H36" s="16"/>
      <c r="I36" s="16"/>
    </row>
    <row r="37" spans="1:9" ht="18">
      <c r="A37" s="17"/>
      <c r="B37" s="17"/>
      <c r="C37" s="17"/>
      <c r="D37" s="18"/>
      <c r="E37" s="18"/>
      <c r="F37" s="18"/>
      <c r="G37" s="18"/>
      <c r="H37" s="18"/>
      <c r="I37" s="18"/>
    </row>
    <row r="38" spans="1:9" ht="18">
      <c r="A38" s="11" t="s">
        <v>32</v>
      </c>
      <c r="B38" s="11"/>
      <c r="C38" s="11"/>
      <c r="D38" s="1"/>
      <c r="E38" s="1"/>
      <c r="F38" s="1"/>
      <c r="G38" s="11"/>
      <c r="H38" s="1"/>
      <c r="I38" s="1"/>
    </row>
    <row r="39" spans="1:9" ht="18">
      <c r="A39" s="11"/>
      <c r="B39" s="11"/>
      <c r="C39" s="11"/>
      <c r="D39" s="1"/>
      <c r="E39" s="1"/>
      <c r="F39" s="1"/>
      <c r="G39" s="1"/>
      <c r="H39" s="1"/>
      <c r="I39" s="1"/>
    </row>
    <row r="40" spans="1:9" ht="18">
      <c r="A40" s="11" t="s">
        <v>33</v>
      </c>
      <c r="B40" s="11"/>
      <c r="C40" s="11"/>
      <c r="D40" s="1"/>
      <c r="E40" s="1"/>
      <c r="F40" s="1"/>
      <c r="G40" s="1"/>
      <c r="H40" s="1"/>
      <c r="I40" s="1"/>
    </row>
    <row r="41" spans="1:9" ht="18">
      <c r="D41" s="1"/>
      <c r="E41" s="1"/>
      <c r="F41" s="1"/>
      <c r="G41" s="1"/>
      <c r="H41" s="1"/>
      <c r="I41" s="1"/>
    </row>
  </sheetData>
  <mergeCells count="5">
    <mergeCell ref="D12:E12"/>
    <mergeCell ref="F12:G12"/>
    <mergeCell ref="A1:I1"/>
    <mergeCell ref="A8:I8"/>
    <mergeCell ref="A3:I3"/>
  </mergeCells>
  <phoneticPr fontId="0" type="noConversion"/>
  <pageMargins left="0.44" right="0.5" top="0.68" bottom="0.5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0"/>
  <sheetViews>
    <sheetView topLeftCell="A16" workbookViewId="0">
      <selection activeCell="A15" sqref="A15:C34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7" width="10.7109375" customWidth="1"/>
    <col min="8" max="8" width="15.7109375" customWidth="1"/>
    <col min="9" max="9" width="20.7109375" customWidth="1"/>
  </cols>
  <sheetData>
    <row r="1" spans="1:9" ht="18">
      <c r="A1" s="65" t="s">
        <v>27</v>
      </c>
      <c r="B1" s="65"/>
      <c r="C1" s="65"/>
      <c r="D1" s="65"/>
      <c r="E1" s="65"/>
      <c r="F1" s="65"/>
      <c r="G1" s="65"/>
      <c r="H1" s="65"/>
      <c r="I1" s="65"/>
    </row>
    <row r="2" spans="1:9" ht="18">
      <c r="A2" s="10"/>
      <c r="B2" s="10"/>
      <c r="C2" s="10"/>
      <c r="D2" s="10"/>
      <c r="E2" s="10"/>
      <c r="F2" s="10"/>
      <c r="G2" s="10"/>
      <c r="H2" s="10"/>
      <c r="I2" s="10"/>
    </row>
    <row r="3" spans="1:9" ht="15.75">
      <c r="A3" s="66" t="s">
        <v>93</v>
      </c>
      <c r="B3" s="66"/>
      <c r="C3" s="66"/>
      <c r="D3" s="66"/>
      <c r="E3" s="66"/>
      <c r="F3" s="66"/>
      <c r="G3" s="66"/>
      <c r="H3" s="66"/>
      <c r="I3" s="66"/>
    </row>
    <row r="4" spans="1:9" ht="15.75">
      <c r="A4" s="11" t="s">
        <v>92</v>
      </c>
      <c r="B4" s="11"/>
      <c r="C4" s="11"/>
    </row>
    <row r="5" spans="1:9" ht="15.75">
      <c r="A5" s="11" t="s">
        <v>41</v>
      </c>
      <c r="B5" s="11"/>
      <c r="C5" s="11"/>
      <c r="H5" s="11" t="s">
        <v>39</v>
      </c>
    </row>
    <row r="6" spans="1:9" ht="15.75">
      <c r="A6" s="11" t="s">
        <v>42</v>
      </c>
      <c r="B6" s="11"/>
      <c r="C6" s="11"/>
    </row>
    <row r="7" spans="1:9" ht="15.75">
      <c r="A7" s="11"/>
      <c r="B7" s="11"/>
      <c r="C7" s="11"/>
    </row>
    <row r="8" spans="1:9" ht="15.75">
      <c r="A8" s="67" t="s">
        <v>31</v>
      </c>
      <c r="B8" s="67"/>
      <c r="C8" s="67"/>
      <c r="D8" s="67"/>
      <c r="E8" s="67"/>
      <c r="F8" s="67"/>
      <c r="G8" s="67"/>
      <c r="H8" s="67"/>
      <c r="I8" s="67"/>
    </row>
    <row r="9" spans="1:9" ht="18">
      <c r="A9" s="14"/>
      <c r="B9" s="14"/>
      <c r="C9" s="14"/>
      <c r="D9" s="13"/>
      <c r="E9" s="13"/>
      <c r="F9" s="13"/>
      <c r="G9" s="13"/>
      <c r="H9" s="13"/>
      <c r="I9" s="13"/>
    </row>
    <row r="10" spans="1:9" ht="18">
      <c r="A10" s="14"/>
      <c r="B10" s="14"/>
      <c r="C10" s="14"/>
      <c r="D10" s="13"/>
      <c r="E10" s="13"/>
      <c r="F10" s="13"/>
      <c r="G10" s="13"/>
      <c r="H10" s="13"/>
      <c r="I10" s="13"/>
    </row>
    <row r="11" spans="1:9" ht="18">
      <c r="A11" s="18"/>
      <c r="B11" s="18"/>
      <c r="C11" s="18"/>
      <c r="D11" s="12"/>
      <c r="E11" s="12"/>
      <c r="F11" s="12"/>
      <c r="G11" s="12"/>
      <c r="H11" s="12"/>
      <c r="I11" s="12"/>
    </row>
    <row r="12" spans="1:9" ht="18">
      <c r="A12" s="25"/>
      <c r="B12" s="19"/>
      <c r="C12" s="26"/>
      <c r="D12" s="76" t="s">
        <v>2</v>
      </c>
      <c r="E12" s="75"/>
      <c r="F12" s="76" t="s">
        <v>5</v>
      </c>
      <c r="G12" s="75"/>
      <c r="H12" s="7" t="s">
        <v>4</v>
      </c>
      <c r="I12" s="4" t="s">
        <v>6</v>
      </c>
    </row>
    <row r="13" spans="1:9" ht="18">
      <c r="A13" s="27" t="s">
        <v>0</v>
      </c>
      <c r="B13" s="15"/>
      <c r="C13" s="20"/>
      <c r="D13" s="2" t="s">
        <v>3</v>
      </c>
      <c r="E13" s="5" t="s">
        <v>4</v>
      </c>
      <c r="F13" s="5" t="s">
        <v>3</v>
      </c>
      <c r="G13" s="3" t="s">
        <v>4</v>
      </c>
      <c r="H13" s="9" t="s">
        <v>8</v>
      </c>
      <c r="I13" s="6" t="s">
        <v>7</v>
      </c>
    </row>
    <row r="14" spans="1:9" ht="18">
      <c r="A14" s="24" t="s">
        <v>1</v>
      </c>
      <c r="B14" s="24"/>
      <c r="C14" s="24"/>
      <c r="D14" s="16"/>
      <c r="E14" s="28" t="s">
        <v>38</v>
      </c>
      <c r="F14" s="16"/>
      <c r="G14" s="28" t="s">
        <v>38</v>
      </c>
      <c r="H14" s="16"/>
      <c r="I14" s="16"/>
    </row>
    <row r="15" spans="1:9" ht="18">
      <c r="A15" s="22" t="s">
        <v>43</v>
      </c>
      <c r="B15" s="23" t="s">
        <v>34</v>
      </c>
      <c r="C15" s="8" t="s">
        <v>44</v>
      </c>
      <c r="D15" s="21"/>
      <c r="E15" s="16"/>
      <c r="F15" s="16"/>
      <c r="G15" s="16"/>
      <c r="H15" s="16"/>
      <c r="I15" s="16"/>
    </row>
    <row r="16" spans="1:9" ht="18">
      <c r="A16" s="22" t="s">
        <v>44</v>
      </c>
      <c r="B16" s="23" t="s">
        <v>34</v>
      </c>
      <c r="C16" s="8" t="s">
        <v>45</v>
      </c>
      <c r="D16" s="16"/>
      <c r="E16" s="16"/>
      <c r="F16" s="16"/>
      <c r="G16" s="16"/>
      <c r="H16" s="16"/>
      <c r="I16" s="16"/>
    </row>
    <row r="17" spans="1:9" ht="18">
      <c r="A17" s="22" t="s">
        <v>45</v>
      </c>
      <c r="B17" s="23" t="s">
        <v>34</v>
      </c>
      <c r="C17" s="8" t="s">
        <v>46</v>
      </c>
      <c r="D17" s="16"/>
      <c r="E17" s="16"/>
      <c r="F17" s="16"/>
      <c r="G17" s="16"/>
      <c r="H17" s="16"/>
      <c r="I17" s="16"/>
    </row>
    <row r="18" spans="1:9" ht="18">
      <c r="A18" s="22" t="s">
        <v>46</v>
      </c>
      <c r="B18" s="23" t="s">
        <v>34</v>
      </c>
      <c r="C18" s="8" t="s">
        <v>47</v>
      </c>
      <c r="D18" s="16"/>
      <c r="E18" s="16"/>
      <c r="F18" s="16"/>
      <c r="G18" s="16"/>
      <c r="H18" s="16"/>
      <c r="I18" s="16"/>
    </row>
    <row r="19" spans="1:9" ht="18">
      <c r="A19" s="22" t="s">
        <v>47</v>
      </c>
      <c r="B19" s="23" t="s">
        <v>34</v>
      </c>
      <c r="C19" s="8" t="s">
        <v>48</v>
      </c>
      <c r="D19" s="16"/>
      <c r="E19" s="16"/>
      <c r="F19" s="16"/>
      <c r="G19" s="16"/>
      <c r="H19" s="16"/>
      <c r="I19" s="16"/>
    </row>
    <row r="20" spans="1:9" ht="18">
      <c r="A20" s="22" t="s">
        <v>48</v>
      </c>
      <c r="B20" s="23" t="s">
        <v>34</v>
      </c>
      <c r="C20" s="8" t="s">
        <v>49</v>
      </c>
      <c r="D20" s="16"/>
      <c r="E20" s="16"/>
      <c r="F20" s="16"/>
      <c r="G20" s="16"/>
      <c r="H20" s="16"/>
      <c r="I20" s="16"/>
    </row>
    <row r="21" spans="1:9" ht="18">
      <c r="A21" s="22" t="s">
        <v>49</v>
      </c>
      <c r="B21" s="23" t="s">
        <v>34</v>
      </c>
      <c r="C21" s="8" t="s">
        <v>50</v>
      </c>
      <c r="D21" s="16"/>
      <c r="E21" s="16"/>
      <c r="F21" s="16"/>
      <c r="G21" s="16"/>
      <c r="H21" s="16"/>
      <c r="I21" s="16"/>
    </row>
    <row r="22" spans="1:9" ht="18">
      <c r="A22" s="22" t="s">
        <v>50</v>
      </c>
      <c r="B22" s="23" t="s">
        <v>34</v>
      </c>
      <c r="C22" s="8" t="s">
        <v>51</v>
      </c>
      <c r="D22" s="16"/>
      <c r="E22" s="16"/>
      <c r="F22" s="16"/>
      <c r="G22" s="16"/>
      <c r="H22" s="16"/>
      <c r="I22" s="16"/>
    </row>
    <row r="23" spans="1:9" ht="18">
      <c r="A23" s="22" t="s">
        <v>51</v>
      </c>
      <c r="B23" s="23" t="s">
        <v>34</v>
      </c>
      <c r="C23" s="8" t="s">
        <v>52</v>
      </c>
      <c r="D23" s="16"/>
      <c r="E23" s="16"/>
      <c r="F23" s="16"/>
      <c r="G23" s="16"/>
      <c r="H23" s="16"/>
      <c r="I23" s="16"/>
    </row>
    <row r="24" spans="1:9" ht="18">
      <c r="A24" s="22" t="s">
        <v>52</v>
      </c>
      <c r="B24" s="23" t="s">
        <v>34</v>
      </c>
      <c r="C24" s="8" t="s">
        <v>53</v>
      </c>
      <c r="D24" s="16"/>
      <c r="E24" s="16"/>
      <c r="F24" s="16"/>
      <c r="G24" s="16"/>
      <c r="H24" s="16"/>
      <c r="I24" s="16"/>
    </row>
    <row r="25" spans="1:9" ht="18">
      <c r="A25" s="22" t="s">
        <v>53</v>
      </c>
      <c r="B25" s="23" t="s">
        <v>34</v>
      </c>
      <c r="C25" s="8" t="s">
        <v>54</v>
      </c>
      <c r="D25" s="16"/>
      <c r="E25" s="16"/>
      <c r="F25" s="16"/>
      <c r="G25" s="16"/>
      <c r="H25" s="16"/>
      <c r="I25" s="16"/>
    </row>
    <row r="26" spans="1:9" ht="18">
      <c r="A26" s="22" t="s">
        <v>54</v>
      </c>
      <c r="B26" s="23" t="s">
        <v>34</v>
      </c>
      <c r="C26" s="8" t="s">
        <v>55</v>
      </c>
      <c r="D26" s="16"/>
      <c r="E26" s="16"/>
      <c r="F26" s="16"/>
      <c r="G26" s="16"/>
      <c r="H26" s="16"/>
      <c r="I26" s="16"/>
    </row>
    <row r="27" spans="1:9" ht="18">
      <c r="A27" s="22" t="s">
        <v>55</v>
      </c>
      <c r="B27" s="23" t="s">
        <v>34</v>
      </c>
      <c r="C27" s="8" t="s">
        <v>56</v>
      </c>
      <c r="D27" s="16"/>
      <c r="E27" s="16"/>
      <c r="F27" s="16"/>
      <c r="G27" s="16"/>
      <c r="H27" s="16"/>
      <c r="I27" s="16"/>
    </row>
    <row r="28" spans="1:9" ht="18">
      <c r="A28" s="22" t="s">
        <v>56</v>
      </c>
      <c r="B28" s="23" t="s">
        <v>34</v>
      </c>
      <c r="C28" s="8" t="s">
        <v>57</v>
      </c>
      <c r="D28" s="16"/>
      <c r="E28" s="16"/>
      <c r="F28" s="16"/>
      <c r="G28" s="16"/>
      <c r="H28" s="16"/>
      <c r="I28" s="16"/>
    </row>
    <row r="29" spans="1:9" ht="18">
      <c r="A29" s="22" t="s">
        <v>57</v>
      </c>
      <c r="B29" s="23" t="s">
        <v>34</v>
      </c>
      <c r="C29" s="8" t="s">
        <v>58</v>
      </c>
      <c r="D29" s="16"/>
      <c r="E29" s="16"/>
      <c r="F29" s="16"/>
      <c r="G29" s="16"/>
      <c r="H29" s="16"/>
      <c r="I29" s="16"/>
    </row>
    <row r="30" spans="1:9" ht="18">
      <c r="A30" s="22" t="s">
        <v>58</v>
      </c>
      <c r="B30" s="23" t="s">
        <v>34</v>
      </c>
      <c r="C30" s="8" t="s">
        <v>59</v>
      </c>
      <c r="D30" s="16"/>
      <c r="E30" s="16"/>
      <c r="F30" s="16"/>
      <c r="G30" s="16"/>
      <c r="H30" s="16"/>
      <c r="I30" s="16"/>
    </row>
    <row r="31" spans="1:9" ht="18">
      <c r="A31" s="22" t="s">
        <v>59</v>
      </c>
      <c r="B31" s="23" t="s">
        <v>34</v>
      </c>
      <c r="C31" s="8" t="s">
        <v>60</v>
      </c>
      <c r="D31" s="16"/>
      <c r="E31" s="16"/>
      <c r="F31" s="16"/>
      <c r="G31" s="16"/>
      <c r="H31" s="16"/>
      <c r="I31" s="16"/>
    </row>
    <row r="32" spans="1:9" ht="18">
      <c r="A32" s="22" t="s">
        <v>60</v>
      </c>
      <c r="B32" s="23" t="s">
        <v>34</v>
      </c>
      <c r="C32" s="8" t="s">
        <v>61</v>
      </c>
      <c r="D32" s="16"/>
      <c r="E32" s="16"/>
      <c r="F32" s="16"/>
      <c r="G32" s="16"/>
      <c r="H32" s="16"/>
      <c r="I32" s="16"/>
    </row>
    <row r="33" spans="1:9" ht="18">
      <c r="A33" s="22" t="s">
        <v>61</v>
      </c>
      <c r="B33" s="23" t="s">
        <v>34</v>
      </c>
      <c r="C33" s="8" t="s">
        <v>62</v>
      </c>
      <c r="D33" s="16"/>
      <c r="E33" s="16"/>
      <c r="F33" s="16"/>
      <c r="G33" s="16"/>
      <c r="H33" s="16"/>
      <c r="I33" s="16"/>
    </row>
    <row r="34" spans="1:9" ht="18">
      <c r="A34" s="22" t="s">
        <v>62</v>
      </c>
      <c r="B34" s="23" t="s">
        <v>34</v>
      </c>
      <c r="C34" s="8" t="s">
        <v>63</v>
      </c>
      <c r="D34" s="16"/>
      <c r="E34" s="16"/>
      <c r="F34" s="16"/>
      <c r="G34" s="16"/>
      <c r="H34" s="16"/>
      <c r="I34" s="16"/>
    </row>
    <row r="35" spans="1:9" ht="18">
      <c r="A35" s="22"/>
      <c r="B35" s="23"/>
      <c r="C35" s="8"/>
      <c r="D35" s="16"/>
      <c r="E35" s="16"/>
      <c r="F35" s="16"/>
      <c r="G35" s="16"/>
      <c r="H35" s="16"/>
      <c r="I35" s="16"/>
    </row>
    <row r="36" spans="1:9" ht="18">
      <c r="A36" s="22"/>
      <c r="B36" s="23"/>
      <c r="C36" s="8"/>
      <c r="D36" s="16"/>
      <c r="E36" s="16"/>
      <c r="F36" s="16"/>
      <c r="G36" s="16"/>
      <c r="H36" s="16"/>
      <c r="I36" s="16"/>
    </row>
    <row r="37" spans="1:9" ht="18">
      <c r="A37" s="17"/>
      <c r="B37" s="17"/>
      <c r="C37" s="17"/>
      <c r="D37" s="18"/>
      <c r="E37" s="18"/>
      <c r="F37" s="18"/>
      <c r="G37" s="18"/>
      <c r="H37" s="18"/>
      <c r="I37" s="18"/>
    </row>
    <row r="38" spans="1:9" ht="18">
      <c r="A38" s="11" t="s">
        <v>32</v>
      </c>
      <c r="B38" s="11"/>
      <c r="C38" s="11"/>
      <c r="D38" s="1"/>
      <c r="E38" s="1"/>
      <c r="F38" s="1"/>
      <c r="G38" s="11"/>
      <c r="H38" s="1"/>
      <c r="I38" s="1"/>
    </row>
    <row r="39" spans="1:9" ht="18">
      <c r="A39" s="11"/>
      <c r="B39" s="11"/>
      <c r="C39" s="11"/>
      <c r="D39" s="1"/>
      <c r="E39" s="1"/>
      <c r="F39" s="1"/>
      <c r="G39" s="1"/>
      <c r="H39" s="1"/>
      <c r="I39" s="1"/>
    </row>
    <row r="40" spans="1:9" ht="18">
      <c r="A40" s="11" t="s">
        <v>33</v>
      </c>
      <c r="B40" s="11"/>
      <c r="C40" s="11"/>
      <c r="D40" s="1"/>
      <c r="E40" s="1"/>
      <c r="F40" s="1"/>
      <c r="G40" s="1"/>
      <c r="H40" s="1"/>
      <c r="I40" s="1"/>
    </row>
  </sheetData>
  <mergeCells count="5">
    <mergeCell ref="D12:E12"/>
    <mergeCell ref="F12:G12"/>
    <mergeCell ref="A1:I1"/>
    <mergeCell ref="A3:I3"/>
    <mergeCell ref="A8:I8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0"/>
  <sheetViews>
    <sheetView topLeftCell="A20" workbookViewId="0">
      <selection activeCell="A15" sqref="A15:C34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7" width="10.7109375" customWidth="1"/>
    <col min="8" max="8" width="15.7109375" customWidth="1"/>
    <col min="9" max="9" width="20.7109375" customWidth="1"/>
  </cols>
  <sheetData>
    <row r="1" spans="1:9" ht="18">
      <c r="A1" s="65" t="s">
        <v>27</v>
      </c>
      <c r="B1" s="65"/>
      <c r="C1" s="65"/>
      <c r="D1" s="65"/>
      <c r="E1" s="65"/>
      <c r="F1" s="65"/>
      <c r="G1" s="65"/>
      <c r="H1" s="65"/>
      <c r="I1" s="65"/>
    </row>
    <row r="2" spans="1:9" ht="18">
      <c r="A2" s="10"/>
      <c r="B2" s="10"/>
      <c r="C2" s="10"/>
      <c r="D2" s="10"/>
      <c r="E2" s="10"/>
      <c r="F2" s="10"/>
      <c r="G2" s="10"/>
      <c r="H2" s="10"/>
      <c r="I2" s="10"/>
    </row>
    <row r="3" spans="1:9" ht="15.75">
      <c r="A3" s="66" t="s">
        <v>40</v>
      </c>
      <c r="B3" s="66"/>
      <c r="C3" s="66"/>
      <c r="D3" s="66"/>
      <c r="E3" s="66"/>
      <c r="F3" s="66"/>
      <c r="G3" s="66"/>
      <c r="H3" s="66"/>
      <c r="I3" s="66"/>
    </row>
    <row r="4" spans="1:9" ht="15.75">
      <c r="A4" s="11" t="s">
        <v>89</v>
      </c>
      <c r="B4" s="11"/>
      <c r="C4" s="11"/>
    </row>
    <row r="5" spans="1:9" ht="15.75">
      <c r="A5" s="11" t="s">
        <v>41</v>
      </c>
      <c r="B5" s="11"/>
      <c r="C5" s="11"/>
      <c r="H5" s="11" t="s">
        <v>39</v>
      </c>
    </row>
    <row r="6" spans="1:9" ht="15.75">
      <c r="A6" s="11" t="s">
        <v>42</v>
      </c>
      <c r="B6" s="11"/>
      <c r="C6" s="11"/>
    </row>
    <row r="7" spans="1:9" ht="15.75">
      <c r="A7" s="11"/>
      <c r="B7" s="11"/>
      <c r="C7" s="11"/>
    </row>
    <row r="8" spans="1:9" ht="15.75">
      <c r="A8" s="67" t="s">
        <v>31</v>
      </c>
      <c r="B8" s="67"/>
      <c r="C8" s="67"/>
      <c r="D8" s="67"/>
      <c r="E8" s="67"/>
      <c r="F8" s="67"/>
      <c r="G8" s="67"/>
      <c r="H8" s="67"/>
      <c r="I8" s="67"/>
    </row>
    <row r="9" spans="1:9" ht="18">
      <c r="A9" s="14"/>
      <c r="B9" s="14"/>
      <c r="C9" s="14"/>
      <c r="D9" s="13"/>
      <c r="E9" s="13"/>
      <c r="F9" s="13"/>
      <c r="G9" s="13"/>
      <c r="H9" s="13"/>
      <c r="I9" s="13"/>
    </row>
    <row r="10" spans="1:9" ht="18">
      <c r="A10" s="14"/>
      <c r="B10" s="14"/>
      <c r="C10" s="14"/>
      <c r="D10" s="13"/>
      <c r="E10" s="13"/>
      <c r="F10" s="13"/>
      <c r="G10" s="13"/>
      <c r="H10" s="13"/>
      <c r="I10" s="13"/>
    </row>
    <row r="11" spans="1:9" ht="18">
      <c r="A11" s="18"/>
      <c r="B11" s="18"/>
      <c r="C11" s="18"/>
      <c r="D11" s="12"/>
      <c r="E11" s="12"/>
      <c r="F11" s="12"/>
      <c r="G11" s="12"/>
      <c r="H11" s="12"/>
      <c r="I11" s="12"/>
    </row>
    <row r="12" spans="1:9" ht="18">
      <c r="A12" s="25"/>
      <c r="B12" s="19"/>
      <c r="C12" s="26"/>
      <c r="D12" s="74" t="s">
        <v>2</v>
      </c>
      <c r="E12" s="75"/>
      <c r="F12" s="76" t="s">
        <v>5</v>
      </c>
      <c r="G12" s="74"/>
      <c r="H12" s="7" t="s">
        <v>4</v>
      </c>
      <c r="I12" s="4" t="s">
        <v>6</v>
      </c>
    </row>
    <row r="13" spans="1:9" ht="18">
      <c r="A13" s="27" t="s">
        <v>0</v>
      </c>
      <c r="B13" s="15"/>
      <c r="C13" s="20"/>
      <c r="D13" s="2" t="s">
        <v>3</v>
      </c>
      <c r="E13" s="5" t="s">
        <v>4</v>
      </c>
      <c r="F13" s="5" t="s">
        <v>3</v>
      </c>
      <c r="G13" s="3" t="s">
        <v>4</v>
      </c>
      <c r="H13" s="9" t="s">
        <v>8</v>
      </c>
      <c r="I13" s="6" t="s">
        <v>7</v>
      </c>
    </row>
    <row r="14" spans="1:9" ht="18">
      <c r="A14" s="24" t="s">
        <v>1</v>
      </c>
      <c r="B14" s="24"/>
      <c r="C14" s="24"/>
      <c r="D14" s="16"/>
      <c r="E14" s="28"/>
      <c r="F14" s="16"/>
      <c r="G14" s="28"/>
      <c r="H14" s="16"/>
      <c r="I14" s="16"/>
    </row>
    <row r="15" spans="1:9" ht="18">
      <c r="A15" s="22" t="s">
        <v>43</v>
      </c>
      <c r="B15" s="23" t="s">
        <v>34</v>
      </c>
      <c r="C15" s="8" t="s">
        <v>44</v>
      </c>
      <c r="D15" s="21"/>
      <c r="E15" s="16"/>
      <c r="F15" s="16"/>
      <c r="G15" s="16"/>
      <c r="H15" s="16"/>
      <c r="I15" s="16"/>
    </row>
    <row r="16" spans="1:9" ht="18">
      <c r="A16" s="22" t="s">
        <v>44</v>
      </c>
      <c r="B16" s="23" t="s">
        <v>34</v>
      </c>
      <c r="C16" s="8" t="s">
        <v>45</v>
      </c>
      <c r="D16" s="16"/>
      <c r="E16" s="16"/>
      <c r="F16" s="16"/>
      <c r="G16" s="16"/>
      <c r="H16" s="16"/>
      <c r="I16" s="16"/>
    </row>
    <row r="17" spans="1:9" ht="18">
      <c r="A17" s="22" t="s">
        <v>45</v>
      </c>
      <c r="B17" s="23" t="s">
        <v>34</v>
      </c>
      <c r="C17" s="8" t="s">
        <v>46</v>
      </c>
      <c r="D17" s="16"/>
      <c r="E17" s="16"/>
      <c r="F17" s="16"/>
      <c r="G17" s="16"/>
      <c r="H17" s="16"/>
      <c r="I17" s="16"/>
    </row>
    <row r="18" spans="1:9" ht="18">
      <c r="A18" s="22" t="s">
        <v>46</v>
      </c>
      <c r="B18" s="23" t="s">
        <v>34</v>
      </c>
      <c r="C18" s="8" t="s">
        <v>47</v>
      </c>
      <c r="D18" s="16"/>
      <c r="E18" s="16"/>
      <c r="F18" s="16"/>
      <c r="G18" s="16"/>
      <c r="H18" s="16"/>
      <c r="I18" s="16"/>
    </row>
    <row r="19" spans="1:9" ht="18">
      <c r="A19" s="22" t="s">
        <v>47</v>
      </c>
      <c r="B19" s="23" t="s">
        <v>34</v>
      </c>
      <c r="C19" s="8" t="s">
        <v>48</v>
      </c>
      <c r="D19" s="16"/>
      <c r="E19" s="16"/>
      <c r="F19" s="16"/>
      <c r="G19" s="16"/>
      <c r="H19" s="16"/>
      <c r="I19" s="16"/>
    </row>
    <row r="20" spans="1:9" ht="18">
      <c r="A20" s="22" t="s">
        <v>48</v>
      </c>
      <c r="B20" s="23" t="s">
        <v>34</v>
      </c>
      <c r="C20" s="8" t="s">
        <v>49</v>
      </c>
      <c r="D20" s="16"/>
      <c r="E20" s="16"/>
      <c r="F20" s="16"/>
      <c r="G20" s="16"/>
      <c r="H20" s="16"/>
      <c r="I20" s="16"/>
    </row>
    <row r="21" spans="1:9" ht="18">
      <c r="A21" s="22" t="s">
        <v>49</v>
      </c>
      <c r="B21" s="23" t="s">
        <v>34</v>
      </c>
      <c r="C21" s="8" t="s">
        <v>50</v>
      </c>
      <c r="D21" s="16"/>
      <c r="E21" s="16"/>
      <c r="F21" s="16"/>
      <c r="G21" s="16"/>
      <c r="H21" s="16"/>
      <c r="I21" s="16"/>
    </row>
    <row r="22" spans="1:9" ht="18">
      <c r="A22" s="22" t="s">
        <v>50</v>
      </c>
      <c r="B22" s="23" t="s">
        <v>34</v>
      </c>
      <c r="C22" s="8" t="s">
        <v>51</v>
      </c>
      <c r="D22" s="16"/>
      <c r="E22" s="16"/>
      <c r="F22" s="16"/>
      <c r="G22" s="16"/>
      <c r="H22" s="16"/>
      <c r="I22" s="16"/>
    </row>
    <row r="23" spans="1:9" ht="18">
      <c r="A23" s="22" t="s">
        <v>51</v>
      </c>
      <c r="B23" s="23" t="s">
        <v>34</v>
      </c>
      <c r="C23" s="8" t="s">
        <v>52</v>
      </c>
      <c r="D23" s="16"/>
      <c r="E23" s="16"/>
      <c r="F23" s="16"/>
      <c r="G23" s="16"/>
      <c r="H23" s="16"/>
      <c r="I23" s="16"/>
    </row>
    <row r="24" spans="1:9" ht="18">
      <c r="A24" s="22" t="s">
        <v>52</v>
      </c>
      <c r="B24" s="23" t="s">
        <v>34</v>
      </c>
      <c r="C24" s="8" t="s">
        <v>53</v>
      </c>
      <c r="D24" s="16"/>
      <c r="E24" s="16"/>
      <c r="F24" s="16"/>
      <c r="G24" s="16"/>
      <c r="H24" s="16"/>
      <c r="I24" s="16"/>
    </row>
    <row r="25" spans="1:9" ht="18">
      <c r="A25" s="22" t="s">
        <v>53</v>
      </c>
      <c r="B25" s="23" t="s">
        <v>34</v>
      </c>
      <c r="C25" s="8" t="s">
        <v>54</v>
      </c>
      <c r="D25" s="16"/>
      <c r="E25" s="16"/>
      <c r="F25" s="16"/>
      <c r="G25" s="16"/>
      <c r="H25" s="16"/>
      <c r="I25" s="16"/>
    </row>
    <row r="26" spans="1:9" ht="18">
      <c r="A26" s="22" t="s">
        <v>54</v>
      </c>
      <c r="B26" s="23" t="s">
        <v>34</v>
      </c>
      <c r="C26" s="8" t="s">
        <v>55</v>
      </c>
      <c r="D26" s="16"/>
      <c r="E26" s="16"/>
      <c r="F26" s="16"/>
      <c r="G26" s="16"/>
      <c r="H26" s="16"/>
      <c r="I26" s="16"/>
    </row>
    <row r="27" spans="1:9" ht="18">
      <c r="A27" s="22" t="s">
        <v>55</v>
      </c>
      <c r="B27" s="23" t="s">
        <v>34</v>
      </c>
      <c r="C27" s="8" t="s">
        <v>56</v>
      </c>
      <c r="D27" s="16"/>
      <c r="E27" s="16"/>
      <c r="F27" s="16"/>
      <c r="G27" s="16"/>
      <c r="H27" s="16"/>
      <c r="I27" s="16"/>
    </row>
    <row r="28" spans="1:9" ht="18">
      <c r="A28" s="22" t="s">
        <v>56</v>
      </c>
      <c r="B28" s="23" t="s">
        <v>34</v>
      </c>
      <c r="C28" s="8" t="s">
        <v>57</v>
      </c>
      <c r="D28" s="16"/>
      <c r="E28" s="16"/>
      <c r="F28" s="16"/>
      <c r="G28" s="16"/>
      <c r="H28" s="16"/>
      <c r="I28" s="16"/>
    </row>
    <row r="29" spans="1:9" ht="18">
      <c r="A29" s="22" t="s">
        <v>57</v>
      </c>
      <c r="B29" s="23" t="s">
        <v>34</v>
      </c>
      <c r="C29" s="8" t="s">
        <v>58</v>
      </c>
      <c r="D29" s="16"/>
      <c r="E29" s="16"/>
      <c r="F29" s="16"/>
      <c r="G29" s="16"/>
      <c r="H29" s="16"/>
      <c r="I29" s="16"/>
    </row>
    <row r="30" spans="1:9" ht="18">
      <c r="A30" s="22" t="s">
        <v>58</v>
      </c>
      <c r="B30" s="23" t="s">
        <v>34</v>
      </c>
      <c r="C30" s="8" t="s">
        <v>59</v>
      </c>
      <c r="D30" s="16"/>
      <c r="E30" s="16"/>
      <c r="F30" s="16"/>
      <c r="G30" s="16"/>
      <c r="H30" s="16"/>
      <c r="I30" s="16"/>
    </row>
    <row r="31" spans="1:9" ht="18">
      <c r="A31" s="22" t="s">
        <v>59</v>
      </c>
      <c r="B31" s="23" t="s">
        <v>34</v>
      </c>
      <c r="C31" s="8" t="s">
        <v>60</v>
      </c>
      <c r="D31" s="16"/>
      <c r="E31" s="16"/>
      <c r="F31" s="16"/>
      <c r="G31" s="16"/>
      <c r="H31" s="16"/>
      <c r="I31" s="16"/>
    </row>
    <row r="32" spans="1:9" ht="18">
      <c r="A32" s="22" t="s">
        <v>60</v>
      </c>
      <c r="B32" s="23" t="s">
        <v>34</v>
      </c>
      <c r="C32" s="8" t="s">
        <v>61</v>
      </c>
      <c r="D32" s="16"/>
      <c r="E32" s="16"/>
      <c r="F32" s="16"/>
      <c r="G32" s="16"/>
      <c r="H32" s="16"/>
      <c r="I32" s="16"/>
    </row>
    <row r="33" spans="1:9" ht="18">
      <c r="A33" s="22" t="s">
        <v>61</v>
      </c>
      <c r="B33" s="23" t="s">
        <v>34</v>
      </c>
      <c r="C33" s="8" t="s">
        <v>62</v>
      </c>
      <c r="D33" s="16"/>
      <c r="E33" s="16"/>
      <c r="F33" s="16"/>
      <c r="G33" s="16"/>
      <c r="H33" s="16"/>
      <c r="I33" s="16"/>
    </row>
    <row r="34" spans="1:9" ht="18">
      <c r="A34" s="22" t="s">
        <v>62</v>
      </c>
      <c r="B34" s="23" t="s">
        <v>34</v>
      </c>
      <c r="C34" s="8" t="s">
        <v>63</v>
      </c>
      <c r="D34" s="16"/>
      <c r="E34" s="16"/>
      <c r="F34" s="16"/>
      <c r="G34" s="16"/>
      <c r="H34" s="16"/>
      <c r="I34" s="16"/>
    </row>
    <row r="35" spans="1:9" ht="18">
      <c r="A35" s="22"/>
      <c r="B35" s="23"/>
      <c r="C35" s="8"/>
      <c r="D35" s="16"/>
      <c r="E35" s="16"/>
      <c r="F35" s="16"/>
      <c r="G35" s="16"/>
      <c r="H35" s="16"/>
      <c r="I35" s="16"/>
    </row>
    <row r="36" spans="1:9" ht="18">
      <c r="A36" s="22"/>
      <c r="B36" s="23"/>
      <c r="C36" s="8"/>
      <c r="D36" s="16"/>
      <c r="E36" s="16"/>
      <c r="F36" s="16"/>
      <c r="G36" s="16"/>
      <c r="H36" s="16"/>
      <c r="I36" s="16"/>
    </row>
    <row r="37" spans="1:9" ht="18">
      <c r="A37" s="17"/>
      <c r="B37" s="17"/>
      <c r="C37" s="17"/>
      <c r="D37" s="18"/>
      <c r="E37" s="18"/>
      <c r="F37" s="18"/>
      <c r="G37" s="18"/>
      <c r="H37" s="18"/>
      <c r="I37" s="18"/>
    </row>
    <row r="38" spans="1:9" ht="18">
      <c r="A38" s="11" t="s">
        <v>32</v>
      </c>
      <c r="B38" s="11"/>
      <c r="C38" s="11"/>
      <c r="D38" s="1"/>
      <c r="E38" s="1"/>
      <c r="F38" s="1"/>
      <c r="G38" s="11"/>
      <c r="H38" s="1"/>
      <c r="I38" s="1"/>
    </row>
    <row r="39" spans="1:9" ht="18">
      <c r="A39" s="11"/>
      <c r="B39" s="11"/>
      <c r="C39" s="11"/>
      <c r="D39" s="1"/>
      <c r="E39" s="1"/>
      <c r="F39" s="1"/>
      <c r="G39" s="1"/>
      <c r="H39" s="1"/>
      <c r="I39" s="1"/>
    </row>
    <row r="40" spans="1:9" ht="18">
      <c r="A40" s="11" t="s">
        <v>33</v>
      </c>
      <c r="B40" s="11"/>
      <c r="C40" s="11"/>
      <c r="D40" s="1"/>
      <c r="E40" s="1"/>
      <c r="F40" s="1"/>
      <c r="G40" s="1"/>
      <c r="H40" s="1"/>
      <c r="I40" s="1"/>
    </row>
  </sheetData>
  <mergeCells count="5">
    <mergeCell ref="A1:I1"/>
    <mergeCell ref="A3:I3"/>
    <mergeCell ref="A8:I8"/>
    <mergeCell ref="D12:E12"/>
    <mergeCell ref="F12:G12"/>
  </mergeCells>
  <phoneticPr fontId="0" type="noConversion"/>
  <pageMargins left="0.36" right="0.5" top="0.77" bottom="0.5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0"/>
  <sheetViews>
    <sheetView topLeftCell="A21" workbookViewId="0">
      <selection activeCell="A15" sqref="A15:C34"/>
    </sheetView>
  </sheetViews>
  <sheetFormatPr defaultRowHeight="12.75"/>
  <cols>
    <col min="1" max="1" width="7.140625" customWidth="1"/>
    <col min="2" max="2" width="1.5703125" customWidth="1"/>
    <col min="3" max="3" width="7.140625" customWidth="1"/>
    <col min="4" max="7" width="10.7109375" customWidth="1"/>
    <col min="8" max="8" width="15.7109375" customWidth="1"/>
    <col min="9" max="9" width="20.7109375" customWidth="1"/>
  </cols>
  <sheetData>
    <row r="1" spans="1:9" ht="18">
      <c r="A1" s="65" t="s">
        <v>27</v>
      </c>
      <c r="B1" s="65"/>
      <c r="C1" s="65"/>
      <c r="D1" s="65"/>
      <c r="E1" s="65"/>
      <c r="F1" s="65"/>
      <c r="G1" s="65"/>
      <c r="H1" s="65"/>
      <c r="I1" s="65"/>
    </row>
    <row r="2" spans="1:9" ht="18">
      <c r="A2" s="10"/>
      <c r="B2" s="10"/>
      <c r="C2" s="10"/>
      <c r="D2" s="10"/>
      <c r="E2" s="10"/>
      <c r="F2" s="10"/>
      <c r="G2" s="10"/>
      <c r="H2" s="10"/>
      <c r="I2" s="10"/>
    </row>
    <row r="3" spans="1:9" ht="15.75">
      <c r="A3" s="66" t="s">
        <v>64</v>
      </c>
      <c r="B3" s="66"/>
      <c r="C3" s="66"/>
      <c r="D3" s="66"/>
      <c r="E3" s="66"/>
      <c r="F3" s="66"/>
      <c r="G3" s="66"/>
      <c r="H3" s="66"/>
      <c r="I3" s="66"/>
    </row>
    <row r="4" spans="1:9" ht="15.75">
      <c r="A4" s="11" t="s">
        <v>67</v>
      </c>
      <c r="B4" s="11"/>
      <c r="C4" s="11"/>
    </row>
    <row r="5" spans="1:9" ht="15.75">
      <c r="A5" s="11" t="s">
        <v>65</v>
      </c>
      <c r="B5" s="11"/>
      <c r="C5" s="11"/>
      <c r="H5" s="11" t="s">
        <v>39</v>
      </c>
    </row>
    <row r="6" spans="1:9" ht="15.75">
      <c r="A6" s="11" t="s">
        <v>66</v>
      </c>
      <c r="B6" s="11"/>
      <c r="C6" s="11"/>
    </row>
    <row r="7" spans="1:9" ht="15.75">
      <c r="A7" s="11"/>
      <c r="B7" s="11"/>
      <c r="C7" s="11"/>
    </row>
    <row r="8" spans="1:9" ht="15.75">
      <c r="A8" s="67" t="s">
        <v>31</v>
      </c>
      <c r="B8" s="67"/>
      <c r="C8" s="67"/>
      <c r="D8" s="67"/>
      <c r="E8" s="67"/>
      <c r="F8" s="67"/>
      <c r="G8" s="67"/>
      <c r="H8" s="67"/>
      <c r="I8" s="67"/>
    </row>
    <row r="9" spans="1:9" ht="18">
      <c r="A9" s="14"/>
      <c r="B9" s="14"/>
      <c r="C9" s="14"/>
      <c r="D9" s="13"/>
      <c r="E9" s="13"/>
      <c r="F9" s="13"/>
      <c r="G9" s="13"/>
      <c r="H9" s="13"/>
      <c r="I9" s="13"/>
    </row>
    <row r="10" spans="1:9" ht="18">
      <c r="A10" s="14"/>
      <c r="B10" s="14"/>
      <c r="C10" s="14"/>
      <c r="D10" s="13"/>
      <c r="E10" s="13"/>
      <c r="F10" s="13"/>
      <c r="G10" s="13"/>
      <c r="H10" s="13"/>
      <c r="I10" s="13"/>
    </row>
    <row r="11" spans="1:9" ht="18">
      <c r="A11" s="18"/>
      <c r="B11" s="18"/>
      <c r="C11" s="18"/>
      <c r="D11" s="12"/>
      <c r="E11" s="12"/>
      <c r="F11" s="12"/>
      <c r="G11" s="12"/>
      <c r="H11" s="12"/>
      <c r="I11" s="12"/>
    </row>
    <row r="12" spans="1:9" ht="18">
      <c r="A12" s="25"/>
      <c r="B12" s="19"/>
      <c r="C12" s="26"/>
      <c r="D12" s="74" t="s">
        <v>2</v>
      </c>
      <c r="E12" s="75"/>
      <c r="F12" s="76" t="s">
        <v>5</v>
      </c>
      <c r="G12" s="74"/>
      <c r="H12" s="7" t="s">
        <v>4</v>
      </c>
      <c r="I12" s="4" t="s">
        <v>6</v>
      </c>
    </row>
    <row r="13" spans="1:9" ht="18">
      <c r="A13" s="27" t="s">
        <v>0</v>
      </c>
      <c r="B13" s="15"/>
      <c r="C13" s="20"/>
      <c r="D13" s="2" t="s">
        <v>3</v>
      </c>
      <c r="E13" s="5" t="s">
        <v>4</v>
      </c>
      <c r="F13" s="5" t="s">
        <v>3</v>
      </c>
      <c r="G13" s="3" t="s">
        <v>4</v>
      </c>
      <c r="H13" s="9" t="s">
        <v>8</v>
      </c>
      <c r="I13" s="6" t="s">
        <v>7</v>
      </c>
    </row>
    <row r="14" spans="1:9" ht="18">
      <c r="A14" s="24" t="s">
        <v>1</v>
      </c>
      <c r="B14" s="24"/>
      <c r="C14" s="24"/>
      <c r="D14" s="16"/>
      <c r="E14" s="28"/>
      <c r="F14" s="16"/>
      <c r="G14" s="28"/>
      <c r="H14" s="16"/>
      <c r="I14" s="16"/>
    </row>
    <row r="15" spans="1:9" ht="18">
      <c r="A15" s="22" t="s">
        <v>68</v>
      </c>
      <c r="B15" s="23" t="s">
        <v>34</v>
      </c>
      <c r="C15" s="8" t="s">
        <v>69</v>
      </c>
      <c r="D15" s="21"/>
      <c r="E15" s="16"/>
      <c r="F15" s="16"/>
      <c r="G15" s="16"/>
      <c r="H15" s="16"/>
      <c r="I15" s="16"/>
    </row>
    <row r="16" spans="1:9" ht="18">
      <c r="A16" s="22" t="s">
        <v>69</v>
      </c>
      <c r="B16" s="23" t="s">
        <v>34</v>
      </c>
      <c r="C16" s="8" t="s">
        <v>70</v>
      </c>
      <c r="D16" s="16"/>
      <c r="E16" s="16"/>
      <c r="F16" s="16"/>
      <c r="G16" s="16"/>
      <c r="H16" s="16"/>
      <c r="I16" s="16"/>
    </row>
    <row r="17" spans="1:9" ht="18">
      <c r="A17" s="22" t="s">
        <v>70</v>
      </c>
      <c r="B17" s="23" t="s">
        <v>34</v>
      </c>
      <c r="C17" s="8" t="s">
        <v>71</v>
      </c>
      <c r="D17" s="16"/>
      <c r="E17" s="16"/>
      <c r="F17" s="16"/>
      <c r="G17" s="16"/>
      <c r="H17" s="16"/>
      <c r="I17" s="16"/>
    </row>
    <row r="18" spans="1:9" ht="18">
      <c r="A18" s="22" t="s">
        <v>71</v>
      </c>
      <c r="B18" s="23" t="s">
        <v>34</v>
      </c>
      <c r="C18" s="8" t="s">
        <v>72</v>
      </c>
      <c r="D18" s="16"/>
      <c r="E18" s="16"/>
      <c r="F18" s="16"/>
      <c r="G18" s="16"/>
      <c r="H18" s="16"/>
      <c r="I18" s="16"/>
    </row>
    <row r="19" spans="1:9" ht="18">
      <c r="A19" s="22" t="s">
        <v>72</v>
      </c>
      <c r="B19" s="23" t="s">
        <v>34</v>
      </c>
      <c r="C19" s="8" t="s">
        <v>73</v>
      </c>
      <c r="D19" s="16"/>
      <c r="E19" s="16"/>
      <c r="F19" s="16"/>
      <c r="G19" s="16"/>
      <c r="H19" s="16"/>
      <c r="I19" s="16"/>
    </row>
    <row r="20" spans="1:9" ht="18">
      <c r="A20" s="22" t="s">
        <v>73</v>
      </c>
      <c r="B20" s="23" t="s">
        <v>34</v>
      </c>
      <c r="C20" s="8" t="s">
        <v>74</v>
      </c>
      <c r="D20" s="16"/>
      <c r="E20" s="16"/>
      <c r="F20" s="16"/>
      <c r="G20" s="16"/>
      <c r="H20" s="16"/>
      <c r="I20" s="16"/>
    </row>
    <row r="21" spans="1:9" ht="18">
      <c r="A21" s="22" t="s">
        <v>74</v>
      </c>
      <c r="B21" s="23" t="s">
        <v>34</v>
      </c>
      <c r="C21" s="8" t="s">
        <v>75</v>
      </c>
      <c r="D21" s="16"/>
      <c r="E21" s="16"/>
      <c r="F21" s="16"/>
      <c r="G21" s="16"/>
      <c r="H21" s="16"/>
      <c r="I21" s="16"/>
    </row>
    <row r="22" spans="1:9" ht="18">
      <c r="A22" s="22" t="s">
        <v>75</v>
      </c>
      <c r="B22" s="23" t="s">
        <v>34</v>
      </c>
      <c r="C22" s="8" t="s">
        <v>76</v>
      </c>
      <c r="D22" s="16"/>
      <c r="E22" s="16"/>
      <c r="F22" s="16"/>
      <c r="G22" s="16"/>
      <c r="H22" s="16"/>
      <c r="I22" s="16"/>
    </row>
    <row r="23" spans="1:9" ht="18">
      <c r="A23" s="22" t="s">
        <v>76</v>
      </c>
      <c r="B23" s="23" t="s">
        <v>34</v>
      </c>
      <c r="C23" s="8" t="s">
        <v>77</v>
      </c>
      <c r="D23" s="16"/>
      <c r="E23" s="16"/>
      <c r="F23" s="16"/>
      <c r="G23" s="16"/>
      <c r="H23" s="16"/>
      <c r="I23" s="16"/>
    </row>
    <row r="24" spans="1:9" ht="18">
      <c r="A24" s="22" t="s">
        <v>77</v>
      </c>
      <c r="B24" s="23" t="s">
        <v>34</v>
      </c>
      <c r="C24" s="8" t="s">
        <v>78</v>
      </c>
      <c r="D24" s="16"/>
      <c r="E24" s="16"/>
      <c r="F24" s="16"/>
      <c r="G24" s="16"/>
      <c r="H24" s="16"/>
      <c r="I24" s="16"/>
    </row>
    <row r="25" spans="1:9" ht="18">
      <c r="A25" s="22" t="s">
        <v>78</v>
      </c>
      <c r="B25" s="23" t="s">
        <v>34</v>
      </c>
      <c r="C25" s="8" t="s">
        <v>79</v>
      </c>
      <c r="D25" s="16"/>
      <c r="E25" s="16"/>
      <c r="F25" s="16"/>
      <c r="G25" s="16"/>
      <c r="H25" s="16"/>
      <c r="I25" s="16"/>
    </row>
    <row r="26" spans="1:9" ht="18">
      <c r="A26" s="22" t="s">
        <v>79</v>
      </c>
      <c r="B26" s="23" t="s">
        <v>34</v>
      </c>
      <c r="C26" s="8" t="s">
        <v>80</v>
      </c>
      <c r="D26" s="16"/>
      <c r="E26" s="16"/>
      <c r="F26" s="16"/>
      <c r="G26" s="16"/>
      <c r="H26" s="16"/>
      <c r="I26" s="16"/>
    </row>
    <row r="27" spans="1:9" ht="18">
      <c r="A27" s="22" t="s">
        <v>80</v>
      </c>
      <c r="B27" s="23" t="s">
        <v>34</v>
      </c>
      <c r="C27" s="8" t="s">
        <v>81</v>
      </c>
      <c r="D27" s="16"/>
      <c r="E27" s="16"/>
      <c r="F27" s="16"/>
      <c r="G27" s="16"/>
      <c r="H27" s="16"/>
      <c r="I27" s="16"/>
    </row>
    <row r="28" spans="1:9" ht="18">
      <c r="A28" s="22" t="s">
        <v>81</v>
      </c>
      <c r="B28" s="23" t="s">
        <v>34</v>
      </c>
      <c r="C28" s="8" t="s">
        <v>82</v>
      </c>
      <c r="D28" s="16"/>
      <c r="E28" s="16"/>
      <c r="F28" s="16"/>
      <c r="G28" s="16"/>
      <c r="H28" s="16"/>
      <c r="I28" s="16"/>
    </row>
    <row r="29" spans="1:9" ht="18">
      <c r="A29" s="22" t="s">
        <v>82</v>
      </c>
      <c r="B29" s="23" t="s">
        <v>34</v>
      </c>
      <c r="C29" s="8" t="s">
        <v>83</v>
      </c>
      <c r="D29" s="16"/>
      <c r="E29" s="16"/>
      <c r="F29" s="16"/>
      <c r="G29" s="16"/>
      <c r="H29" s="16"/>
      <c r="I29" s="16"/>
    </row>
    <row r="30" spans="1:9" ht="18">
      <c r="A30" s="22" t="s">
        <v>83</v>
      </c>
      <c r="B30" s="23" t="s">
        <v>34</v>
      </c>
      <c r="C30" s="8" t="s">
        <v>84</v>
      </c>
      <c r="D30" s="16"/>
      <c r="E30" s="16"/>
      <c r="F30" s="16"/>
      <c r="G30" s="16"/>
      <c r="H30" s="16"/>
      <c r="I30" s="16"/>
    </row>
    <row r="31" spans="1:9" ht="18">
      <c r="A31" s="22" t="s">
        <v>84</v>
      </c>
      <c r="B31" s="23" t="s">
        <v>34</v>
      </c>
      <c r="C31" s="8" t="s">
        <v>85</v>
      </c>
      <c r="D31" s="16"/>
      <c r="E31" s="16"/>
      <c r="F31" s="16"/>
      <c r="G31" s="16"/>
      <c r="H31" s="16"/>
      <c r="I31" s="16"/>
    </row>
    <row r="32" spans="1:9" ht="18">
      <c r="A32" s="22" t="s">
        <v>85</v>
      </c>
      <c r="B32" s="23" t="s">
        <v>34</v>
      </c>
      <c r="C32" s="8" t="s">
        <v>86</v>
      </c>
      <c r="D32" s="16"/>
      <c r="E32" s="16"/>
      <c r="F32" s="16"/>
      <c r="G32" s="16"/>
      <c r="H32" s="16"/>
      <c r="I32" s="16"/>
    </row>
    <row r="33" spans="1:9" ht="18">
      <c r="A33" s="22" t="s">
        <v>86</v>
      </c>
      <c r="B33" s="23" t="s">
        <v>34</v>
      </c>
      <c r="C33" s="8" t="s">
        <v>87</v>
      </c>
      <c r="D33" s="16"/>
      <c r="E33" s="16"/>
      <c r="F33" s="16"/>
      <c r="G33" s="16"/>
      <c r="H33" s="16"/>
      <c r="I33" s="16"/>
    </row>
    <row r="34" spans="1:9" ht="18">
      <c r="A34" s="22" t="s">
        <v>87</v>
      </c>
      <c r="B34" s="23" t="s">
        <v>34</v>
      </c>
      <c r="C34" s="8" t="s">
        <v>88</v>
      </c>
      <c r="D34" s="16"/>
      <c r="E34" s="16"/>
      <c r="F34" s="16"/>
      <c r="G34" s="16"/>
      <c r="H34" s="16"/>
      <c r="I34" s="16"/>
    </row>
    <row r="35" spans="1:9" ht="18">
      <c r="A35" s="22"/>
      <c r="B35" s="23"/>
      <c r="C35" s="8"/>
      <c r="D35" s="16"/>
      <c r="E35" s="16"/>
      <c r="F35" s="16"/>
      <c r="G35" s="16"/>
      <c r="H35" s="16"/>
      <c r="I35" s="16"/>
    </row>
    <row r="36" spans="1:9" ht="18">
      <c r="A36" s="22"/>
      <c r="B36" s="23"/>
      <c r="C36" s="8"/>
      <c r="D36" s="16"/>
      <c r="E36" s="16"/>
      <c r="F36" s="16"/>
      <c r="G36" s="16"/>
      <c r="H36" s="16"/>
      <c r="I36" s="16"/>
    </row>
    <row r="37" spans="1:9" ht="18">
      <c r="A37" s="17"/>
      <c r="B37" s="17"/>
      <c r="C37" s="17"/>
      <c r="D37" s="18"/>
      <c r="E37" s="18"/>
      <c r="F37" s="18"/>
      <c r="G37" s="18"/>
      <c r="H37" s="18"/>
      <c r="I37" s="18"/>
    </row>
    <row r="38" spans="1:9" ht="18">
      <c r="A38" s="11" t="s">
        <v>32</v>
      </c>
      <c r="B38" s="11"/>
      <c r="C38" s="11"/>
      <c r="D38" s="1"/>
      <c r="E38" s="1"/>
      <c r="F38" s="1"/>
      <c r="G38" s="11"/>
      <c r="H38" s="1"/>
      <c r="I38" s="1"/>
    </row>
    <row r="39" spans="1:9" ht="18">
      <c r="A39" s="11"/>
      <c r="B39" s="11"/>
      <c r="C39" s="11"/>
      <c r="D39" s="1"/>
      <c r="E39" s="1"/>
      <c r="F39" s="1"/>
      <c r="G39" s="1"/>
      <c r="H39" s="1"/>
      <c r="I39" s="1"/>
    </row>
    <row r="40" spans="1:9" ht="18">
      <c r="A40" s="11" t="s">
        <v>33</v>
      </c>
      <c r="B40" s="11"/>
      <c r="C40" s="11"/>
      <c r="D40" s="1"/>
      <c r="E40" s="1"/>
      <c r="F40" s="1"/>
      <c r="G40" s="1"/>
      <c r="H40" s="1"/>
      <c r="I40" s="1"/>
    </row>
  </sheetData>
  <mergeCells count="5">
    <mergeCell ref="A1:I1"/>
    <mergeCell ref="A3:I3"/>
    <mergeCell ref="A8:I8"/>
    <mergeCell ref="D12:E12"/>
    <mergeCell ref="F12:G12"/>
  </mergeCells>
  <phoneticPr fontId="0" type="noConversion"/>
  <pageMargins left="0.44" right="0.33" top="0.68" bottom="0.53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Longbeach - South</vt:lpstr>
      <vt:lpstr>Longbeach - North</vt:lpstr>
      <vt:lpstr>Twin Harbors</vt:lpstr>
      <vt:lpstr>Copalis</vt:lpstr>
      <vt:lpstr>Mocrocks</vt:lpstr>
      <vt:lpstr>Twin Harbors - Bonge</vt:lpstr>
      <vt:lpstr>Twin Harbors - Grayland</vt:lpstr>
      <vt:lpstr>South Longbeach - Field</vt:lpstr>
      <vt:lpstr>North Longbeach - Field</vt:lpstr>
      <vt:lpstr>Copalis - Field</vt:lpstr>
      <vt:lpstr>Mocrocks - Field</vt:lpstr>
      <vt:lpstr>Sheet6</vt:lpstr>
    </vt:vector>
  </TitlesOfParts>
  <Company>DIS Leased System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R. Deibert</dc:creator>
  <cp:lastModifiedBy>John Deibert</cp:lastModifiedBy>
  <cp:lastPrinted>2004-04-26T22:51:27Z</cp:lastPrinted>
  <dcterms:created xsi:type="dcterms:W3CDTF">2004-04-01T22:48:41Z</dcterms:created>
  <dcterms:modified xsi:type="dcterms:W3CDTF">2010-08-25T23:40:26Z</dcterms:modified>
</cp:coreProperties>
</file>