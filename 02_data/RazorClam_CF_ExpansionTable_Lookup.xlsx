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tateofwa-my.sharepoint.com/personal/matthew_george_dfw_wa_gov/Documents/Desktop/Github/razor-clam-harvest-monitoring/02_data/"/>
    </mc:Choice>
  </mc:AlternateContent>
  <xr:revisionPtr revIDLastSave="1" documentId="11_92B6B5A5D082177E369224AB6940B77876354E67" xr6:coauthVersionLast="47" xr6:coauthVersionMax="47" xr10:uidLastSave="{102B0058-EF77-4613-BA67-867C8768C26A}"/>
  <bookViews>
    <workbookView xWindow="38280" yWindow="-120" windowWidth="38640" windowHeight="21120" tabRatio="500" activeTab="5" xr2:uid="{00000000-000D-0000-FFFF-FFFF00000000}"/>
  </bookViews>
  <sheets>
    <sheet name="README" sheetId="1" r:id="rId1"/>
    <sheet name="Current_Tables" sheetId="2" r:id="rId2"/>
    <sheet name="Lookup_Tidy" sheetId="3" r:id="rId3"/>
    <sheet name="Tables_Wide" sheetId="4" r:id="rId4"/>
    <sheet name="Active_From_Logs" sheetId="5" r:id="rId5"/>
    <sheet name="Condition_Selec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4" l="1"/>
</calcChain>
</file>

<file path=xl/sharedStrings.xml><?xml version="1.0" encoding="utf-8"?>
<sst xmlns="http://schemas.openxmlformats.org/spreadsheetml/2006/main" count="1320" uniqueCount="148">
  <si>
    <t>Razor Clam CF Ingress/Egress Expansion-Table Lookup</t>
  </si>
  <si>
    <t>Purpose</t>
  </si>
  <si>
    <t>Single consolidated lookup of the ingress/egress (I/E) expansion tables that set the razor clam harvest correction factor (CF). For a count, CF = mean "% available for beach count" over the bins spanning the count window, for the matching beach and condition.</t>
  </si>
  <si>
    <t>CF in the chain</t>
  </si>
  <si>
    <t>E_total = E_t*(1-p)/CF ; H_total = E_total*CPUE + H_w. CF = R_t (mean egress ratio over the count interval). This is the post-2013 corrected form (see Ayres memo 8/29/2013).</t>
  </si>
  <si>
    <t>Reference count time</t>
  </si>
  <si>
    <t>Standard beach count ~1 hour before low water at peak effort; a count takes ~26-31 min. Peak timing varies by beach/tide (e.g., Long Beach evening peak ~1:45-2:00 before low).</t>
  </si>
  <si>
    <t>Sheets</t>
  </si>
  <si>
    <t>Lookup_Tidy = every provided 2012-2013 table bin in long form (use for computation). Tables_Wide = same values pivoted bin x table for reading/comparison. Active_From_Logs = the CF bin values actually used in 2023-2026, reconstructed from the CF logs. Condition_Selection = how to choose daylight/near-dark/poor-weather and the database weather fields.</t>
  </si>
  <si>
    <t>CRITICAL FINDING</t>
  </si>
  <si>
    <t>The provided tables are all 2012-2013 vintage. They are NOT the tables currently in use for three of four beaches. Recent CF logs use values that appear in the provided table ONLY for Twin Harbors (exact match). Long Beach, Copalis, and Mocrocks current values are NOT in the provided tables (refined since 2013). The current LB/Copalis/Mocrocks tables are MISSING from the project folder and should be located. See Active_From_Logs.</t>
  </si>
  <si>
    <t>Provided table vintages</t>
  </si>
  <si>
    <t>Long Beach evening 2013-02-11; Twin Harbors evening 2013-09-24; Mocrocks evening 2013-09-18; Copalis evening 2012-12-19; Master_Tables.xls (Copalis/Mocrocks/Kalaloch daylight + Copalis near-dark + Mocrocks poor-weather) undated, same 2012-2013 era.</t>
  </si>
  <si>
    <t>What changed ~2022-23</t>
  </si>
  <si>
    <t>Not the tables (frozen since 2013). The change is application: from 2023-24 CF is logged per event using a standardized rule (average the two largest applicable bins at peak-effort timing), which tightened within-season CF spread (CV ~0.08-0.15 before, ~0.02-0.04 after).</t>
  </si>
  <si>
    <t>% Available units</t>
  </si>
  <si>
    <t>Stored as a fraction (0-1) and shown as a percentage. Master_Tables values were fractions; evening-PDF values were percentages and were divided by 100.</t>
  </si>
  <si>
    <t>Time columns</t>
  </si>
  <si>
    <t>StartMinPriorLow / EndMinPriorLow are minutes relative to low water: positive = before low, negative = after low. "&gt;3:00 (lead-in)" is the cumulative pre-3:00 value carried in Master_Tables and has blank times.</t>
  </si>
  <si>
    <t>Source-file caveats</t>
  </si>
  <si>
    <t>wdfw02656.pdf and the three CF-log .docx are corrupt on disk; CF-log content here was read from the search index, not parsed from the files. Re-exports would allow a full per-event CF-to-event reconciliation.</t>
  </si>
  <si>
    <t>Not included</t>
  </si>
  <si>
    <t>No Long Beach or Twin Harbors daylight table, and no poor-weather table for Long Beach/Twin Harbors/Copalis/Kalaloch, were in the provided files. Morning (spring) daylight tables for Long Beach were also not provided.</t>
  </si>
  <si>
    <t>Beach</t>
  </si>
  <si>
    <t>Condition</t>
  </si>
  <si>
    <t>Bin</t>
  </si>
  <si>
    <t>StartMinPriorLow</t>
  </si>
  <si>
    <t>EndMinPriorLow</t>
  </si>
  <si>
    <t>PctAvailable</t>
  </si>
  <si>
    <t>SourceFile</t>
  </si>
  <si>
    <t>Vintage</t>
  </si>
  <si>
    <t>Long Beach</t>
  </si>
  <si>
    <t>Current (operational)</t>
  </si>
  <si>
    <t>3:00 - 2:45</t>
  </si>
  <si>
    <t>Razor_Clam_Recreational_Harvest_Database (Correction Factor form)</t>
  </si>
  <si>
    <t>Current (extracted from harvest DB form)</t>
  </si>
  <si>
    <t>2:45 - 2:30</t>
  </si>
  <si>
    <t>2:30 - 2:15</t>
  </si>
  <si>
    <t>2:15 - 2:00</t>
  </si>
  <si>
    <t>2:00 - 1:45</t>
  </si>
  <si>
    <t>1:45 - 1:30</t>
  </si>
  <si>
    <t>1:30 - 1:15</t>
  </si>
  <si>
    <t>1:15 - 1:00</t>
  </si>
  <si>
    <t>1:00 - 0:45</t>
  </si>
  <si>
    <t>0:45 - 0:30</t>
  </si>
  <si>
    <t>0:30 - 0:15</t>
  </si>
  <si>
    <t>0:15 - 0:00</t>
  </si>
  <si>
    <t>0:00 - 0:15</t>
  </si>
  <si>
    <t>0:15 - 0:30</t>
  </si>
  <si>
    <t>0:30 - 0:45</t>
  </si>
  <si>
    <t>0:45 - 1:00</t>
  </si>
  <si>
    <t>Twin Harbors</t>
  </si>
  <si>
    <t>Copalis</t>
  </si>
  <si>
    <t>Mocrocks</t>
  </si>
  <si>
    <t>Kalaloch</t>
  </si>
  <si>
    <t>(no expansion table)</t>
  </si>
  <si>
    <t>Kalaloch has no embedded curve in the form; assessed separately by ONP.</t>
  </si>
  <si>
    <t>Daylight (good weather)</t>
  </si>
  <si>
    <t>&gt;3:00 (lead-in)</t>
  </si>
  <si>
    <t>Master_Tables.xls</t>
  </si>
  <si>
    <t>2012-2013 (Master_Tables.xls, undated)</t>
  </si>
  <si>
    <t>1:00 - 1:15</t>
  </si>
  <si>
    <t>1:15 - 1:30</t>
  </si>
  <si>
    <t>Evening (near dark)</t>
  </si>
  <si>
    <t>3:30 - 3:15</t>
  </si>
  <si>
    <t>Copalis_Evening_Tides_Cumulative_Ingress.pdf</t>
  </si>
  <si>
    <t>2012-12-19 (evening-tide ingress PDF)</t>
  </si>
  <si>
    <t>3:15 - 3:00</t>
  </si>
  <si>
    <t>Near dark</t>
  </si>
  <si>
    <t>Daylight</t>
  </si>
  <si>
    <t>Longbeach_Evening_Tides_Cumulative_Ingress_20130918.pdf</t>
  </si>
  <si>
    <t>2013-02-11 (evening-tide ingress PDF)</t>
  </si>
  <si>
    <t>1:30 - 1:45</t>
  </si>
  <si>
    <t>1:45 - 2:00</t>
  </si>
  <si>
    <t>Daylight / Poor Weather</t>
  </si>
  <si>
    <t>Mocrocks_Evening_Tides_Cumulative_Ingress_20130918.pdf</t>
  </si>
  <si>
    <t>2013-09-18 (evening-tide ingress PDF)</t>
  </si>
  <si>
    <t>Twin_Harbors_Evening_Tides_Cumulative_Ingress_Sept_24_2013.pdf</t>
  </si>
  <si>
    <t>2013-09-24 (evening-tide ingress PDF)</t>
  </si>
  <si>
    <t>Copalis | Daylight (good weather)</t>
  </si>
  <si>
    <t>Copalis | Evening (near dark)</t>
  </si>
  <si>
    <t>Copalis | Near dark</t>
  </si>
  <si>
    <t>Kalaloch | Daylight</t>
  </si>
  <si>
    <t>Long Beach | Evening (near dark)</t>
  </si>
  <si>
    <t>Mocrocks | Daylight (good weather)</t>
  </si>
  <si>
    <t>Mocrocks | Daylight / Poor Weather</t>
  </si>
  <si>
    <t>Mocrocks | Evening (near dark)</t>
  </si>
  <si>
    <t>Twin Harbors | Evening (near dark)</t>
  </si>
  <si>
    <t>Example CF (Copalis daylight, count spanning 1:30-1:00 prior):</t>
  </si>
  <si>
    <t>RESOLVED: the current operational tables were located inside the harvest database (Correction Factor form) and are in the Current_Tables sheet. Every value below matches a bin of those tables exactly.</t>
  </si>
  <si>
    <t>Current CF bin values used (2023-2026 logs)</t>
  </si>
  <si>
    <t>In provided 2012-2013 table?</t>
  </si>
  <si>
    <t>Notes</t>
  </si>
  <si>
    <t>0.486, 0.502, 0.519, 0.556, 0.574, 0.589</t>
  </si>
  <si>
    <t>PARTIAL: 0.502 and 0.556 match the 2013 evening table; 0.574 and 0.589 are NOT in any provided table.</t>
  </si>
  <si>
    <t>Current Long Beach table differs from the 2013 evening table and is missing from the folder. Long Beach is split into north and south sub-areas (same CF values).</t>
  </si>
  <si>
    <t>0.481, 0.519, 0.525, 0.537</t>
  </si>
  <si>
    <t>FULL: all four are bins of the 2013 evening table.</t>
  </si>
  <si>
    <t>The 2013 Twin Harbors evening table appears to still be the current table.</t>
  </si>
  <si>
    <t>0.483, 0.538, 0.541, 0.547  (standard);  0.598, 0.636, 0.674 (same-day I/E only)</t>
  </si>
  <si>
    <t>NONE for the standard values (evening peak ~0.520, daylight peak ~0.545 do not contain 0.538/0.541/0.547).</t>
  </si>
  <si>
    <t>Current Copalis table differs from both provided Copalis tables and is missing. The high trio was used once (event 2357) from I/E collected that same day.</t>
  </si>
  <si>
    <t>0.445, 0.464, 0.505, 0.510, 0.545, 0.551</t>
  </si>
  <si>
    <t>PARTIAL: 0.551 ~ evening 0.552; the rest are not in the provided tables.</t>
  </si>
  <si>
    <t>Current Mocrocks table differs from both provided Mocrocks tables and is missing.</t>
  </si>
  <si>
    <t>Assignment practice (2023-24 onward)</t>
  </si>
  <si>
    <t>- Dominant rule: CF = average of the two largest applicable table bins, chosen by when the count occurred relative to peak effort (logged per EventID).</t>
  </si>
  <si>
    <t>- Small / condensed / slow-digging crowds: a fixed CF of 0.600 or 0.700 is assigned instead (the count captures most of the effort).</t>
  </si>
  <si>
    <t>- Occasionally same-day ingress/egress data is collected and used for that day CF (e.g., Copalis event 2357 -&gt; 0.636).</t>
  </si>
  <si>
    <t>- These logs begin in the 2023-24 season; the standardized, documented assignment is what tightened the within-season CF spread from ~2023.</t>
  </si>
  <si>
    <t>Choosing the expansion table: two independent dimensions</t>
  </si>
  <si>
    <t>1) Light condition (daylight vs near dark) -&gt; from low-tide time vs sunset / last light (schedule sheets give both). Fall evening series = near dark/evening; spring morning series = daylight.</t>
  </si>
  <si>
    <t>2) Weather condition (good vs poor) -&gt; from the Access database condition fields recorded per event (also noted on the schedule sheets).</t>
  </si>
  <si>
    <t>Database field -&gt; "poor weather" when value is:</t>
  </si>
  <si>
    <t>Database field</t>
  </si>
  <si>
    <t>Values indicating POOR weather</t>
  </si>
  <si>
    <t>Values indicating GOOD weather</t>
  </si>
  <si>
    <t>Lookup table</t>
  </si>
  <si>
    <t>SurfConditions</t>
  </si>
  <si>
    <t>High, Mod+</t>
  </si>
  <si>
    <t>Low, Low+, Mod</t>
  </si>
  <si>
    <t>lut_Surf</t>
  </si>
  <si>
    <t>PrecipConditions</t>
  </si>
  <si>
    <t>Mod Rain, Hvy Rain, Hail, Snow</t>
  </si>
  <si>
    <t>(none), Drizzle, Showers</t>
  </si>
  <si>
    <t>lut_Rain</t>
  </si>
  <si>
    <t>WindConditions</t>
  </si>
  <si>
    <t>15-25 MPH, Over 25 MPH</t>
  </si>
  <si>
    <t>No Wind, 0-5, 5-15 MPH</t>
  </si>
  <si>
    <t>lut_WindSpeed</t>
  </si>
  <si>
    <t>OtherConditions</t>
  </si>
  <si>
    <t>Storm, Cold</t>
  </si>
  <si>
    <t>(blank)</t>
  </si>
  <si>
    <t>lut_SpecialConditions</t>
  </si>
  <si>
    <t>SkyConditions</t>
  </si>
  <si>
    <t>(informational: Overcast/Foggy)</t>
  </si>
  <si>
    <t>Clear, Part Cloudy</t>
  </si>
  <si>
    <t>lut_Weather</t>
  </si>
  <si>
    <t>Condition tables available in the provided 2012-2013 files (gaps = missing):</t>
  </si>
  <si>
    <t>Daylight (good)</t>
  </si>
  <si>
    <t>Daylight (poor weather)</t>
  </si>
  <si>
    <t>Evening / near dark</t>
  </si>
  <si>
    <t>MISSING</t>
  </si>
  <si>
    <t>2013-02-11</t>
  </si>
  <si>
    <t>2013-09-24</t>
  </si>
  <si>
    <t>Master_Tables</t>
  </si>
  <si>
    <t>2012-12-19  (+ near-dark in Master_Tables)</t>
  </si>
  <si>
    <t>2013-09-18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</si>
</sst>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name val="Arial"/>
      <charset val="1"/>
    </font>
    <font>
      <b/>
      <sz val="11"/>
      <name val="Arial"/>
      <charset val="1"/>
    </font>
    <font>
      <sz val="11"/>
      <name val="Arial"/>
      <charset val="1"/>
    </font>
    <font>
      <b/>
      <sz val="11"/>
      <color rgb="FFFFFFFF"/>
      <name val="Arial"/>
      <charset val="1"/>
    </font>
    <font>
      <b/>
      <i/>
      <sz val="11"/>
      <name val="Arial"/>
      <charset val="1"/>
    </font>
    <font>
      <b/>
      <sz val="12"/>
      <name val="Arial"/>
      <charset val="1"/>
    </font>
    <font>
      <b/>
      <sz val="11"/>
      <color rgb="FFFFFFFF"/>
      <name val="Arial"/>
    </font>
    <font>
      <sz val="11"/>
      <name val="Arial"/>
    </font>
    <font>
      <i/>
      <sz val="11"/>
      <name val="Arial"/>
    </font>
    <font>
      <b/>
      <sz val="11"/>
      <color rgb="FF006100"/>
      <name val="Arial"/>
    </font>
  </fonts>
  <fills count="7">
    <fill>
      <patternFill patternType="none"/>
    </fill>
    <fill>
      <patternFill patternType="gray125"/>
    </fill>
    <fill>
      <patternFill patternType="solid">
        <fgColor rgb="FFFFF2CC"/>
        <bgColor rgb="FFFFFFFF"/>
      </patternFill>
    </fill>
    <fill>
      <patternFill patternType="solid">
        <fgColor rgb="FF1F4E5F"/>
        <bgColor rgb="FF333333"/>
      </patternFill>
    </fill>
    <fill>
      <patternFill patternType="solid">
        <fgColor rgb="FFD9E1E5"/>
        <bgColor rgb="FFCCFFCC"/>
      </patternFill>
    </fill>
    <fill>
      <patternFill patternType="solid">
        <fgColor rgb="FF6A2E5F"/>
      </patternFill>
    </fill>
    <fill>
      <patternFill patternType="solid">
        <f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2" fillId="0" borderId="0" xfId="0" applyFont="1" applyAlignment="1">
      <alignment vertical="top" wrapText="1"/>
    </xf>
    <xf numFmtId="0" fontId="3"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4" fillId="3" borderId="1" xfId="0"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center"/>
    </xf>
    <xf numFmtId="164" fontId="3" fillId="0" borderId="1" xfId="0" applyNumberFormat="1" applyFont="1" applyBorder="1" applyAlignment="1">
      <alignment horizontal="center"/>
    </xf>
    <xf numFmtId="0" fontId="2" fillId="0" borderId="1" xfId="0" applyFont="1" applyBorder="1"/>
    <xf numFmtId="0" fontId="5" fillId="0" borderId="0" xfId="0" applyFont="1"/>
    <xf numFmtId="164" fontId="2" fillId="0" borderId="0" xfId="0" applyNumberFormat="1" applyFont="1"/>
    <xf numFmtId="0" fontId="2" fillId="0" borderId="1" xfId="0" applyFont="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7" fillId="5" borderId="2" xfId="0" applyFont="1" applyFill="1" applyBorder="1" applyAlignment="1">
      <alignment horizontal="center" wrapText="1"/>
    </xf>
    <xf numFmtId="0" fontId="8" fillId="0" borderId="2" xfId="0" applyFont="1" applyBorder="1"/>
    <xf numFmtId="0" fontId="8" fillId="0" borderId="2" xfId="0" applyFont="1" applyBorder="1" applyAlignment="1">
      <alignment horizontal="center"/>
    </xf>
    <xf numFmtId="164" fontId="8" fillId="0" borderId="2" xfId="0" applyNumberFormat="1" applyFont="1" applyBorder="1" applyAlignment="1">
      <alignment horizontal="center"/>
    </xf>
    <xf numFmtId="0" fontId="9" fillId="0" borderId="0" xfId="0" applyFont="1"/>
    <xf numFmtId="0" fontId="1" fillId="0" borderId="0" xfId="0" applyFont="1"/>
    <xf numFmtId="0" fontId="0" fillId="0" borderId="0" xfId="0"/>
    <xf numFmtId="0" fontId="10" fillId="6" borderId="0" xfId="0" applyFont="1" applyFill="1"/>
    <xf numFmtId="0" fontId="3" fillId="0" borderId="0" xfId="0" applyFont="1" applyAlignment="1">
      <alignment vertical="top" wrapText="1"/>
    </xf>
    <xf numFmtId="0" fontId="2" fillId="4" borderId="0" xfId="0" applyFont="1" applyFill="1"/>
    <xf numFmtId="0" fontId="6"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zoomScaleNormal="100" workbookViewId="0">
      <selection activeCell="B19" sqref="B19"/>
    </sheetView>
  </sheetViews>
  <sheetFormatPr defaultColWidth="8.7109375" defaultRowHeight="15" x14ac:dyDescent="0.25"/>
  <cols>
    <col min="1" max="1" width="26" customWidth="1"/>
    <col min="2" max="2" width="104" customWidth="1"/>
  </cols>
  <sheetData>
    <row r="1" spans="1:2" ht="17.45" customHeight="1" x14ac:dyDescent="0.25">
      <c r="A1" s="20" t="s">
        <v>0</v>
      </c>
      <c r="B1" s="21"/>
    </row>
    <row r="3" spans="1:2" ht="42" customHeight="1" x14ac:dyDescent="0.25">
      <c r="A3" s="1" t="s">
        <v>1</v>
      </c>
      <c r="B3" s="2" t="s">
        <v>2</v>
      </c>
    </row>
    <row r="4" spans="1:2" ht="27.75" customHeight="1" x14ac:dyDescent="0.25">
      <c r="A4" s="1" t="s">
        <v>3</v>
      </c>
      <c r="B4" s="2" t="s">
        <v>4</v>
      </c>
    </row>
    <row r="5" spans="1:2" ht="27.75" customHeight="1" x14ac:dyDescent="0.25">
      <c r="A5" s="1" t="s">
        <v>5</v>
      </c>
      <c r="B5" s="2" t="s">
        <v>6</v>
      </c>
    </row>
    <row r="6" spans="1:2" ht="55.5" customHeight="1" x14ac:dyDescent="0.25">
      <c r="A6" s="1" t="s">
        <v>7</v>
      </c>
      <c r="B6" s="2" t="s">
        <v>8</v>
      </c>
    </row>
    <row r="7" spans="1:2" ht="69.75" customHeight="1" x14ac:dyDescent="0.25">
      <c r="A7" s="3" t="s">
        <v>9</v>
      </c>
      <c r="B7" s="4" t="s">
        <v>10</v>
      </c>
    </row>
    <row r="8" spans="1:2" ht="42" customHeight="1" x14ac:dyDescent="0.25">
      <c r="A8" s="1" t="s">
        <v>11</v>
      </c>
      <c r="B8" s="2" t="s">
        <v>12</v>
      </c>
    </row>
    <row r="9" spans="1:2" ht="42" customHeight="1" x14ac:dyDescent="0.25">
      <c r="A9" s="1" t="s">
        <v>13</v>
      </c>
      <c r="B9" s="2" t="s">
        <v>14</v>
      </c>
    </row>
    <row r="10" spans="1:2" ht="27.75" customHeight="1" x14ac:dyDescent="0.25">
      <c r="A10" s="1" t="s">
        <v>15</v>
      </c>
      <c r="B10" s="2" t="s">
        <v>16</v>
      </c>
    </row>
    <row r="11" spans="1:2" ht="42" customHeight="1" x14ac:dyDescent="0.25">
      <c r="A11" s="1" t="s">
        <v>17</v>
      </c>
      <c r="B11" s="2" t="s">
        <v>18</v>
      </c>
    </row>
    <row r="12" spans="1:2" ht="42" customHeight="1" x14ac:dyDescent="0.25">
      <c r="A12" s="1" t="s">
        <v>19</v>
      </c>
      <c r="B12" s="2" t="s">
        <v>20</v>
      </c>
    </row>
    <row r="13" spans="1:2" ht="42" customHeight="1" x14ac:dyDescent="0.25">
      <c r="A13" s="1" t="s">
        <v>21</v>
      </c>
      <c r="B13" s="2" t="s">
        <v>22</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4" customWidth="1"/>
    <col min="4" max="5" width="16" customWidth="1"/>
    <col min="6" max="6" width="12" customWidth="1"/>
    <col min="7" max="7" width="52" customWidth="1"/>
    <col min="8" max="8" width="40" customWidth="1"/>
  </cols>
  <sheetData>
    <row r="1" spans="1:8" ht="30" x14ac:dyDescent="0.25">
      <c r="A1" s="15" t="s">
        <v>23</v>
      </c>
      <c r="B1" s="15" t="s">
        <v>24</v>
      </c>
      <c r="C1" s="15" t="s">
        <v>25</v>
      </c>
      <c r="D1" s="15" t="s">
        <v>26</v>
      </c>
      <c r="E1" s="15" t="s">
        <v>27</v>
      </c>
      <c r="F1" s="15" t="s">
        <v>28</v>
      </c>
      <c r="G1" s="15" t="s">
        <v>29</v>
      </c>
      <c r="H1" s="15" t="s">
        <v>30</v>
      </c>
    </row>
    <row r="2" spans="1:8" x14ac:dyDescent="0.25">
      <c r="A2" s="16" t="s">
        <v>31</v>
      </c>
      <c r="B2" s="16" t="s">
        <v>32</v>
      </c>
      <c r="C2" s="16" t="s">
        <v>33</v>
      </c>
      <c r="D2" s="17">
        <v>180</v>
      </c>
      <c r="E2" s="17">
        <v>165</v>
      </c>
      <c r="F2" s="18">
        <v>0.16139999999999999</v>
      </c>
      <c r="G2" s="16" t="s">
        <v>34</v>
      </c>
      <c r="H2" s="16" t="s">
        <v>35</v>
      </c>
    </row>
    <row r="3" spans="1:8" x14ac:dyDescent="0.25">
      <c r="A3" s="16" t="s">
        <v>31</v>
      </c>
      <c r="B3" s="16" t="s">
        <v>32</v>
      </c>
      <c r="C3" s="16" t="s">
        <v>36</v>
      </c>
      <c r="D3" s="17">
        <v>165</v>
      </c>
      <c r="E3" s="17">
        <v>150</v>
      </c>
      <c r="F3" s="18">
        <v>0.23930000000000001</v>
      </c>
      <c r="G3" s="16" t="s">
        <v>34</v>
      </c>
      <c r="H3" s="16" t="s">
        <v>35</v>
      </c>
    </row>
    <row r="4" spans="1:8" x14ac:dyDescent="0.25">
      <c r="A4" s="16" t="s">
        <v>31</v>
      </c>
      <c r="B4" s="16" t="s">
        <v>32</v>
      </c>
      <c r="C4" s="16" t="s">
        <v>37</v>
      </c>
      <c r="D4" s="17">
        <v>150</v>
      </c>
      <c r="E4" s="17">
        <v>135</v>
      </c>
      <c r="F4" s="18">
        <v>0.34849999999999998</v>
      </c>
      <c r="G4" s="16" t="s">
        <v>34</v>
      </c>
      <c r="H4" s="16" t="s">
        <v>35</v>
      </c>
    </row>
    <row r="5" spans="1:8" x14ac:dyDescent="0.25">
      <c r="A5" s="16" t="s">
        <v>31</v>
      </c>
      <c r="B5" s="16" t="s">
        <v>32</v>
      </c>
      <c r="C5" s="16" t="s">
        <v>38</v>
      </c>
      <c r="D5" s="17">
        <v>135</v>
      </c>
      <c r="E5" s="17">
        <v>120</v>
      </c>
      <c r="F5" s="18">
        <v>0.43869999999999998</v>
      </c>
      <c r="G5" s="16" t="s">
        <v>34</v>
      </c>
      <c r="H5" s="16" t="s">
        <v>35</v>
      </c>
    </row>
    <row r="6" spans="1:8" x14ac:dyDescent="0.25">
      <c r="A6" s="16" t="s">
        <v>31</v>
      </c>
      <c r="B6" s="16" t="s">
        <v>32</v>
      </c>
      <c r="C6" s="16" t="s">
        <v>39</v>
      </c>
      <c r="D6" s="17">
        <v>120</v>
      </c>
      <c r="E6" s="17">
        <v>105</v>
      </c>
      <c r="F6" s="18">
        <v>0.51849999999999996</v>
      </c>
      <c r="G6" s="16" t="s">
        <v>34</v>
      </c>
      <c r="H6" s="16" t="s">
        <v>35</v>
      </c>
    </row>
    <row r="7" spans="1:8" x14ac:dyDescent="0.25">
      <c r="A7" s="16" t="s">
        <v>31</v>
      </c>
      <c r="B7" s="16" t="s">
        <v>32</v>
      </c>
      <c r="C7" s="16" t="s">
        <v>40</v>
      </c>
      <c r="D7" s="17">
        <v>105</v>
      </c>
      <c r="E7" s="17">
        <v>90</v>
      </c>
      <c r="F7" s="18">
        <v>0.5736</v>
      </c>
      <c r="G7" s="16" t="s">
        <v>34</v>
      </c>
      <c r="H7" s="16" t="s">
        <v>35</v>
      </c>
    </row>
    <row r="8" spans="1:8" x14ac:dyDescent="0.25">
      <c r="A8" s="16" t="s">
        <v>31</v>
      </c>
      <c r="B8" s="16" t="s">
        <v>32</v>
      </c>
      <c r="C8" s="16" t="s">
        <v>41</v>
      </c>
      <c r="D8" s="17">
        <v>90</v>
      </c>
      <c r="E8" s="17">
        <v>75</v>
      </c>
      <c r="F8" s="18">
        <v>0.58879999999999999</v>
      </c>
      <c r="G8" s="16" t="s">
        <v>34</v>
      </c>
      <c r="H8" s="16" t="s">
        <v>35</v>
      </c>
    </row>
    <row r="9" spans="1:8" x14ac:dyDescent="0.25">
      <c r="A9" s="16" t="s">
        <v>31</v>
      </c>
      <c r="B9" s="16" t="s">
        <v>32</v>
      </c>
      <c r="C9" s="16" t="s">
        <v>42</v>
      </c>
      <c r="D9" s="17">
        <v>75</v>
      </c>
      <c r="E9" s="17">
        <v>60</v>
      </c>
      <c r="F9" s="18">
        <v>0.55559999999999998</v>
      </c>
      <c r="G9" s="16" t="s">
        <v>34</v>
      </c>
      <c r="H9" s="16" t="s">
        <v>35</v>
      </c>
    </row>
    <row r="10" spans="1:8" x14ac:dyDescent="0.25">
      <c r="A10" s="16" t="s">
        <v>31</v>
      </c>
      <c r="B10" s="16" t="s">
        <v>32</v>
      </c>
      <c r="C10" s="16" t="s">
        <v>43</v>
      </c>
      <c r="D10" s="17">
        <v>60</v>
      </c>
      <c r="E10" s="17">
        <v>45</v>
      </c>
      <c r="F10" s="18">
        <v>0.48620000000000002</v>
      </c>
      <c r="G10" s="16" t="s">
        <v>34</v>
      </c>
      <c r="H10" s="16" t="s">
        <v>35</v>
      </c>
    </row>
    <row r="11" spans="1:8" x14ac:dyDescent="0.25">
      <c r="A11" s="16" t="s">
        <v>31</v>
      </c>
      <c r="B11" s="16" t="s">
        <v>32</v>
      </c>
      <c r="C11" s="16" t="s">
        <v>44</v>
      </c>
      <c r="D11" s="17">
        <v>45</v>
      </c>
      <c r="E11" s="17">
        <v>30</v>
      </c>
      <c r="F11" s="18">
        <v>0.40079999999999999</v>
      </c>
      <c r="G11" s="16" t="s">
        <v>34</v>
      </c>
      <c r="H11" s="16" t="s">
        <v>35</v>
      </c>
    </row>
    <row r="12" spans="1:8" x14ac:dyDescent="0.25">
      <c r="A12" s="16" t="s">
        <v>31</v>
      </c>
      <c r="B12" s="16" t="s">
        <v>32</v>
      </c>
      <c r="C12" s="16" t="s">
        <v>45</v>
      </c>
      <c r="D12" s="17">
        <v>30</v>
      </c>
      <c r="E12" s="17">
        <v>15</v>
      </c>
      <c r="F12" s="18">
        <v>0.30859999999999999</v>
      </c>
      <c r="G12" s="16" t="s">
        <v>34</v>
      </c>
      <c r="H12" s="16" t="s">
        <v>35</v>
      </c>
    </row>
    <row r="13" spans="1:8" x14ac:dyDescent="0.25">
      <c r="A13" s="16" t="s">
        <v>31</v>
      </c>
      <c r="B13" s="16" t="s">
        <v>32</v>
      </c>
      <c r="C13" s="16" t="s">
        <v>46</v>
      </c>
      <c r="D13" s="17">
        <v>15</v>
      </c>
      <c r="E13" s="17">
        <v>0</v>
      </c>
      <c r="F13" s="18">
        <v>0.24030000000000001</v>
      </c>
      <c r="G13" s="16" t="s">
        <v>34</v>
      </c>
      <c r="H13" s="16" t="s">
        <v>35</v>
      </c>
    </row>
    <row r="14" spans="1:8" x14ac:dyDescent="0.25">
      <c r="A14" s="16" t="s">
        <v>31</v>
      </c>
      <c r="B14" s="16" t="s">
        <v>32</v>
      </c>
      <c r="C14" s="16" t="s">
        <v>47</v>
      </c>
      <c r="D14" s="17">
        <v>0</v>
      </c>
      <c r="E14" s="17">
        <v>-15</v>
      </c>
      <c r="F14" s="18">
        <v>0.17030000000000001</v>
      </c>
      <c r="G14" s="16" t="s">
        <v>34</v>
      </c>
      <c r="H14" s="16" t="s">
        <v>35</v>
      </c>
    </row>
    <row r="15" spans="1:8" x14ac:dyDescent="0.25">
      <c r="A15" s="16" t="s">
        <v>31</v>
      </c>
      <c r="B15" s="16" t="s">
        <v>32</v>
      </c>
      <c r="C15" s="16" t="s">
        <v>48</v>
      </c>
      <c r="D15" s="17">
        <v>-15</v>
      </c>
      <c r="E15" s="17">
        <v>-30</v>
      </c>
      <c r="F15" s="18">
        <v>0.1023</v>
      </c>
      <c r="G15" s="16" t="s">
        <v>34</v>
      </c>
      <c r="H15" s="16" t="s">
        <v>35</v>
      </c>
    </row>
    <row r="16" spans="1:8" x14ac:dyDescent="0.25">
      <c r="A16" s="16" t="s">
        <v>31</v>
      </c>
      <c r="B16" s="16" t="s">
        <v>32</v>
      </c>
      <c r="C16" s="16" t="s">
        <v>49</v>
      </c>
      <c r="D16" s="17">
        <v>-30</v>
      </c>
      <c r="E16" s="17">
        <v>-45</v>
      </c>
      <c r="F16" s="18">
        <v>6.9099999999999995E-2</v>
      </c>
      <c r="G16" s="16" t="s">
        <v>34</v>
      </c>
      <c r="H16" s="16" t="s">
        <v>35</v>
      </c>
    </row>
    <row r="17" spans="1:8" x14ac:dyDescent="0.25">
      <c r="A17" s="16" t="s">
        <v>31</v>
      </c>
      <c r="B17" s="16" t="s">
        <v>32</v>
      </c>
      <c r="C17" s="16" t="s">
        <v>50</v>
      </c>
      <c r="D17" s="17">
        <v>-45</v>
      </c>
      <c r="E17" s="17">
        <v>-60</v>
      </c>
      <c r="F17" s="18">
        <v>4.4600000000000001E-2</v>
      </c>
      <c r="G17" s="16" t="s">
        <v>34</v>
      </c>
      <c r="H17" s="16" t="s">
        <v>35</v>
      </c>
    </row>
    <row r="18" spans="1:8" x14ac:dyDescent="0.25">
      <c r="A18" s="16" t="s">
        <v>51</v>
      </c>
      <c r="B18" s="16" t="s">
        <v>32</v>
      </c>
      <c r="C18" s="16" t="s">
        <v>33</v>
      </c>
      <c r="D18" s="17">
        <v>180</v>
      </c>
      <c r="E18" s="17">
        <v>165</v>
      </c>
      <c r="F18" s="18">
        <v>0.1686</v>
      </c>
      <c r="G18" s="16" t="s">
        <v>34</v>
      </c>
      <c r="H18" s="16" t="s">
        <v>35</v>
      </c>
    </row>
    <row r="19" spans="1:8" x14ac:dyDescent="0.25">
      <c r="A19" s="16" t="s">
        <v>51</v>
      </c>
      <c r="B19" s="16" t="s">
        <v>32</v>
      </c>
      <c r="C19" s="16" t="s">
        <v>36</v>
      </c>
      <c r="D19" s="17">
        <v>165</v>
      </c>
      <c r="E19" s="17">
        <v>150</v>
      </c>
      <c r="F19" s="18">
        <v>0.23530000000000001</v>
      </c>
      <c r="G19" s="16" t="s">
        <v>34</v>
      </c>
      <c r="H19" s="16" t="s">
        <v>35</v>
      </c>
    </row>
    <row r="20" spans="1:8" x14ac:dyDescent="0.25">
      <c r="A20" s="16" t="s">
        <v>51</v>
      </c>
      <c r="B20" s="16" t="s">
        <v>32</v>
      </c>
      <c r="C20" s="16" t="s">
        <v>37</v>
      </c>
      <c r="D20" s="17">
        <v>150</v>
      </c>
      <c r="E20" s="17">
        <v>135</v>
      </c>
      <c r="F20" s="18">
        <v>0.33479999999999999</v>
      </c>
      <c r="G20" s="16" t="s">
        <v>34</v>
      </c>
      <c r="H20" s="16" t="s">
        <v>35</v>
      </c>
    </row>
    <row r="21" spans="1:8" x14ac:dyDescent="0.25">
      <c r="A21" s="16" t="s">
        <v>51</v>
      </c>
      <c r="B21" s="16" t="s">
        <v>32</v>
      </c>
      <c r="C21" s="16" t="s">
        <v>38</v>
      </c>
      <c r="D21" s="17">
        <v>135</v>
      </c>
      <c r="E21" s="17">
        <v>120</v>
      </c>
      <c r="F21" s="18">
        <v>0.43330000000000002</v>
      </c>
      <c r="G21" s="16" t="s">
        <v>34</v>
      </c>
      <c r="H21" s="16" t="s">
        <v>35</v>
      </c>
    </row>
    <row r="22" spans="1:8" x14ac:dyDescent="0.25">
      <c r="A22" s="16" t="s">
        <v>51</v>
      </c>
      <c r="B22" s="16" t="s">
        <v>32</v>
      </c>
      <c r="C22" s="16" t="s">
        <v>39</v>
      </c>
      <c r="D22" s="17">
        <v>120</v>
      </c>
      <c r="E22" s="17">
        <v>105</v>
      </c>
      <c r="F22" s="18">
        <v>0.52490000000000003</v>
      </c>
      <c r="G22" s="16" t="s">
        <v>34</v>
      </c>
      <c r="H22" s="16" t="s">
        <v>35</v>
      </c>
    </row>
    <row r="23" spans="1:8" x14ac:dyDescent="0.25">
      <c r="A23" s="16" t="s">
        <v>51</v>
      </c>
      <c r="B23" s="16" t="s">
        <v>32</v>
      </c>
      <c r="C23" s="16" t="s">
        <v>40</v>
      </c>
      <c r="D23" s="17">
        <v>105</v>
      </c>
      <c r="E23" s="17">
        <v>90</v>
      </c>
      <c r="F23" s="18">
        <v>0.5373</v>
      </c>
      <c r="G23" s="16" t="s">
        <v>34</v>
      </c>
      <c r="H23" s="16" t="s">
        <v>35</v>
      </c>
    </row>
    <row r="24" spans="1:8" x14ac:dyDescent="0.25">
      <c r="A24" s="16" t="s">
        <v>51</v>
      </c>
      <c r="B24" s="16" t="s">
        <v>32</v>
      </c>
      <c r="C24" s="16" t="s">
        <v>41</v>
      </c>
      <c r="D24" s="17">
        <v>90</v>
      </c>
      <c r="E24" s="17">
        <v>75</v>
      </c>
      <c r="F24" s="18">
        <v>0.51919999999999999</v>
      </c>
      <c r="G24" s="16" t="s">
        <v>34</v>
      </c>
      <c r="H24" s="16" t="s">
        <v>35</v>
      </c>
    </row>
    <row r="25" spans="1:8" x14ac:dyDescent="0.25">
      <c r="A25" s="16" t="s">
        <v>51</v>
      </c>
      <c r="B25" s="16" t="s">
        <v>32</v>
      </c>
      <c r="C25" s="16" t="s">
        <v>42</v>
      </c>
      <c r="D25" s="17">
        <v>75</v>
      </c>
      <c r="E25" s="17">
        <v>60</v>
      </c>
      <c r="F25" s="18">
        <v>0.48080000000000001</v>
      </c>
      <c r="G25" s="16" t="s">
        <v>34</v>
      </c>
      <c r="H25" s="16" t="s">
        <v>35</v>
      </c>
    </row>
    <row r="26" spans="1:8" x14ac:dyDescent="0.25">
      <c r="A26" s="16" t="s">
        <v>51</v>
      </c>
      <c r="B26" s="16" t="s">
        <v>32</v>
      </c>
      <c r="C26" s="16" t="s">
        <v>43</v>
      </c>
      <c r="D26" s="17">
        <v>60</v>
      </c>
      <c r="E26" s="17">
        <v>45</v>
      </c>
      <c r="F26" s="18">
        <v>0.4219</v>
      </c>
      <c r="G26" s="16" t="s">
        <v>34</v>
      </c>
      <c r="H26" s="16" t="s">
        <v>35</v>
      </c>
    </row>
    <row r="27" spans="1:8" x14ac:dyDescent="0.25">
      <c r="A27" s="16" t="s">
        <v>51</v>
      </c>
      <c r="B27" s="16" t="s">
        <v>32</v>
      </c>
      <c r="C27" s="16" t="s">
        <v>44</v>
      </c>
      <c r="D27" s="17">
        <v>45</v>
      </c>
      <c r="E27" s="17">
        <v>30</v>
      </c>
      <c r="F27" s="18">
        <v>0.33600000000000002</v>
      </c>
      <c r="G27" s="16" t="s">
        <v>34</v>
      </c>
      <c r="H27" s="16" t="s">
        <v>35</v>
      </c>
    </row>
    <row r="28" spans="1:8" x14ac:dyDescent="0.25">
      <c r="A28" s="16" t="s">
        <v>51</v>
      </c>
      <c r="B28" s="16" t="s">
        <v>32</v>
      </c>
      <c r="C28" s="16" t="s">
        <v>45</v>
      </c>
      <c r="D28" s="17">
        <v>30</v>
      </c>
      <c r="E28" s="17">
        <v>15</v>
      </c>
      <c r="F28" s="18">
        <v>0.27039999999999997</v>
      </c>
      <c r="G28" s="16" t="s">
        <v>34</v>
      </c>
      <c r="H28" s="16" t="s">
        <v>35</v>
      </c>
    </row>
    <row r="29" spans="1:8" x14ac:dyDescent="0.25">
      <c r="A29" s="16" t="s">
        <v>51</v>
      </c>
      <c r="B29" s="16" t="s">
        <v>32</v>
      </c>
      <c r="C29" s="16" t="s">
        <v>46</v>
      </c>
      <c r="D29" s="17">
        <v>15</v>
      </c>
      <c r="E29" s="17">
        <v>0</v>
      </c>
      <c r="F29" s="18">
        <v>0.19120000000000001</v>
      </c>
      <c r="G29" s="16" t="s">
        <v>34</v>
      </c>
      <c r="H29" s="16" t="s">
        <v>35</v>
      </c>
    </row>
    <row r="30" spans="1:8" x14ac:dyDescent="0.25">
      <c r="A30" s="16" t="s">
        <v>51</v>
      </c>
      <c r="B30" s="16" t="s">
        <v>32</v>
      </c>
      <c r="C30" s="16" t="s">
        <v>47</v>
      </c>
      <c r="D30" s="17">
        <v>0</v>
      </c>
      <c r="E30" s="17">
        <v>-15</v>
      </c>
      <c r="F30" s="18">
        <v>0.1346</v>
      </c>
      <c r="G30" s="16" t="s">
        <v>34</v>
      </c>
      <c r="H30" s="16" t="s">
        <v>35</v>
      </c>
    </row>
    <row r="31" spans="1:8" x14ac:dyDescent="0.25">
      <c r="A31" s="16" t="s">
        <v>51</v>
      </c>
      <c r="B31" s="16" t="s">
        <v>32</v>
      </c>
      <c r="C31" s="16" t="s">
        <v>48</v>
      </c>
      <c r="D31" s="17">
        <v>-15</v>
      </c>
      <c r="E31" s="17">
        <v>-30</v>
      </c>
      <c r="F31" s="18">
        <v>9.6199999999999994E-2</v>
      </c>
      <c r="G31" s="16" t="s">
        <v>34</v>
      </c>
      <c r="H31" s="16" t="s">
        <v>35</v>
      </c>
    </row>
    <row r="32" spans="1:8" x14ac:dyDescent="0.25">
      <c r="A32" s="16" t="s">
        <v>51</v>
      </c>
      <c r="B32" s="16" t="s">
        <v>32</v>
      </c>
      <c r="C32" s="16" t="s">
        <v>49</v>
      </c>
      <c r="D32" s="17">
        <v>-30</v>
      </c>
      <c r="E32" s="17">
        <v>-45</v>
      </c>
      <c r="F32" s="18">
        <v>6.9000000000000006E-2</v>
      </c>
      <c r="G32" s="16" t="s">
        <v>34</v>
      </c>
      <c r="H32" s="16" t="s">
        <v>35</v>
      </c>
    </row>
    <row r="33" spans="1:8" x14ac:dyDescent="0.25">
      <c r="A33" s="16" t="s">
        <v>51</v>
      </c>
      <c r="B33" s="16" t="s">
        <v>32</v>
      </c>
      <c r="C33" s="16" t="s">
        <v>50</v>
      </c>
      <c r="D33" s="17">
        <v>-45</v>
      </c>
      <c r="E33" s="17">
        <v>-60</v>
      </c>
      <c r="F33" s="18">
        <v>5.6599999999999998E-2</v>
      </c>
      <c r="G33" s="16" t="s">
        <v>34</v>
      </c>
      <c r="H33" s="16" t="s">
        <v>35</v>
      </c>
    </row>
    <row r="34" spans="1:8" x14ac:dyDescent="0.25">
      <c r="A34" s="16" t="s">
        <v>52</v>
      </c>
      <c r="B34" s="16" t="s">
        <v>32</v>
      </c>
      <c r="C34" s="16" t="s">
        <v>33</v>
      </c>
      <c r="D34" s="17">
        <v>180</v>
      </c>
      <c r="E34" s="17">
        <v>165</v>
      </c>
      <c r="F34" s="18">
        <v>0.14330000000000001</v>
      </c>
      <c r="G34" s="16" t="s">
        <v>34</v>
      </c>
      <c r="H34" s="16" t="s">
        <v>35</v>
      </c>
    </row>
    <row r="35" spans="1:8" x14ac:dyDescent="0.25">
      <c r="A35" s="16" t="s">
        <v>52</v>
      </c>
      <c r="B35" s="16" t="s">
        <v>32</v>
      </c>
      <c r="C35" s="16" t="s">
        <v>36</v>
      </c>
      <c r="D35" s="17">
        <v>165</v>
      </c>
      <c r="E35" s="17">
        <v>150</v>
      </c>
      <c r="F35" s="18">
        <v>0.2172</v>
      </c>
      <c r="G35" s="16" t="s">
        <v>34</v>
      </c>
      <c r="H35" s="16" t="s">
        <v>35</v>
      </c>
    </row>
    <row r="36" spans="1:8" x14ac:dyDescent="0.25">
      <c r="A36" s="16" t="s">
        <v>52</v>
      </c>
      <c r="B36" s="16" t="s">
        <v>32</v>
      </c>
      <c r="C36" s="16" t="s">
        <v>37</v>
      </c>
      <c r="D36" s="17">
        <v>150</v>
      </c>
      <c r="E36" s="17">
        <v>135</v>
      </c>
      <c r="F36" s="18">
        <v>0.29099999999999998</v>
      </c>
      <c r="G36" s="16" t="s">
        <v>34</v>
      </c>
      <c r="H36" s="16" t="s">
        <v>35</v>
      </c>
    </row>
    <row r="37" spans="1:8" x14ac:dyDescent="0.25">
      <c r="A37" s="16" t="s">
        <v>52</v>
      </c>
      <c r="B37" s="16" t="s">
        <v>32</v>
      </c>
      <c r="C37" s="16" t="s">
        <v>38</v>
      </c>
      <c r="D37" s="17">
        <v>135</v>
      </c>
      <c r="E37" s="17">
        <v>120</v>
      </c>
      <c r="F37" s="18">
        <v>0.39169999999999999</v>
      </c>
      <c r="G37" s="16" t="s">
        <v>34</v>
      </c>
      <c r="H37" s="16" t="s">
        <v>35</v>
      </c>
    </row>
    <row r="38" spans="1:8" x14ac:dyDescent="0.25">
      <c r="A38" s="16" t="s">
        <v>52</v>
      </c>
      <c r="B38" s="16" t="s">
        <v>32</v>
      </c>
      <c r="C38" s="16" t="s">
        <v>39</v>
      </c>
      <c r="D38" s="17">
        <v>120</v>
      </c>
      <c r="E38" s="17">
        <v>105</v>
      </c>
      <c r="F38" s="18">
        <v>0.4829</v>
      </c>
      <c r="G38" s="16" t="s">
        <v>34</v>
      </c>
      <c r="H38" s="16" t="s">
        <v>35</v>
      </c>
    </row>
    <row r="39" spans="1:8" x14ac:dyDescent="0.25">
      <c r="A39" s="16" t="s">
        <v>52</v>
      </c>
      <c r="B39" s="16" t="s">
        <v>32</v>
      </c>
      <c r="C39" s="16" t="s">
        <v>40</v>
      </c>
      <c r="D39" s="17">
        <v>105</v>
      </c>
      <c r="E39" s="17">
        <v>90</v>
      </c>
      <c r="F39" s="18">
        <v>0.54139999999999999</v>
      </c>
      <c r="G39" s="16" t="s">
        <v>34</v>
      </c>
      <c r="H39" s="16" t="s">
        <v>35</v>
      </c>
    </row>
    <row r="40" spans="1:8" x14ac:dyDescent="0.25">
      <c r="A40" s="16" t="s">
        <v>52</v>
      </c>
      <c r="B40" s="16" t="s">
        <v>32</v>
      </c>
      <c r="C40" s="16" t="s">
        <v>41</v>
      </c>
      <c r="D40" s="17">
        <v>90</v>
      </c>
      <c r="E40" s="17">
        <v>75</v>
      </c>
      <c r="F40" s="18">
        <v>0.54730000000000001</v>
      </c>
      <c r="G40" s="16" t="s">
        <v>34</v>
      </c>
      <c r="H40" s="16" t="s">
        <v>35</v>
      </c>
    </row>
    <row r="41" spans="1:8" x14ac:dyDescent="0.25">
      <c r="A41" s="16" t="s">
        <v>52</v>
      </c>
      <c r="B41" s="16" t="s">
        <v>32</v>
      </c>
      <c r="C41" s="16" t="s">
        <v>42</v>
      </c>
      <c r="D41" s="17">
        <v>75</v>
      </c>
      <c r="E41" s="17">
        <v>60</v>
      </c>
      <c r="F41" s="18">
        <v>0.53790000000000004</v>
      </c>
      <c r="G41" s="16" t="s">
        <v>34</v>
      </c>
      <c r="H41" s="16" t="s">
        <v>35</v>
      </c>
    </row>
    <row r="42" spans="1:8" x14ac:dyDescent="0.25">
      <c r="A42" s="16" t="s">
        <v>52</v>
      </c>
      <c r="B42" s="16" t="s">
        <v>32</v>
      </c>
      <c r="C42" s="16" t="s">
        <v>43</v>
      </c>
      <c r="D42" s="17">
        <v>60</v>
      </c>
      <c r="E42" s="17">
        <v>45</v>
      </c>
      <c r="F42" s="18">
        <v>0.47</v>
      </c>
      <c r="G42" s="16" t="s">
        <v>34</v>
      </c>
      <c r="H42" s="16" t="s">
        <v>35</v>
      </c>
    </row>
    <row r="43" spans="1:8" x14ac:dyDescent="0.25">
      <c r="A43" s="16" t="s">
        <v>52</v>
      </c>
      <c r="B43" s="16" t="s">
        <v>32</v>
      </c>
      <c r="C43" s="16" t="s">
        <v>44</v>
      </c>
      <c r="D43" s="17">
        <v>45</v>
      </c>
      <c r="E43" s="17">
        <v>30</v>
      </c>
      <c r="F43" s="18">
        <v>0.37580000000000002</v>
      </c>
      <c r="G43" s="16" t="s">
        <v>34</v>
      </c>
      <c r="H43" s="16" t="s">
        <v>35</v>
      </c>
    </row>
    <row r="44" spans="1:8" x14ac:dyDescent="0.25">
      <c r="A44" s="16" t="s">
        <v>52</v>
      </c>
      <c r="B44" s="16" t="s">
        <v>32</v>
      </c>
      <c r="C44" s="16" t="s">
        <v>45</v>
      </c>
      <c r="D44" s="17">
        <v>30</v>
      </c>
      <c r="E44" s="17">
        <v>15</v>
      </c>
      <c r="F44" s="18">
        <v>0.3024</v>
      </c>
      <c r="G44" s="16" t="s">
        <v>34</v>
      </c>
      <c r="H44" s="16" t="s">
        <v>35</v>
      </c>
    </row>
    <row r="45" spans="1:8" x14ac:dyDescent="0.25">
      <c r="A45" s="16" t="s">
        <v>52</v>
      </c>
      <c r="B45" s="16" t="s">
        <v>32</v>
      </c>
      <c r="C45" s="16" t="s">
        <v>46</v>
      </c>
      <c r="D45" s="17">
        <v>15</v>
      </c>
      <c r="E45" s="17">
        <v>0</v>
      </c>
      <c r="F45" s="18">
        <v>0.23200000000000001</v>
      </c>
      <c r="G45" s="16" t="s">
        <v>34</v>
      </c>
      <c r="H45" s="16" t="s">
        <v>35</v>
      </c>
    </row>
    <row r="46" spans="1:8" x14ac:dyDescent="0.25">
      <c r="A46" s="16" t="s">
        <v>52</v>
      </c>
      <c r="B46" s="16" t="s">
        <v>32</v>
      </c>
      <c r="C46" s="16" t="s">
        <v>47</v>
      </c>
      <c r="D46" s="17">
        <v>0</v>
      </c>
      <c r="E46" s="17">
        <v>-15</v>
      </c>
      <c r="F46" s="18">
        <v>0.18840000000000001</v>
      </c>
      <c r="G46" s="16" t="s">
        <v>34</v>
      </c>
      <c r="H46" s="16" t="s">
        <v>35</v>
      </c>
    </row>
    <row r="47" spans="1:8" x14ac:dyDescent="0.25">
      <c r="A47" s="16" t="s">
        <v>52</v>
      </c>
      <c r="B47" s="16" t="s">
        <v>32</v>
      </c>
      <c r="C47" s="16" t="s">
        <v>48</v>
      </c>
      <c r="D47" s="17">
        <v>-15</v>
      </c>
      <c r="E47" s="17">
        <v>-30</v>
      </c>
      <c r="F47" s="18">
        <v>0.14080000000000001</v>
      </c>
      <c r="G47" s="16" t="s">
        <v>34</v>
      </c>
      <c r="H47" s="16" t="s">
        <v>35</v>
      </c>
    </row>
    <row r="48" spans="1:8" x14ac:dyDescent="0.25">
      <c r="A48" s="16" t="s">
        <v>52</v>
      </c>
      <c r="B48" s="16" t="s">
        <v>32</v>
      </c>
      <c r="C48" s="16" t="s">
        <v>49</v>
      </c>
      <c r="D48" s="17">
        <v>-30</v>
      </c>
      <c r="E48" s="17">
        <v>-45</v>
      </c>
      <c r="F48" s="18">
        <v>0.1041</v>
      </c>
      <c r="G48" s="16" t="s">
        <v>34</v>
      </c>
      <c r="H48" s="16" t="s">
        <v>35</v>
      </c>
    </row>
    <row r="49" spans="1:8" x14ac:dyDescent="0.25">
      <c r="A49" s="16" t="s">
        <v>52</v>
      </c>
      <c r="B49" s="16" t="s">
        <v>32</v>
      </c>
      <c r="C49" s="16" t="s">
        <v>50</v>
      </c>
      <c r="D49" s="17">
        <v>-45</v>
      </c>
      <c r="E49" s="17">
        <v>-60</v>
      </c>
      <c r="F49" s="18">
        <v>6.9400000000000003E-2</v>
      </c>
      <c r="G49" s="16" t="s">
        <v>34</v>
      </c>
      <c r="H49" s="16" t="s">
        <v>35</v>
      </c>
    </row>
    <row r="50" spans="1:8" x14ac:dyDescent="0.25">
      <c r="A50" s="16" t="s">
        <v>53</v>
      </c>
      <c r="B50" s="16" t="s">
        <v>32</v>
      </c>
      <c r="C50" s="16" t="s">
        <v>33</v>
      </c>
      <c r="D50" s="17">
        <v>180</v>
      </c>
      <c r="E50" s="17">
        <v>165</v>
      </c>
      <c r="F50" s="18">
        <v>0.1477</v>
      </c>
      <c r="G50" s="16" t="s">
        <v>34</v>
      </c>
      <c r="H50" s="16" t="s">
        <v>35</v>
      </c>
    </row>
    <row r="51" spans="1:8" x14ac:dyDescent="0.25">
      <c r="A51" s="16" t="s">
        <v>53</v>
      </c>
      <c r="B51" s="16" t="s">
        <v>32</v>
      </c>
      <c r="C51" s="16" t="s">
        <v>36</v>
      </c>
      <c r="D51" s="17">
        <v>165</v>
      </c>
      <c r="E51" s="17">
        <v>150</v>
      </c>
      <c r="F51" s="18">
        <v>0.20200000000000001</v>
      </c>
      <c r="G51" s="16" t="s">
        <v>34</v>
      </c>
      <c r="H51" s="16" t="s">
        <v>35</v>
      </c>
    </row>
    <row r="52" spans="1:8" x14ac:dyDescent="0.25">
      <c r="A52" s="16" t="s">
        <v>53</v>
      </c>
      <c r="B52" s="16" t="s">
        <v>32</v>
      </c>
      <c r="C52" s="16" t="s">
        <v>37</v>
      </c>
      <c r="D52" s="17">
        <v>150</v>
      </c>
      <c r="E52" s="17">
        <v>135</v>
      </c>
      <c r="F52" s="18">
        <v>0.28000000000000003</v>
      </c>
      <c r="G52" s="16" t="s">
        <v>34</v>
      </c>
      <c r="H52" s="16" t="s">
        <v>35</v>
      </c>
    </row>
    <row r="53" spans="1:8" x14ac:dyDescent="0.25">
      <c r="A53" s="16" t="s">
        <v>53</v>
      </c>
      <c r="B53" s="16" t="s">
        <v>32</v>
      </c>
      <c r="C53" s="16" t="s">
        <v>38</v>
      </c>
      <c r="D53" s="17">
        <v>135</v>
      </c>
      <c r="E53" s="17">
        <v>120</v>
      </c>
      <c r="F53" s="18">
        <v>0.36209999999999998</v>
      </c>
      <c r="G53" s="16" t="s">
        <v>34</v>
      </c>
      <c r="H53" s="16" t="s">
        <v>35</v>
      </c>
    </row>
    <row r="54" spans="1:8" x14ac:dyDescent="0.25">
      <c r="A54" s="16" t="s">
        <v>53</v>
      </c>
      <c r="B54" s="16" t="s">
        <v>32</v>
      </c>
      <c r="C54" s="16" t="s">
        <v>39</v>
      </c>
      <c r="D54" s="17">
        <v>120</v>
      </c>
      <c r="E54" s="17">
        <v>105</v>
      </c>
      <c r="F54" s="18">
        <v>0.44629999999999997</v>
      </c>
      <c r="G54" s="16" t="s">
        <v>34</v>
      </c>
      <c r="H54" s="16" t="s">
        <v>35</v>
      </c>
    </row>
    <row r="55" spans="1:8" x14ac:dyDescent="0.25">
      <c r="A55" s="16" t="s">
        <v>53</v>
      </c>
      <c r="B55" s="16" t="s">
        <v>32</v>
      </c>
      <c r="C55" s="16" t="s">
        <v>40</v>
      </c>
      <c r="D55" s="17">
        <v>105</v>
      </c>
      <c r="E55" s="17">
        <v>90</v>
      </c>
      <c r="F55" s="18">
        <v>0.50519999999999998</v>
      </c>
      <c r="G55" s="16" t="s">
        <v>34</v>
      </c>
      <c r="H55" s="16" t="s">
        <v>35</v>
      </c>
    </row>
    <row r="56" spans="1:8" x14ac:dyDescent="0.25">
      <c r="A56" s="16" t="s">
        <v>53</v>
      </c>
      <c r="B56" s="16" t="s">
        <v>32</v>
      </c>
      <c r="C56" s="16" t="s">
        <v>41</v>
      </c>
      <c r="D56" s="17">
        <v>90</v>
      </c>
      <c r="E56" s="17">
        <v>75</v>
      </c>
      <c r="F56" s="18">
        <v>0.54490000000000005</v>
      </c>
      <c r="G56" s="16" t="s">
        <v>34</v>
      </c>
      <c r="H56" s="16" t="s">
        <v>35</v>
      </c>
    </row>
    <row r="57" spans="1:8" x14ac:dyDescent="0.25">
      <c r="A57" s="16" t="s">
        <v>53</v>
      </c>
      <c r="B57" s="16" t="s">
        <v>32</v>
      </c>
      <c r="C57" s="16" t="s">
        <v>42</v>
      </c>
      <c r="D57" s="17">
        <v>75</v>
      </c>
      <c r="E57" s="17">
        <v>60</v>
      </c>
      <c r="F57" s="18">
        <v>0.55059999999999998</v>
      </c>
      <c r="G57" s="16" t="s">
        <v>34</v>
      </c>
      <c r="H57" s="16" t="s">
        <v>35</v>
      </c>
    </row>
    <row r="58" spans="1:8" x14ac:dyDescent="0.25">
      <c r="A58" s="16" t="s">
        <v>53</v>
      </c>
      <c r="B58" s="16" t="s">
        <v>32</v>
      </c>
      <c r="C58" s="16" t="s">
        <v>43</v>
      </c>
      <c r="D58" s="17">
        <v>60</v>
      </c>
      <c r="E58" s="17">
        <v>45</v>
      </c>
      <c r="F58" s="18">
        <v>0.50980000000000003</v>
      </c>
      <c r="G58" s="16" t="s">
        <v>34</v>
      </c>
      <c r="H58" s="16" t="s">
        <v>35</v>
      </c>
    </row>
    <row r="59" spans="1:8" x14ac:dyDescent="0.25">
      <c r="A59" s="16" t="s">
        <v>53</v>
      </c>
      <c r="B59" s="16" t="s">
        <v>32</v>
      </c>
      <c r="C59" s="16" t="s">
        <v>44</v>
      </c>
      <c r="D59" s="17">
        <v>45</v>
      </c>
      <c r="E59" s="17">
        <v>30</v>
      </c>
      <c r="F59" s="18">
        <v>0.46379999999999999</v>
      </c>
      <c r="G59" s="16" t="s">
        <v>34</v>
      </c>
      <c r="H59" s="16" t="s">
        <v>35</v>
      </c>
    </row>
    <row r="60" spans="1:8" x14ac:dyDescent="0.25">
      <c r="A60" s="16" t="s">
        <v>53</v>
      </c>
      <c r="B60" s="16" t="s">
        <v>32</v>
      </c>
      <c r="C60" s="16" t="s">
        <v>45</v>
      </c>
      <c r="D60" s="17">
        <v>30</v>
      </c>
      <c r="E60" s="17">
        <v>15</v>
      </c>
      <c r="F60" s="18">
        <v>0.38169999999999998</v>
      </c>
      <c r="G60" s="16" t="s">
        <v>34</v>
      </c>
      <c r="H60" s="16" t="s">
        <v>35</v>
      </c>
    </row>
    <row r="61" spans="1:8" x14ac:dyDescent="0.25">
      <c r="A61" s="16" t="s">
        <v>53</v>
      </c>
      <c r="B61" s="16" t="s">
        <v>32</v>
      </c>
      <c r="C61" s="16" t="s">
        <v>46</v>
      </c>
      <c r="D61" s="17">
        <v>15</v>
      </c>
      <c r="E61" s="17">
        <v>0</v>
      </c>
      <c r="F61" s="18">
        <v>0.30109999999999998</v>
      </c>
      <c r="G61" s="16" t="s">
        <v>34</v>
      </c>
      <c r="H61" s="16" t="s">
        <v>35</v>
      </c>
    </row>
    <row r="62" spans="1:8" x14ac:dyDescent="0.25">
      <c r="A62" s="16" t="s">
        <v>53</v>
      </c>
      <c r="B62" s="16" t="s">
        <v>32</v>
      </c>
      <c r="C62" s="16" t="s">
        <v>47</v>
      </c>
      <c r="D62" s="17">
        <v>0</v>
      </c>
      <c r="E62" s="17">
        <v>-15</v>
      </c>
      <c r="F62" s="18">
        <v>0.19420000000000001</v>
      </c>
      <c r="G62" s="16" t="s">
        <v>34</v>
      </c>
      <c r="H62" s="16" t="s">
        <v>35</v>
      </c>
    </row>
    <row r="63" spans="1:8" x14ac:dyDescent="0.25">
      <c r="A63" s="16" t="s">
        <v>53</v>
      </c>
      <c r="B63" s="16" t="s">
        <v>32</v>
      </c>
      <c r="C63" s="16" t="s">
        <v>48</v>
      </c>
      <c r="D63" s="17">
        <v>-15</v>
      </c>
      <c r="E63" s="17">
        <v>-30</v>
      </c>
      <c r="F63" s="18">
        <v>0.14050000000000001</v>
      </c>
      <c r="G63" s="16" t="s">
        <v>34</v>
      </c>
      <c r="H63" s="16" t="s">
        <v>35</v>
      </c>
    </row>
    <row r="64" spans="1:8" x14ac:dyDescent="0.25">
      <c r="A64" s="16" t="s">
        <v>53</v>
      </c>
      <c r="B64" s="16" t="s">
        <v>32</v>
      </c>
      <c r="C64" s="16" t="s">
        <v>49</v>
      </c>
      <c r="D64" s="17">
        <v>-30</v>
      </c>
      <c r="E64" s="17">
        <v>-45</v>
      </c>
      <c r="F64" s="18">
        <v>6.9199999999999998E-2</v>
      </c>
      <c r="G64" s="16" t="s">
        <v>34</v>
      </c>
      <c r="H64" s="16" t="s">
        <v>35</v>
      </c>
    </row>
    <row r="65" spans="1:8" x14ac:dyDescent="0.25">
      <c r="A65" s="16" t="s">
        <v>53</v>
      </c>
      <c r="B65" s="16" t="s">
        <v>32</v>
      </c>
      <c r="C65" s="16" t="s">
        <v>50</v>
      </c>
      <c r="D65" s="17">
        <v>-45</v>
      </c>
      <c r="E65" s="17">
        <v>-60</v>
      </c>
      <c r="F65" s="18">
        <v>5.1999999999999998E-3</v>
      </c>
      <c r="G65" s="16" t="s">
        <v>34</v>
      </c>
      <c r="H65" s="16" t="s">
        <v>35</v>
      </c>
    </row>
    <row r="67" spans="1:8" x14ac:dyDescent="0.25">
      <c r="A67" s="19" t="s">
        <v>54</v>
      </c>
      <c r="B67" s="19" t="s">
        <v>55</v>
      </c>
      <c r="C67" s="19"/>
      <c r="D67" s="19"/>
      <c r="E67" s="19"/>
      <c r="F67" s="19"/>
      <c r="G67" s="19" t="s">
        <v>56</v>
      </c>
      <c r="H67" s="1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0"/>
  <sheetViews>
    <sheetView zoomScaleNormal="100" workbookViewId="0">
      <pane ySplit="1" topLeftCell="A2" activePane="bottomLeft" state="frozen"/>
      <selection pane="bottomLeft"/>
    </sheetView>
  </sheetViews>
  <sheetFormatPr defaultColWidth="8.7109375" defaultRowHeight="15" x14ac:dyDescent="0.25"/>
  <cols>
    <col min="1" max="1" width="12" customWidth="1"/>
    <col min="2" max="2" width="24" customWidth="1"/>
    <col min="3" max="5" width="16" customWidth="1"/>
    <col min="6" max="6" width="12" customWidth="1"/>
    <col min="7" max="7" width="46" customWidth="1"/>
    <col min="8" max="8" width="40" customWidth="1"/>
  </cols>
  <sheetData>
    <row r="1" spans="1:8" ht="26.85" customHeight="1" x14ac:dyDescent="0.25">
      <c r="A1" s="5" t="s">
        <v>23</v>
      </c>
      <c r="B1" s="5" t="s">
        <v>24</v>
      </c>
      <c r="C1" s="5" t="s">
        <v>25</v>
      </c>
      <c r="D1" s="5" t="s">
        <v>26</v>
      </c>
      <c r="E1" s="5" t="s">
        <v>27</v>
      </c>
      <c r="F1" s="5" t="s">
        <v>28</v>
      </c>
      <c r="G1" s="5" t="s">
        <v>29</v>
      </c>
      <c r="H1" s="5" t="s">
        <v>30</v>
      </c>
    </row>
    <row r="2" spans="1:8" ht="15" customHeight="1" x14ac:dyDescent="0.25">
      <c r="A2" s="6" t="s">
        <v>52</v>
      </c>
      <c r="B2" s="6" t="s">
        <v>57</v>
      </c>
      <c r="C2" s="6" t="s">
        <v>58</v>
      </c>
      <c r="D2" s="7"/>
      <c r="E2" s="7"/>
      <c r="F2" s="8">
        <v>2.6700000000000002E-2</v>
      </c>
      <c r="G2" s="6" t="s">
        <v>59</v>
      </c>
      <c r="H2" s="6" t="s">
        <v>60</v>
      </c>
    </row>
    <row r="3" spans="1:8" ht="15" customHeight="1" x14ac:dyDescent="0.25">
      <c r="A3" s="6" t="s">
        <v>52</v>
      </c>
      <c r="B3" s="6" t="s">
        <v>57</v>
      </c>
      <c r="C3" s="6" t="s">
        <v>33</v>
      </c>
      <c r="D3" s="7">
        <v>180</v>
      </c>
      <c r="E3" s="7">
        <v>165</v>
      </c>
      <c r="F3" s="8">
        <v>8.8200000000000001E-2</v>
      </c>
      <c r="G3" s="6" t="s">
        <v>59</v>
      </c>
      <c r="H3" s="6" t="s">
        <v>60</v>
      </c>
    </row>
    <row r="4" spans="1:8" ht="15" customHeight="1" x14ac:dyDescent="0.25">
      <c r="A4" s="6" t="s">
        <v>52</v>
      </c>
      <c r="B4" s="6" t="s">
        <v>57</v>
      </c>
      <c r="C4" s="6" t="s">
        <v>36</v>
      </c>
      <c r="D4" s="7">
        <v>165</v>
      </c>
      <c r="E4" s="7">
        <v>150</v>
      </c>
      <c r="F4" s="8">
        <v>0.15509999999999999</v>
      </c>
      <c r="G4" s="6" t="s">
        <v>59</v>
      </c>
      <c r="H4" s="6" t="s">
        <v>60</v>
      </c>
    </row>
    <row r="5" spans="1:8" ht="15" customHeight="1" x14ac:dyDescent="0.25">
      <c r="A5" s="6" t="s">
        <v>52</v>
      </c>
      <c r="B5" s="6" t="s">
        <v>57</v>
      </c>
      <c r="C5" s="6" t="s">
        <v>37</v>
      </c>
      <c r="D5" s="7">
        <v>150</v>
      </c>
      <c r="E5" s="7">
        <v>135</v>
      </c>
      <c r="F5" s="8">
        <v>0.246</v>
      </c>
      <c r="G5" s="6" t="s">
        <v>59</v>
      </c>
      <c r="H5" s="6" t="s">
        <v>60</v>
      </c>
    </row>
    <row r="6" spans="1:8" ht="15" customHeight="1" x14ac:dyDescent="0.25">
      <c r="A6" s="6" t="s">
        <v>52</v>
      </c>
      <c r="B6" s="6" t="s">
        <v>57</v>
      </c>
      <c r="C6" s="6" t="s">
        <v>38</v>
      </c>
      <c r="D6" s="7">
        <v>135</v>
      </c>
      <c r="E6" s="7">
        <v>120</v>
      </c>
      <c r="F6" s="8">
        <v>0.33689999999999998</v>
      </c>
      <c r="G6" s="6" t="s">
        <v>59</v>
      </c>
      <c r="H6" s="6" t="s">
        <v>60</v>
      </c>
    </row>
    <row r="7" spans="1:8" ht="15" customHeight="1" x14ac:dyDescent="0.25">
      <c r="A7" s="6" t="s">
        <v>52</v>
      </c>
      <c r="B7" s="6" t="s">
        <v>57</v>
      </c>
      <c r="C7" s="6" t="s">
        <v>39</v>
      </c>
      <c r="D7" s="7">
        <v>120</v>
      </c>
      <c r="E7" s="7">
        <v>105</v>
      </c>
      <c r="F7" s="8">
        <v>0.35830000000000001</v>
      </c>
      <c r="G7" s="6" t="s">
        <v>59</v>
      </c>
      <c r="H7" s="6" t="s">
        <v>60</v>
      </c>
    </row>
    <row r="8" spans="1:8" ht="15" customHeight="1" x14ac:dyDescent="0.25">
      <c r="A8" s="6" t="s">
        <v>52</v>
      </c>
      <c r="B8" s="6" t="s">
        <v>57</v>
      </c>
      <c r="C8" s="6" t="s">
        <v>40</v>
      </c>
      <c r="D8" s="7">
        <v>105</v>
      </c>
      <c r="E8" s="7">
        <v>90</v>
      </c>
      <c r="F8" s="8">
        <v>0.44650000000000001</v>
      </c>
      <c r="G8" s="6" t="s">
        <v>59</v>
      </c>
      <c r="H8" s="6" t="s">
        <v>60</v>
      </c>
    </row>
    <row r="9" spans="1:8" ht="15" customHeight="1" x14ac:dyDescent="0.25">
      <c r="A9" s="6" t="s">
        <v>52</v>
      </c>
      <c r="B9" s="6" t="s">
        <v>57</v>
      </c>
      <c r="C9" s="6" t="s">
        <v>41</v>
      </c>
      <c r="D9" s="7">
        <v>90</v>
      </c>
      <c r="E9" s="7">
        <v>75</v>
      </c>
      <c r="F9" s="8">
        <v>0.52410000000000001</v>
      </c>
      <c r="G9" s="6" t="s">
        <v>59</v>
      </c>
      <c r="H9" s="6" t="s">
        <v>60</v>
      </c>
    </row>
    <row r="10" spans="1:8" ht="15" customHeight="1" x14ac:dyDescent="0.25">
      <c r="A10" s="6" t="s">
        <v>52</v>
      </c>
      <c r="B10" s="6" t="s">
        <v>57</v>
      </c>
      <c r="C10" s="6" t="s">
        <v>42</v>
      </c>
      <c r="D10" s="7">
        <v>75</v>
      </c>
      <c r="E10" s="7">
        <v>60</v>
      </c>
      <c r="F10" s="8">
        <v>0.54549999999999998</v>
      </c>
      <c r="G10" s="6" t="s">
        <v>59</v>
      </c>
      <c r="H10" s="6" t="s">
        <v>60</v>
      </c>
    </row>
    <row r="11" spans="1:8" ht="15" customHeight="1" x14ac:dyDescent="0.25">
      <c r="A11" s="6" t="s">
        <v>52</v>
      </c>
      <c r="B11" s="6" t="s">
        <v>57</v>
      </c>
      <c r="C11" s="6" t="s">
        <v>43</v>
      </c>
      <c r="D11" s="7">
        <v>60</v>
      </c>
      <c r="E11" s="7">
        <v>45</v>
      </c>
      <c r="F11" s="8">
        <v>0.52139999999999997</v>
      </c>
      <c r="G11" s="6" t="s">
        <v>59</v>
      </c>
      <c r="H11" s="6" t="s">
        <v>60</v>
      </c>
    </row>
    <row r="12" spans="1:8" ht="15" customHeight="1" x14ac:dyDescent="0.25">
      <c r="A12" s="6" t="s">
        <v>52</v>
      </c>
      <c r="B12" s="6" t="s">
        <v>57</v>
      </c>
      <c r="C12" s="6" t="s">
        <v>44</v>
      </c>
      <c r="D12" s="7">
        <v>45</v>
      </c>
      <c r="E12" s="7">
        <v>30</v>
      </c>
      <c r="F12" s="8">
        <v>0.46789999999999998</v>
      </c>
      <c r="G12" s="6" t="s">
        <v>59</v>
      </c>
      <c r="H12" s="6" t="s">
        <v>60</v>
      </c>
    </row>
    <row r="13" spans="1:8" ht="15" customHeight="1" x14ac:dyDescent="0.25">
      <c r="A13" s="6" t="s">
        <v>52</v>
      </c>
      <c r="B13" s="6" t="s">
        <v>57</v>
      </c>
      <c r="C13" s="6" t="s">
        <v>45</v>
      </c>
      <c r="D13" s="7">
        <v>30</v>
      </c>
      <c r="E13" s="7">
        <v>15</v>
      </c>
      <c r="F13" s="8">
        <v>0.3342</v>
      </c>
      <c r="G13" s="6" t="s">
        <v>59</v>
      </c>
      <c r="H13" s="6" t="s">
        <v>60</v>
      </c>
    </row>
    <row r="14" spans="1:8" ht="15" customHeight="1" x14ac:dyDescent="0.25">
      <c r="A14" s="6" t="s">
        <v>52</v>
      </c>
      <c r="B14" s="6" t="s">
        <v>57</v>
      </c>
      <c r="C14" s="6" t="s">
        <v>46</v>
      </c>
      <c r="D14" s="7">
        <v>15</v>
      </c>
      <c r="E14" s="7">
        <v>0</v>
      </c>
      <c r="F14" s="8">
        <v>0.26469999999999999</v>
      </c>
      <c r="G14" s="6" t="s">
        <v>59</v>
      </c>
      <c r="H14" s="6" t="s">
        <v>60</v>
      </c>
    </row>
    <row r="15" spans="1:8" ht="15" customHeight="1" x14ac:dyDescent="0.25">
      <c r="A15" s="6" t="s">
        <v>52</v>
      </c>
      <c r="B15" s="6" t="s">
        <v>57</v>
      </c>
      <c r="C15" s="6" t="s">
        <v>47</v>
      </c>
      <c r="D15" s="7">
        <v>0</v>
      </c>
      <c r="E15" s="7">
        <v>-15</v>
      </c>
      <c r="F15" s="8">
        <v>0.20860000000000001</v>
      </c>
      <c r="G15" s="6" t="s">
        <v>59</v>
      </c>
      <c r="H15" s="6" t="s">
        <v>60</v>
      </c>
    </row>
    <row r="16" spans="1:8" ht="15" customHeight="1" x14ac:dyDescent="0.25">
      <c r="A16" s="6" t="s">
        <v>52</v>
      </c>
      <c r="B16" s="6" t="s">
        <v>57</v>
      </c>
      <c r="C16" s="6" t="s">
        <v>48</v>
      </c>
      <c r="D16" s="7">
        <v>-15</v>
      </c>
      <c r="E16" s="7">
        <v>-30</v>
      </c>
      <c r="F16" s="8">
        <v>0.1658</v>
      </c>
      <c r="G16" s="6" t="s">
        <v>59</v>
      </c>
      <c r="H16" s="6" t="s">
        <v>60</v>
      </c>
    </row>
    <row r="17" spans="1:8" ht="15" customHeight="1" x14ac:dyDescent="0.25">
      <c r="A17" s="6" t="s">
        <v>52</v>
      </c>
      <c r="B17" s="6" t="s">
        <v>57</v>
      </c>
      <c r="C17" s="6" t="s">
        <v>49</v>
      </c>
      <c r="D17" s="7">
        <v>-30</v>
      </c>
      <c r="E17" s="7">
        <v>-45</v>
      </c>
      <c r="F17" s="8">
        <v>0.1096</v>
      </c>
      <c r="G17" s="6" t="s">
        <v>59</v>
      </c>
      <c r="H17" s="6" t="s">
        <v>60</v>
      </c>
    </row>
    <row r="18" spans="1:8" ht="15" customHeight="1" x14ac:dyDescent="0.25">
      <c r="A18" s="6" t="s">
        <v>52</v>
      </c>
      <c r="B18" s="6" t="s">
        <v>57</v>
      </c>
      <c r="C18" s="6" t="s">
        <v>50</v>
      </c>
      <c r="D18" s="7">
        <v>-45</v>
      </c>
      <c r="E18" s="7">
        <v>-60</v>
      </c>
      <c r="F18" s="8">
        <v>5.3499999999999999E-2</v>
      </c>
      <c r="G18" s="6" t="s">
        <v>59</v>
      </c>
      <c r="H18" s="6" t="s">
        <v>60</v>
      </c>
    </row>
    <row r="19" spans="1:8" ht="15" customHeight="1" x14ac:dyDescent="0.25">
      <c r="A19" s="6" t="s">
        <v>52</v>
      </c>
      <c r="B19" s="6" t="s">
        <v>57</v>
      </c>
      <c r="C19" s="6" t="s">
        <v>61</v>
      </c>
      <c r="D19" s="7">
        <v>-60</v>
      </c>
      <c r="E19" s="7">
        <v>-75</v>
      </c>
      <c r="F19" s="8">
        <v>1.6E-2</v>
      </c>
      <c r="G19" s="6" t="s">
        <v>59</v>
      </c>
      <c r="H19" s="6" t="s">
        <v>60</v>
      </c>
    </row>
    <row r="20" spans="1:8" ht="15" customHeight="1" x14ac:dyDescent="0.25">
      <c r="A20" s="6" t="s">
        <v>52</v>
      </c>
      <c r="B20" s="6" t="s">
        <v>57</v>
      </c>
      <c r="C20" s="6" t="s">
        <v>62</v>
      </c>
      <c r="D20" s="7">
        <v>-75</v>
      </c>
      <c r="E20" s="7">
        <v>-90</v>
      </c>
      <c r="F20" s="8">
        <v>1.4999999999999999E-2</v>
      </c>
      <c r="G20" s="6" t="s">
        <v>59</v>
      </c>
      <c r="H20" s="6" t="s">
        <v>60</v>
      </c>
    </row>
    <row r="21" spans="1:8" ht="15" customHeight="1" x14ac:dyDescent="0.25">
      <c r="A21" s="6" t="s">
        <v>52</v>
      </c>
      <c r="B21" s="6" t="s">
        <v>63</v>
      </c>
      <c r="C21" s="6" t="s">
        <v>64</v>
      </c>
      <c r="D21" s="7">
        <v>210</v>
      </c>
      <c r="E21" s="7">
        <v>195</v>
      </c>
      <c r="F21" s="8">
        <v>4.07E-2</v>
      </c>
      <c r="G21" s="6" t="s">
        <v>65</v>
      </c>
      <c r="H21" s="6" t="s">
        <v>66</v>
      </c>
    </row>
    <row r="22" spans="1:8" ht="15" customHeight="1" x14ac:dyDescent="0.25">
      <c r="A22" s="6" t="s">
        <v>52</v>
      </c>
      <c r="B22" s="6" t="s">
        <v>63</v>
      </c>
      <c r="C22" s="6" t="s">
        <v>67</v>
      </c>
      <c r="D22" s="7">
        <v>195</v>
      </c>
      <c r="E22" s="7">
        <v>180</v>
      </c>
      <c r="F22" s="8">
        <v>0.10009999999999999</v>
      </c>
      <c r="G22" s="6" t="s">
        <v>65</v>
      </c>
      <c r="H22" s="6" t="s">
        <v>66</v>
      </c>
    </row>
    <row r="23" spans="1:8" ht="15" customHeight="1" x14ac:dyDescent="0.25">
      <c r="A23" s="6" t="s">
        <v>52</v>
      </c>
      <c r="B23" s="6" t="s">
        <v>63</v>
      </c>
      <c r="C23" s="6" t="s">
        <v>33</v>
      </c>
      <c r="D23" s="7">
        <v>180</v>
      </c>
      <c r="E23" s="7">
        <v>165</v>
      </c>
      <c r="F23" s="8">
        <v>0.14779999999999999</v>
      </c>
      <c r="G23" s="6" t="s">
        <v>65</v>
      </c>
      <c r="H23" s="6" t="s">
        <v>66</v>
      </c>
    </row>
    <row r="24" spans="1:8" ht="15" customHeight="1" x14ac:dyDescent="0.25">
      <c r="A24" s="6" t="s">
        <v>52</v>
      </c>
      <c r="B24" s="6" t="s">
        <v>63</v>
      </c>
      <c r="C24" s="6" t="s">
        <v>36</v>
      </c>
      <c r="D24" s="7">
        <v>165</v>
      </c>
      <c r="E24" s="7">
        <v>150</v>
      </c>
      <c r="F24" s="8">
        <v>0.23050000000000001</v>
      </c>
      <c r="G24" s="6" t="s">
        <v>65</v>
      </c>
      <c r="H24" s="6" t="s">
        <v>66</v>
      </c>
    </row>
    <row r="25" spans="1:8" ht="15" customHeight="1" x14ac:dyDescent="0.25">
      <c r="A25" s="6" t="s">
        <v>52</v>
      </c>
      <c r="B25" s="6" t="s">
        <v>63</v>
      </c>
      <c r="C25" s="6" t="s">
        <v>37</v>
      </c>
      <c r="D25" s="7">
        <v>150</v>
      </c>
      <c r="E25" s="7">
        <v>135</v>
      </c>
      <c r="F25" s="8">
        <v>0.32479999999999998</v>
      </c>
      <c r="G25" s="6" t="s">
        <v>65</v>
      </c>
      <c r="H25" s="6" t="s">
        <v>66</v>
      </c>
    </row>
    <row r="26" spans="1:8" ht="15" customHeight="1" x14ac:dyDescent="0.25">
      <c r="A26" s="6" t="s">
        <v>52</v>
      </c>
      <c r="B26" s="6" t="s">
        <v>63</v>
      </c>
      <c r="C26" s="6" t="s">
        <v>38</v>
      </c>
      <c r="D26" s="7">
        <v>135</v>
      </c>
      <c r="E26" s="7">
        <v>120</v>
      </c>
      <c r="F26" s="8">
        <v>0.41210000000000002</v>
      </c>
      <c r="G26" s="6" t="s">
        <v>65</v>
      </c>
      <c r="H26" s="6" t="s">
        <v>66</v>
      </c>
    </row>
    <row r="27" spans="1:8" ht="15" customHeight="1" x14ac:dyDescent="0.25">
      <c r="A27" s="6" t="s">
        <v>52</v>
      </c>
      <c r="B27" s="6" t="s">
        <v>63</v>
      </c>
      <c r="C27" s="6" t="s">
        <v>39</v>
      </c>
      <c r="D27" s="7">
        <v>120</v>
      </c>
      <c r="E27" s="7">
        <v>105</v>
      </c>
      <c r="F27" s="8">
        <v>0.4703</v>
      </c>
      <c r="G27" s="6" t="s">
        <v>65</v>
      </c>
      <c r="H27" s="6" t="s">
        <v>66</v>
      </c>
    </row>
    <row r="28" spans="1:8" ht="15" customHeight="1" x14ac:dyDescent="0.25">
      <c r="A28" s="6" t="s">
        <v>52</v>
      </c>
      <c r="B28" s="6" t="s">
        <v>63</v>
      </c>
      <c r="C28" s="6" t="s">
        <v>40</v>
      </c>
      <c r="D28" s="7">
        <v>105</v>
      </c>
      <c r="E28" s="7">
        <v>90</v>
      </c>
      <c r="F28" s="8">
        <v>0.49480000000000002</v>
      </c>
      <c r="G28" s="6" t="s">
        <v>65</v>
      </c>
      <c r="H28" s="6" t="s">
        <v>66</v>
      </c>
    </row>
    <row r="29" spans="1:8" ht="15" customHeight="1" x14ac:dyDescent="0.25">
      <c r="A29" s="6" t="s">
        <v>52</v>
      </c>
      <c r="B29" s="6" t="s">
        <v>63</v>
      </c>
      <c r="C29" s="6" t="s">
        <v>41</v>
      </c>
      <c r="D29" s="7">
        <v>90</v>
      </c>
      <c r="E29" s="7">
        <v>75</v>
      </c>
      <c r="F29" s="8">
        <v>0.50990000000000002</v>
      </c>
      <c r="G29" s="6" t="s">
        <v>65</v>
      </c>
      <c r="H29" s="6" t="s">
        <v>66</v>
      </c>
    </row>
    <row r="30" spans="1:8" ht="15" customHeight="1" x14ac:dyDescent="0.25">
      <c r="A30" s="6" t="s">
        <v>52</v>
      </c>
      <c r="B30" s="6" t="s">
        <v>63</v>
      </c>
      <c r="C30" s="6" t="s">
        <v>42</v>
      </c>
      <c r="D30" s="7">
        <v>75</v>
      </c>
      <c r="E30" s="7">
        <v>60</v>
      </c>
      <c r="F30" s="8">
        <v>0.52039999999999997</v>
      </c>
      <c r="G30" s="6" t="s">
        <v>65</v>
      </c>
      <c r="H30" s="6" t="s">
        <v>66</v>
      </c>
    </row>
    <row r="31" spans="1:8" ht="15" customHeight="1" x14ac:dyDescent="0.25">
      <c r="A31" s="6" t="s">
        <v>52</v>
      </c>
      <c r="B31" s="6" t="s">
        <v>63</v>
      </c>
      <c r="C31" s="6" t="s">
        <v>43</v>
      </c>
      <c r="D31" s="7">
        <v>60</v>
      </c>
      <c r="E31" s="7">
        <v>45</v>
      </c>
      <c r="F31" s="8">
        <v>0.45050000000000001</v>
      </c>
      <c r="G31" s="6" t="s">
        <v>65</v>
      </c>
      <c r="H31" s="6" t="s">
        <v>66</v>
      </c>
    </row>
    <row r="32" spans="1:8" ht="15" customHeight="1" x14ac:dyDescent="0.25">
      <c r="A32" s="6" t="s">
        <v>52</v>
      </c>
      <c r="B32" s="6" t="s">
        <v>63</v>
      </c>
      <c r="C32" s="6" t="s">
        <v>44</v>
      </c>
      <c r="D32" s="7">
        <v>45</v>
      </c>
      <c r="E32" s="7">
        <v>30</v>
      </c>
      <c r="F32" s="8">
        <v>0.3644</v>
      </c>
      <c r="G32" s="6" t="s">
        <v>65</v>
      </c>
      <c r="H32" s="6" t="s">
        <v>66</v>
      </c>
    </row>
    <row r="33" spans="1:8" ht="15" customHeight="1" x14ac:dyDescent="0.25">
      <c r="A33" s="6" t="s">
        <v>52</v>
      </c>
      <c r="B33" s="6" t="s">
        <v>63</v>
      </c>
      <c r="C33" s="6" t="s">
        <v>45</v>
      </c>
      <c r="D33" s="7">
        <v>30</v>
      </c>
      <c r="E33" s="7">
        <v>15</v>
      </c>
      <c r="F33" s="8">
        <v>0.27710000000000001</v>
      </c>
      <c r="G33" s="6" t="s">
        <v>65</v>
      </c>
      <c r="H33" s="6" t="s">
        <v>66</v>
      </c>
    </row>
    <row r="34" spans="1:8" ht="15" customHeight="1" x14ac:dyDescent="0.25">
      <c r="A34" s="6" t="s">
        <v>52</v>
      </c>
      <c r="B34" s="6" t="s">
        <v>63</v>
      </c>
      <c r="C34" s="6" t="s">
        <v>46</v>
      </c>
      <c r="D34" s="7">
        <v>15</v>
      </c>
      <c r="E34" s="7">
        <v>0</v>
      </c>
      <c r="F34" s="8">
        <v>0.20610000000000001</v>
      </c>
      <c r="G34" s="6" t="s">
        <v>65</v>
      </c>
      <c r="H34" s="6" t="s">
        <v>66</v>
      </c>
    </row>
    <row r="35" spans="1:8" ht="15" customHeight="1" x14ac:dyDescent="0.25">
      <c r="A35" s="6" t="s">
        <v>52</v>
      </c>
      <c r="B35" s="6" t="s">
        <v>63</v>
      </c>
      <c r="C35" s="6" t="s">
        <v>47</v>
      </c>
      <c r="D35" s="7">
        <v>0</v>
      </c>
      <c r="E35" s="7">
        <v>-15</v>
      </c>
      <c r="F35" s="8">
        <v>0.1618</v>
      </c>
      <c r="G35" s="6" t="s">
        <v>65</v>
      </c>
      <c r="H35" s="6" t="s">
        <v>66</v>
      </c>
    </row>
    <row r="36" spans="1:8" ht="15" customHeight="1" x14ac:dyDescent="0.25">
      <c r="A36" s="6" t="s">
        <v>52</v>
      </c>
      <c r="B36" s="6" t="s">
        <v>63</v>
      </c>
      <c r="C36" s="6" t="s">
        <v>48</v>
      </c>
      <c r="D36" s="7">
        <v>-15</v>
      </c>
      <c r="E36" s="7">
        <v>-30</v>
      </c>
      <c r="F36" s="8">
        <v>0.1246</v>
      </c>
      <c r="G36" s="6" t="s">
        <v>65</v>
      </c>
      <c r="H36" s="6" t="s">
        <v>66</v>
      </c>
    </row>
    <row r="37" spans="1:8" ht="15" customHeight="1" x14ac:dyDescent="0.25">
      <c r="A37" s="6" t="s">
        <v>52</v>
      </c>
      <c r="B37" s="6" t="s">
        <v>63</v>
      </c>
      <c r="C37" s="6" t="s">
        <v>49</v>
      </c>
      <c r="D37" s="7">
        <v>-30</v>
      </c>
      <c r="E37" s="7">
        <v>-45</v>
      </c>
      <c r="F37" s="8">
        <v>9.5500000000000002E-2</v>
      </c>
      <c r="G37" s="6" t="s">
        <v>65</v>
      </c>
      <c r="H37" s="6" t="s">
        <v>66</v>
      </c>
    </row>
    <row r="38" spans="1:8" ht="15" customHeight="1" x14ac:dyDescent="0.25">
      <c r="A38" s="6" t="s">
        <v>52</v>
      </c>
      <c r="B38" s="6" t="s">
        <v>63</v>
      </c>
      <c r="C38" s="6" t="s">
        <v>50</v>
      </c>
      <c r="D38" s="7">
        <v>-45</v>
      </c>
      <c r="E38" s="7">
        <v>-60</v>
      </c>
      <c r="F38" s="8">
        <v>6.0499999999999998E-2</v>
      </c>
      <c r="G38" s="6" t="s">
        <v>65</v>
      </c>
      <c r="H38" s="6" t="s">
        <v>66</v>
      </c>
    </row>
    <row r="39" spans="1:8" ht="15" customHeight="1" x14ac:dyDescent="0.25">
      <c r="A39" s="6" t="s">
        <v>52</v>
      </c>
      <c r="B39" s="6" t="s">
        <v>63</v>
      </c>
      <c r="C39" s="6" t="s">
        <v>61</v>
      </c>
      <c r="D39" s="7">
        <v>-60</v>
      </c>
      <c r="E39" s="7">
        <v>-75</v>
      </c>
      <c r="F39" s="8">
        <v>6.0499999999999998E-2</v>
      </c>
      <c r="G39" s="6" t="s">
        <v>65</v>
      </c>
      <c r="H39" s="6" t="s">
        <v>66</v>
      </c>
    </row>
    <row r="40" spans="1:8" ht="15" customHeight="1" x14ac:dyDescent="0.25">
      <c r="A40" s="6" t="s">
        <v>52</v>
      </c>
      <c r="B40" s="6" t="s">
        <v>68</v>
      </c>
      <c r="C40" s="6" t="s">
        <v>58</v>
      </c>
      <c r="D40" s="7"/>
      <c r="E40" s="7"/>
      <c r="F40" s="8">
        <v>6.93E-2</v>
      </c>
      <c r="G40" s="6" t="s">
        <v>59</v>
      </c>
      <c r="H40" s="6" t="s">
        <v>60</v>
      </c>
    </row>
    <row r="41" spans="1:8" ht="15" customHeight="1" x14ac:dyDescent="0.25">
      <c r="A41" s="6" t="s">
        <v>52</v>
      </c>
      <c r="B41" s="6" t="s">
        <v>68</v>
      </c>
      <c r="C41" s="6" t="s">
        <v>33</v>
      </c>
      <c r="D41" s="7">
        <v>180</v>
      </c>
      <c r="E41" s="7">
        <v>165</v>
      </c>
      <c r="F41" s="8">
        <v>8.6599999999999996E-2</v>
      </c>
      <c r="G41" s="6" t="s">
        <v>59</v>
      </c>
      <c r="H41" s="6" t="s">
        <v>60</v>
      </c>
    </row>
    <row r="42" spans="1:8" ht="15" customHeight="1" x14ac:dyDescent="0.25">
      <c r="A42" s="6" t="s">
        <v>52</v>
      </c>
      <c r="B42" s="6" t="s">
        <v>68</v>
      </c>
      <c r="C42" s="6" t="s">
        <v>36</v>
      </c>
      <c r="D42" s="7">
        <v>165</v>
      </c>
      <c r="E42" s="7">
        <v>150</v>
      </c>
      <c r="F42" s="8">
        <v>0.1472</v>
      </c>
      <c r="G42" s="6" t="s">
        <v>59</v>
      </c>
      <c r="H42" s="6" t="s">
        <v>60</v>
      </c>
    </row>
    <row r="43" spans="1:8" ht="15" customHeight="1" x14ac:dyDescent="0.25">
      <c r="A43" s="6" t="s">
        <v>52</v>
      </c>
      <c r="B43" s="6" t="s">
        <v>68</v>
      </c>
      <c r="C43" s="6" t="s">
        <v>37</v>
      </c>
      <c r="D43" s="7">
        <v>150</v>
      </c>
      <c r="E43" s="7">
        <v>135</v>
      </c>
      <c r="F43" s="8">
        <v>0.25540000000000002</v>
      </c>
      <c r="G43" s="6" t="s">
        <v>59</v>
      </c>
      <c r="H43" s="6" t="s">
        <v>60</v>
      </c>
    </row>
    <row r="44" spans="1:8" ht="15" customHeight="1" x14ac:dyDescent="0.25">
      <c r="A44" s="6" t="s">
        <v>52</v>
      </c>
      <c r="B44" s="6" t="s">
        <v>68</v>
      </c>
      <c r="C44" s="6" t="s">
        <v>38</v>
      </c>
      <c r="D44" s="7">
        <v>135</v>
      </c>
      <c r="E44" s="7">
        <v>120</v>
      </c>
      <c r="F44" s="8">
        <v>0.32469999999999999</v>
      </c>
      <c r="G44" s="6" t="s">
        <v>59</v>
      </c>
      <c r="H44" s="6" t="s">
        <v>60</v>
      </c>
    </row>
    <row r="45" spans="1:8" ht="15" customHeight="1" x14ac:dyDescent="0.25">
      <c r="A45" s="6" t="s">
        <v>52</v>
      </c>
      <c r="B45" s="6" t="s">
        <v>68</v>
      </c>
      <c r="C45" s="6" t="s">
        <v>39</v>
      </c>
      <c r="D45" s="7">
        <v>120</v>
      </c>
      <c r="E45" s="7">
        <v>105</v>
      </c>
      <c r="F45" s="8">
        <v>0.35060000000000002</v>
      </c>
      <c r="G45" s="6" t="s">
        <v>59</v>
      </c>
      <c r="H45" s="6" t="s">
        <v>60</v>
      </c>
    </row>
    <row r="46" spans="1:8" ht="15" customHeight="1" x14ac:dyDescent="0.25">
      <c r="A46" s="6" t="s">
        <v>52</v>
      </c>
      <c r="B46" s="6" t="s">
        <v>68</v>
      </c>
      <c r="C46" s="6" t="s">
        <v>40</v>
      </c>
      <c r="D46" s="7">
        <v>105</v>
      </c>
      <c r="E46" s="7">
        <v>90</v>
      </c>
      <c r="F46" s="8">
        <v>0.3377</v>
      </c>
      <c r="G46" s="6" t="s">
        <v>59</v>
      </c>
      <c r="H46" s="6" t="s">
        <v>60</v>
      </c>
    </row>
    <row r="47" spans="1:8" ht="15" customHeight="1" x14ac:dyDescent="0.25">
      <c r="A47" s="6" t="s">
        <v>52</v>
      </c>
      <c r="B47" s="6" t="s">
        <v>68</v>
      </c>
      <c r="C47" s="6" t="s">
        <v>41</v>
      </c>
      <c r="D47" s="7">
        <v>90</v>
      </c>
      <c r="E47" s="7">
        <v>75</v>
      </c>
      <c r="F47" s="8">
        <v>0.35060000000000002</v>
      </c>
      <c r="G47" s="6" t="s">
        <v>59</v>
      </c>
      <c r="H47" s="6" t="s">
        <v>60</v>
      </c>
    </row>
    <row r="48" spans="1:8" ht="15" customHeight="1" x14ac:dyDescent="0.25">
      <c r="A48" s="6" t="s">
        <v>52</v>
      </c>
      <c r="B48" s="6" t="s">
        <v>68</v>
      </c>
      <c r="C48" s="6" t="s">
        <v>42</v>
      </c>
      <c r="D48" s="7">
        <v>75</v>
      </c>
      <c r="E48" s="7">
        <v>60</v>
      </c>
      <c r="F48" s="8">
        <v>0.35060000000000002</v>
      </c>
      <c r="G48" s="6" t="s">
        <v>59</v>
      </c>
      <c r="H48" s="6" t="s">
        <v>60</v>
      </c>
    </row>
    <row r="49" spans="1:8" ht="15" customHeight="1" x14ac:dyDescent="0.25">
      <c r="A49" s="6" t="s">
        <v>52</v>
      </c>
      <c r="B49" s="6" t="s">
        <v>68</v>
      </c>
      <c r="C49" s="6" t="s">
        <v>43</v>
      </c>
      <c r="D49" s="7">
        <v>60</v>
      </c>
      <c r="E49" s="7">
        <v>45</v>
      </c>
      <c r="F49" s="8">
        <v>0.2944</v>
      </c>
      <c r="G49" s="6" t="s">
        <v>59</v>
      </c>
      <c r="H49" s="6" t="s">
        <v>60</v>
      </c>
    </row>
    <row r="50" spans="1:8" ht="15" customHeight="1" x14ac:dyDescent="0.25">
      <c r="A50" s="6" t="s">
        <v>52</v>
      </c>
      <c r="B50" s="6" t="s">
        <v>68</v>
      </c>
      <c r="C50" s="6" t="s">
        <v>44</v>
      </c>
      <c r="D50" s="7">
        <v>45</v>
      </c>
      <c r="E50" s="7">
        <v>30</v>
      </c>
      <c r="F50" s="8">
        <v>0.26840000000000003</v>
      </c>
      <c r="G50" s="6" t="s">
        <v>59</v>
      </c>
      <c r="H50" s="6" t="s">
        <v>60</v>
      </c>
    </row>
    <row r="51" spans="1:8" ht="15" customHeight="1" x14ac:dyDescent="0.25">
      <c r="A51" s="6" t="s">
        <v>52</v>
      </c>
      <c r="B51" s="6" t="s">
        <v>68</v>
      </c>
      <c r="C51" s="6" t="s">
        <v>45</v>
      </c>
      <c r="D51" s="7">
        <v>30</v>
      </c>
      <c r="E51" s="7">
        <v>15</v>
      </c>
      <c r="F51" s="8">
        <v>0.22939999999999999</v>
      </c>
      <c r="G51" s="6" t="s">
        <v>59</v>
      </c>
      <c r="H51" s="6" t="s">
        <v>60</v>
      </c>
    </row>
    <row r="52" spans="1:8" ht="15" customHeight="1" x14ac:dyDescent="0.25">
      <c r="A52" s="6" t="s">
        <v>52</v>
      </c>
      <c r="B52" s="6" t="s">
        <v>68</v>
      </c>
      <c r="C52" s="6" t="s">
        <v>46</v>
      </c>
      <c r="D52" s="7">
        <v>15</v>
      </c>
      <c r="E52" s="7">
        <v>0</v>
      </c>
      <c r="F52" s="8">
        <v>0.18609999999999999</v>
      </c>
      <c r="G52" s="6" t="s">
        <v>59</v>
      </c>
      <c r="H52" s="6" t="s">
        <v>60</v>
      </c>
    </row>
    <row r="53" spans="1:8" ht="15" customHeight="1" x14ac:dyDescent="0.25">
      <c r="A53" s="6" t="s">
        <v>52</v>
      </c>
      <c r="B53" s="6" t="s">
        <v>68</v>
      </c>
      <c r="C53" s="6" t="s">
        <v>47</v>
      </c>
      <c r="D53" s="7">
        <v>0</v>
      </c>
      <c r="E53" s="7">
        <v>-15</v>
      </c>
      <c r="F53" s="8">
        <v>0.12989999999999999</v>
      </c>
      <c r="G53" s="6" t="s">
        <v>59</v>
      </c>
      <c r="H53" s="6" t="s">
        <v>60</v>
      </c>
    </row>
    <row r="54" spans="1:8" ht="15" customHeight="1" x14ac:dyDescent="0.25">
      <c r="A54" s="6" t="s">
        <v>52</v>
      </c>
      <c r="B54" s="6" t="s">
        <v>68</v>
      </c>
      <c r="C54" s="6" t="s">
        <v>48</v>
      </c>
      <c r="D54" s="7">
        <v>-15</v>
      </c>
      <c r="E54" s="7">
        <v>-30</v>
      </c>
      <c r="F54" s="8">
        <v>7.3599999999999999E-2</v>
      </c>
      <c r="G54" s="6" t="s">
        <v>59</v>
      </c>
      <c r="H54" s="6" t="s">
        <v>60</v>
      </c>
    </row>
    <row r="55" spans="1:8" ht="15" customHeight="1" x14ac:dyDescent="0.25">
      <c r="A55" s="6" t="s">
        <v>52</v>
      </c>
      <c r="B55" s="6" t="s">
        <v>68</v>
      </c>
      <c r="C55" s="6" t="s">
        <v>49</v>
      </c>
      <c r="D55" s="7">
        <v>-30</v>
      </c>
      <c r="E55" s="7">
        <v>-45</v>
      </c>
      <c r="F55" s="8">
        <v>6.4899999999999999E-2</v>
      </c>
      <c r="G55" s="6" t="s">
        <v>59</v>
      </c>
      <c r="H55" s="6" t="s">
        <v>60</v>
      </c>
    </row>
    <row r="56" spans="1:8" ht="15" customHeight="1" x14ac:dyDescent="0.25">
      <c r="A56" s="6" t="s">
        <v>52</v>
      </c>
      <c r="B56" s="6" t="s">
        <v>68</v>
      </c>
      <c r="C56" s="6" t="s">
        <v>50</v>
      </c>
      <c r="D56" s="7">
        <v>-45</v>
      </c>
      <c r="E56" s="7">
        <v>-60</v>
      </c>
      <c r="F56" s="8">
        <v>3.4599999999999999E-2</v>
      </c>
      <c r="G56" s="6" t="s">
        <v>59</v>
      </c>
      <c r="H56" s="6" t="s">
        <v>60</v>
      </c>
    </row>
    <row r="57" spans="1:8" ht="15" customHeight="1" x14ac:dyDescent="0.25">
      <c r="A57" s="6" t="s">
        <v>54</v>
      </c>
      <c r="B57" s="6" t="s">
        <v>69</v>
      </c>
      <c r="C57" s="6" t="s">
        <v>39</v>
      </c>
      <c r="D57" s="7">
        <v>120</v>
      </c>
      <c r="E57" s="7">
        <v>105</v>
      </c>
      <c r="F57" s="8">
        <v>0.48299999999999998</v>
      </c>
      <c r="G57" s="6" t="s">
        <v>59</v>
      </c>
      <c r="H57" s="6" t="s">
        <v>60</v>
      </c>
    </row>
    <row r="58" spans="1:8" ht="15" customHeight="1" x14ac:dyDescent="0.25">
      <c r="A58" s="6" t="s">
        <v>54</v>
      </c>
      <c r="B58" s="6" t="s">
        <v>69</v>
      </c>
      <c r="C58" s="6" t="s">
        <v>40</v>
      </c>
      <c r="D58" s="7">
        <v>105</v>
      </c>
      <c r="E58" s="7">
        <v>90</v>
      </c>
      <c r="F58" s="8">
        <v>0.58699999999999997</v>
      </c>
      <c r="G58" s="6" t="s">
        <v>59</v>
      </c>
      <c r="H58" s="6" t="s">
        <v>60</v>
      </c>
    </row>
    <row r="59" spans="1:8" ht="15" customHeight="1" x14ac:dyDescent="0.25">
      <c r="A59" s="6" t="s">
        <v>54</v>
      </c>
      <c r="B59" s="6" t="s">
        <v>69</v>
      </c>
      <c r="C59" s="6" t="s">
        <v>41</v>
      </c>
      <c r="D59" s="7">
        <v>90</v>
      </c>
      <c r="E59" s="7">
        <v>75</v>
      </c>
      <c r="F59" s="8">
        <v>0.67</v>
      </c>
      <c r="G59" s="6" t="s">
        <v>59</v>
      </c>
      <c r="H59" s="6" t="s">
        <v>60</v>
      </c>
    </row>
    <row r="60" spans="1:8" ht="15" customHeight="1" x14ac:dyDescent="0.25">
      <c r="A60" s="6" t="s">
        <v>54</v>
      </c>
      <c r="B60" s="6" t="s">
        <v>69</v>
      </c>
      <c r="C60" s="6" t="s">
        <v>42</v>
      </c>
      <c r="D60" s="7">
        <v>75</v>
      </c>
      <c r="E60" s="7">
        <v>60</v>
      </c>
      <c r="F60" s="8">
        <v>0.70699999999999996</v>
      </c>
      <c r="G60" s="6" t="s">
        <v>59</v>
      </c>
      <c r="H60" s="6" t="s">
        <v>60</v>
      </c>
    </row>
    <row r="61" spans="1:8" ht="15" customHeight="1" x14ac:dyDescent="0.25">
      <c r="A61" s="6" t="s">
        <v>54</v>
      </c>
      <c r="B61" s="6" t="s">
        <v>69</v>
      </c>
      <c r="C61" s="6" t="s">
        <v>43</v>
      </c>
      <c r="D61" s="7">
        <v>60</v>
      </c>
      <c r="E61" s="7">
        <v>45</v>
      </c>
      <c r="F61" s="8">
        <v>0.70799999999999996</v>
      </c>
      <c r="G61" s="6" t="s">
        <v>59</v>
      </c>
      <c r="H61" s="6" t="s">
        <v>60</v>
      </c>
    </row>
    <row r="62" spans="1:8" ht="15" customHeight="1" x14ac:dyDescent="0.25">
      <c r="A62" s="6" t="s">
        <v>54</v>
      </c>
      <c r="B62" s="6" t="s">
        <v>69</v>
      </c>
      <c r="C62" s="6" t="s">
        <v>44</v>
      </c>
      <c r="D62" s="7">
        <v>45</v>
      </c>
      <c r="E62" s="7">
        <v>30</v>
      </c>
      <c r="F62" s="8">
        <v>0.65</v>
      </c>
      <c r="G62" s="6" t="s">
        <v>59</v>
      </c>
      <c r="H62" s="6" t="s">
        <v>60</v>
      </c>
    </row>
    <row r="63" spans="1:8" ht="15" customHeight="1" x14ac:dyDescent="0.25">
      <c r="A63" s="6" t="s">
        <v>54</v>
      </c>
      <c r="B63" s="6" t="s">
        <v>69</v>
      </c>
      <c r="C63" s="6" t="s">
        <v>45</v>
      </c>
      <c r="D63" s="7">
        <v>30</v>
      </c>
      <c r="E63" s="7">
        <v>15</v>
      </c>
      <c r="F63" s="8">
        <v>0.57299999999999995</v>
      </c>
      <c r="G63" s="6" t="s">
        <v>59</v>
      </c>
      <c r="H63" s="6" t="s">
        <v>60</v>
      </c>
    </row>
    <row r="64" spans="1:8" ht="15" customHeight="1" x14ac:dyDescent="0.25">
      <c r="A64" s="6" t="s">
        <v>54</v>
      </c>
      <c r="B64" s="6" t="s">
        <v>69</v>
      </c>
      <c r="C64" s="6" t="s">
        <v>46</v>
      </c>
      <c r="D64" s="7">
        <v>15</v>
      </c>
      <c r="E64" s="7">
        <v>0</v>
      </c>
      <c r="F64" s="8">
        <v>0.45800000000000002</v>
      </c>
      <c r="G64" s="6" t="s">
        <v>59</v>
      </c>
      <c r="H64" s="6" t="s">
        <v>60</v>
      </c>
    </row>
    <row r="65" spans="1:8" ht="15" customHeight="1" x14ac:dyDescent="0.25">
      <c r="A65" s="6" t="s">
        <v>54</v>
      </c>
      <c r="B65" s="6" t="s">
        <v>69</v>
      </c>
      <c r="C65" s="6" t="s">
        <v>47</v>
      </c>
      <c r="D65" s="7">
        <v>0</v>
      </c>
      <c r="E65" s="7">
        <v>-15</v>
      </c>
      <c r="F65" s="8">
        <v>0.36699999999999999</v>
      </c>
      <c r="G65" s="6" t="s">
        <v>59</v>
      </c>
      <c r="H65" s="6" t="s">
        <v>60</v>
      </c>
    </row>
    <row r="66" spans="1:8" ht="15" customHeight="1" x14ac:dyDescent="0.25">
      <c r="A66" s="6" t="s">
        <v>54</v>
      </c>
      <c r="B66" s="6" t="s">
        <v>69</v>
      </c>
      <c r="C66" s="6" t="s">
        <v>48</v>
      </c>
      <c r="D66" s="7">
        <v>-15</v>
      </c>
      <c r="E66" s="7">
        <v>-30</v>
      </c>
      <c r="F66" s="8">
        <v>0.28199999999999997</v>
      </c>
      <c r="G66" s="6" t="s">
        <v>59</v>
      </c>
      <c r="H66" s="6" t="s">
        <v>60</v>
      </c>
    </row>
    <row r="67" spans="1:8" ht="15" customHeight="1" x14ac:dyDescent="0.25">
      <c r="A67" s="6" t="s">
        <v>54</v>
      </c>
      <c r="B67" s="6" t="s">
        <v>69</v>
      </c>
      <c r="C67" s="6" t="s">
        <v>49</v>
      </c>
      <c r="D67" s="7">
        <v>-30</v>
      </c>
      <c r="E67" s="7">
        <v>-45</v>
      </c>
      <c r="F67" s="8">
        <v>0.19700000000000001</v>
      </c>
      <c r="G67" s="6" t="s">
        <v>59</v>
      </c>
      <c r="H67" s="6" t="s">
        <v>60</v>
      </c>
    </row>
    <row r="68" spans="1:8" ht="15" customHeight="1" x14ac:dyDescent="0.25">
      <c r="A68" s="6" t="s">
        <v>54</v>
      </c>
      <c r="B68" s="6" t="s">
        <v>69</v>
      </c>
      <c r="C68" s="6" t="s">
        <v>50</v>
      </c>
      <c r="D68" s="7">
        <v>-45</v>
      </c>
      <c r="E68" s="7">
        <v>-60</v>
      </c>
      <c r="F68" s="8">
        <v>0.182</v>
      </c>
      <c r="G68" s="6" t="s">
        <v>59</v>
      </c>
      <c r="H68" s="6" t="s">
        <v>60</v>
      </c>
    </row>
    <row r="69" spans="1:8" ht="15" customHeight="1" x14ac:dyDescent="0.25">
      <c r="A69" s="6" t="s">
        <v>54</v>
      </c>
      <c r="B69" s="6" t="s">
        <v>69</v>
      </c>
      <c r="C69" s="6" t="s">
        <v>61</v>
      </c>
      <c r="D69" s="7">
        <v>-60</v>
      </c>
      <c r="E69" s="7">
        <v>-75</v>
      </c>
      <c r="F69" s="8">
        <v>0.182</v>
      </c>
      <c r="G69" s="6" t="s">
        <v>59</v>
      </c>
      <c r="H69" s="6" t="s">
        <v>60</v>
      </c>
    </row>
    <row r="70" spans="1:8" ht="15" customHeight="1" x14ac:dyDescent="0.25">
      <c r="A70" s="6" t="s">
        <v>31</v>
      </c>
      <c r="B70" s="6" t="s">
        <v>63</v>
      </c>
      <c r="C70" s="6" t="s">
        <v>64</v>
      </c>
      <c r="D70" s="7">
        <v>210</v>
      </c>
      <c r="E70" s="7">
        <v>195</v>
      </c>
      <c r="F70" s="8">
        <v>0.17799999999999999</v>
      </c>
      <c r="G70" s="6" t="s">
        <v>70</v>
      </c>
      <c r="H70" s="6" t="s">
        <v>71</v>
      </c>
    </row>
    <row r="71" spans="1:8" ht="15" customHeight="1" x14ac:dyDescent="0.25">
      <c r="A71" s="6" t="s">
        <v>31</v>
      </c>
      <c r="B71" s="6" t="s">
        <v>63</v>
      </c>
      <c r="C71" s="6" t="s">
        <v>67</v>
      </c>
      <c r="D71" s="7">
        <v>195</v>
      </c>
      <c r="E71" s="7">
        <v>180</v>
      </c>
      <c r="F71" s="8">
        <v>0.2646</v>
      </c>
      <c r="G71" s="6" t="s">
        <v>70</v>
      </c>
      <c r="H71" s="6" t="s">
        <v>71</v>
      </c>
    </row>
    <row r="72" spans="1:8" ht="15" customHeight="1" x14ac:dyDescent="0.25">
      <c r="A72" s="6" t="s">
        <v>31</v>
      </c>
      <c r="B72" s="6" t="s">
        <v>63</v>
      </c>
      <c r="C72" s="6" t="s">
        <v>33</v>
      </c>
      <c r="D72" s="7">
        <v>180</v>
      </c>
      <c r="E72" s="7">
        <v>165</v>
      </c>
      <c r="F72" s="8">
        <v>0.37669999999999998</v>
      </c>
      <c r="G72" s="6" t="s">
        <v>70</v>
      </c>
      <c r="H72" s="6" t="s">
        <v>71</v>
      </c>
    </row>
    <row r="73" spans="1:8" ht="15" customHeight="1" x14ac:dyDescent="0.25">
      <c r="A73" s="6" t="s">
        <v>31</v>
      </c>
      <c r="B73" s="6" t="s">
        <v>63</v>
      </c>
      <c r="C73" s="6" t="s">
        <v>36</v>
      </c>
      <c r="D73" s="7">
        <v>165</v>
      </c>
      <c r="E73" s="7">
        <v>150</v>
      </c>
      <c r="F73" s="8">
        <v>0.50349999999999995</v>
      </c>
      <c r="G73" s="6" t="s">
        <v>70</v>
      </c>
      <c r="H73" s="6" t="s">
        <v>71</v>
      </c>
    </row>
    <row r="74" spans="1:8" ht="15" customHeight="1" x14ac:dyDescent="0.25">
      <c r="A74" s="6" t="s">
        <v>31</v>
      </c>
      <c r="B74" s="6" t="s">
        <v>63</v>
      </c>
      <c r="C74" s="6" t="s">
        <v>37</v>
      </c>
      <c r="D74" s="7">
        <v>150</v>
      </c>
      <c r="E74" s="7">
        <v>135</v>
      </c>
      <c r="F74" s="8">
        <v>0.61129999999999995</v>
      </c>
      <c r="G74" s="6" t="s">
        <v>70</v>
      </c>
      <c r="H74" s="6" t="s">
        <v>71</v>
      </c>
    </row>
    <row r="75" spans="1:8" ht="15" customHeight="1" x14ac:dyDescent="0.25">
      <c r="A75" s="6" t="s">
        <v>31</v>
      </c>
      <c r="B75" s="6" t="s">
        <v>63</v>
      </c>
      <c r="C75" s="6" t="s">
        <v>38</v>
      </c>
      <c r="D75" s="7">
        <v>135</v>
      </c>
      <c r="E75" s="7">
        <v>120</v>
      </c>
      <c r="F75" s="8">
        <v>0.68479999999999996</v>
      </c>
      <c r="G75" s="6" t="s">
        <v>70</v>
      </c>
      <c r="H75" s="6" t="s">
        <v>71</v>
      </c>
    </row>
    <row r="76" spans="1:8" ht="15" customHeight="1" x14ac:dyDescent="0.25">
      <c r="A76" s="6" t="s">
        <v>31</v>
      </c>
      <c r="B76" s="6" t="s">
        <v>63</v>
      </c>
      <c r="C76" s="6" t="s">
        <v>39</v>
      </c>
      <c r="D76" s="7">
        <v>120</v>
      </c>
      <c r="E76" s="7">
        <v>105</v>
      </c>
      <c r="F76" s="8">
        <v>0.73219999999999996</v>
      </c>
      <c r="G76" s="6" t="s">
        <v>70</v>
      </c>
      <c r="H76" s="6" t="s">
        <v>71</v>
      </c>
    </row>
    <row r="77" spans="1:8" ht="15" customHeight="1" x14ac:dyDescent="0.25">
      <c r="A77" s="6" t="s">
        <v>31</v>
      </c>
      <c r="B77" s="6" t="s">
        <v>63</v>
      </c>
      <c r="C77" s="6" t="s">
        <v>40</v>
      </c>
      <c r="D77" s="7">
        <v>105</v>
      </c>
      <c r="E77" s="7">
        <v>90</v>
      </c>
      <c r="F77" s="8">
        <v>0.72130000000000005</v>
      </c>
      <c r="G77" s="6" t="s">
        <v>70</v>
      </c>
      <c r="H77" s="6" t="s">
        <v>71</v>
      </c>
    </row>
    <row r="78" spans="1:8" ht="15" customHeight="1" x14ac:dyDescent="0.25">
      <c r="A78" s="6" t="s">
        <v>31</v>
      </c>
      <c r="B78" s="6" t="s">
        <v>63</v>
      </c>
      <c r="C78" s="6" t="s">
        <v>41</v>
      </c>
      <c r="D78" s="7">
        <v>90</v>
      </c>
      <c r="E78" s="7">
        <v>75</v>
      </c>
      <c r="F78" s="8">
        <v>0.66739999999999999</v>
      </c>
      <c r="G78" s="6" t="s">
        <v>70</v>
      </c>
      <c r="H78" s="6" t="s">
        <v>71</v>
      </c>
    </row>
    <row r="79" spans="1:8" ht="15" customHeight="1" x14ac:dyDescent="0.25">
      <c r="A79" s="6" t="s">
        <v>31</v>
      </c>
      <c r="B79" s="6" t="s">
        <v>63</v>
      </c>
      <c r="C79" s="6" t="s">
        <v>42</v>
      </c>
      <c r="D79" s="7">
        <v>75</v>
      </c>
      <c r="E79" s="7">
        <v>60</v>
      </c>
      <c r="F79" s="8">
        <v>0.55800000000000005</v>
      </c>
      <c r="G79" s="6" t="s">
        <v>70</v>
      </c>
      <c r="H79" s="6" t="s">
        <v>71</v>
      </c>
    </row>
    <row r="80" spans="1:8" ht="15" customHeight="1" x14ac:dyDescent="0.25">
      <c r="A80" s="6" t="s">
        <v>31</v>
      </c>
      <c r="B80" s="6" t="s">
        <v>63</v>
      </c>
      <c r="C80" s="6" t="s">
        <v>43</v>
      </c>
      <c r="D80" s="7">
        <v>60</v>
      </c>
      <c r="E80" s="7">
        <v>45</v>
      </c>
      <c r="F80" s="8">
        <v>0.4627</v>
      </c>
      <c r="G80" s="6" t="s">
        <v>70</v>
      </c>
      <c r="H80" s="6" t="s">
        <v>71</v>
      </c>
    </row>
    <row r="81" spans="1:8" ht="15" customHeight="1" x14ac:dyDescent="0.25">
      <c r="A81" s="6" t="s">
        <v>31</v>
      </c>
      <c r="B81" s="6" t="s">
        <v>63</v>
      </c>
      <c r="C81" s="6" t="s">
        <v>44</v>
      </c>
      <c r="D81" s="7">
        <v>45</v>
      </c>
      <c r="E81" s="7">
        <v>30</v>
      </c>
      <c r="F81" s="8">
        <v>0.3468</v>
      </c>
      <c r="G81" s="6" t="s">
        <v>70</v>
      </c>
      <c r="H81" s="6" t="s">
        <v>71</v>
      </c>
    </row>
    <row r="82" spans="1:8" ht="15" customHeight="1" x14ac:dyDescent="0.25">
      <c r="A82" s="6" t="s">
        <v>31</v>
      </c>
      <c r="B82" s="6" t="s">
        <v>63</v>
      </c>
      <c r="C82" s="6" t="s">
        <v>45</v>
      </c>
      <c r="D82" s="7">
        <v>30</v>
      </c>
      <c r="E82" s="7">
        <v>15</v>
      </c>
      <c r="F82" s="8">
        <v>0.23569999999999999</v>
      </c>
      <c r="G82" s="6" t="s">
        <v>70</v>
      </c>
      <c r="H82" s="6" t="s">
        <v>71</v>
      </c>
    </row>
    <row r="83" spans="1:8" ht="15" customHeight="1" x14ac:dyDescent="0.25">
      <c r="A83" s="6" t="s">
        <v>31</v>
      </c>
      <c r="B83" s="6" t="s">
        <v>63</v>
      </c>
      <c r="C83" s="6" t="s">
        <v>46</v>
      </c>
      <c r="D83" s="7">
        <v>15</v>
      </c>
      <c r="E83" s="7">
        <v>0</v>
      </c>
      <c r="F83" s="8">
        <v>0.17419999999999999</v>
      </c>
      <c r="G83" s="6" t="s">
        <v>70</v>
      </c>
      <c r="H83" s="6" t="s">
        <v>71</v>
      </c>
    </row>
    <row r="84" spans="1:8" ht="15" customHeight="1" x14ac:dyDescent="0.25">
      <c r="A84" s="6" t="s">
        <v>31</v>
      </c>
      <c r="B84" s="6" t="s">
        <v>63</v>
      </c>
      <c r="C84" s="6" t="s">
        <v>47</v>
      </c>
      <c r="D84" s="7">
        <v>0</v>
      </c>
      <c r="E84" s="7">
        <v>-15</v>
      </c>
      <c r="F84" s="8">
        <v>0.13339999999999999</v>
      </c>
      <c r="G84" s="6" t="s">
        <v>70</v>
      </c>
      <c r="H84" s="6" t="s">
        <v>71</v>
      </c>
    </row>
    <row r="85" spans="1:8" ht="15" customHeight="1" x14ac:dyDescent="0.25">
      <c r="A85" s="6" t="s">
        <v>31</v>
      </c>
      <c r="B85" s="6" t="s">
        <v>63</v>
      </c>
      <c r="C85" s="6" t="s">
        <v>48</v>
      </c>
      <c r="D85" s="7">
        <v>-15</v>
      </c>
      <c r="E85" s="7">
        <v>-30</v>
      </c>
      <c r="F85" s="8">
        <v>0.1023</v>
      </c>
      <c r="G85" s="6" t="s">
        <v>70</v>
      </c>
      <c r="H85" s="6" t="s">
        <v>71</v>
      </c>
    </row>
    <row r="86" spans="1:8" ht="15" customHeight="1" x14ac:dyDescent="0.25">
      <c r="A86" s="6" t="s">
        <v>31</v>
      </c>
      <c r="B86" s="6" t="s">
        <v>63</v>
      </c>
      <c r="C86" s="6" t="s">
        <v>49</v>
      </c>
      <c r="D86" s="7">
        <v>-30</v>
      </c>
      <c r="E86" s="7">
        <v>-45</v>
      </c>
      <c r="F86" s="8">
        <v>6.9099999999999995E-2</v>
      </c>
      <c r="G86" s="6" t="s">
        <v>70</v>
      </c>
      <c r="H86" s="6" t="s">
        <v>71</v>
      </c>
    </row>
    <row r="87" spans="1:8" ht="15" customHeight="1" x14ac:dyDescent="0.25">
      <c r="A87" s="6" t="s">
        <v>31</v>
      </c>
      <c r="B87" s="6" t="s">
        <v>63</v>
      </c>
      <c r="C87" s="6" t="s">
        <v>50</v>
      </c>
      <c r="D87" s="7">
        <v>-45</v>
      </c>
      <c r="E87" s="7">
        <v>-60</v>
      </c>
      <c r="F87" s="8">
        <v>4.4600000000000001E-2</v>
      </c>
      <c r="G87" s="6" t="s">
        <v>70</v>
      </c>
      <c r="H87" s="6" t="s">
        <v>71</v>
      </c>
    </row>
    <row r="88" spans="1:8" ht="15" customHeight="1" x14ac:dyDescent="0.25">
      <c r="A88" s="6" t="s">
        <v>31</v>
      </c>
      <c r="B88" s="6" t="s">
        <v>63</v>
      </c>
      <c r="C88" s="6" t="s">
        <v>61</v>
      </c>
      <c r="D88" s="7">
        <v>-60</v>
      </c>
      <c r="E88" s="7">
        <v>-75</v>
      </c>
      <c r="F88" s="8">
        <v>3.5400000000000001E-2</v>
      </c>
      <c r="G88" s="6" t="s">
        <v>70</v>
      </c>
      <c r="H88" s="6" t="s">
        <v>71</v>
      </c>
    </row>
    <row r="89" spans="1:8" ht="15" customHeight="1" x14ac:dyDescent="0.25">
      <c r="A89" s="6" t="s">
        <v>53</v>
      </c>
      <c r="B89" s="6" t="s">
        <v>57</v>
      </c>
      <c r="C89" s="6" t="s">
        <v>58</v>
      </c>
      <c r="D89" s="7"/>
      <c r="E89" s="7"/>
      <c r="F89" s="8">
        <v>5.5199999999999999E-2</v>
      </c>
      <c r="G89" s="6" t="s">
        <v>59</v>
      </c>
      <c r="H89" s="6" t="s">
        <v>60</v>
      </c>
    </row>
    <row r="90" spans="1:8" ht="15" customHeight="1" x14ac:dyDescent="0.25">
      <c r="A90" s="6" t="s">
        <v>53</v>
      </c>
      <c r="B90" s="6" t="s">
        <v>57</v>
      </c>
      <c r="C90" s="6" t="s">
        <v>33</v>
      </c>
      <c r="D90" s="7">
        <v>180</v>
      </c>
      <c r="E90" s="7">
        <v>165</v>
      </c>
      <c r="F90" s="8">
        <v>9.3399999999999997E-2</v>
      </c>
      <c r="G90" s="6" t="s">
        <v>59</v>
      </c>
      <c r="H90" s="6" t="s">
        <v>60</v>
      </c>
    </row>
    <row r="91" spans="1:8" ht="15" customHeight="1" x14ac:dyDescent="0.25">
      <c r="A91" s="6" t="s">
        <v>53</v>
      </c>
      <c r="B91" s="6" t="s">
        <v>57</v>
      </c>
      <c r="C91" s="6" t="s">
        <v>36</v>
      </c>
      <c r="D91" s="7">
        <v>165</v>
      </c>
      <c r="E91" s="7">
        <v>150</v>
      </c>
      <c r="F91" s="8">
        <v>0.15840000000000001</v>
      </c>
      <c r="G91" s="6" t="s">
        <v>59</v>
      </c>
      <c r="H91" s="6" t="s">
        <v>60</v>
      </c>
    </row>
    <row r="92" spans="1:8" ht="15" customHeight="1" x14ac:dyDescent="0.25">
      <c r="A92" s="6" t="s">
        <v>53</v>
      </c>
      <c r="B92" s="6" t="s">
        <v>57</v>
      </c>
      <c r="C92" s="6" t="s">
        <v>37</v>
      </c>
      <c r="D92" s="7">
        <v>150</v>
      </c>
      <c r="E92" s="7">
        <v>135</v>
      </c>
      <c r="F92" s="8">
        <v>0.26450000000000001</v>
      </c>
      <c r="G92" s="6" t="s">
        <v>59</v>
      </c>
      <c r="H92" s="6" t="s">
        <v>60</v>
      </c>
    </row>
    <row r="93" spans="1:8" ht="15" customHeight="1" x14ac:dyDescent="0.25">
      <c r="A93" s="6" t="s">
        <v>53</v>
      </c>
      <c r="B93" s="6" t="s">
        <v>57</v>
      </c>
      <c r="C93" s="6" t="s">
        <v>38</v>
      </c>
      <c r="D93" s="7">
        <v>135</v>
      </c>
      <c r="E93" s="7">
        <v>120</v>
      </c>
      <c r="F93" s="8">
        <v>0.39319999999999999</v>
      </c>
      <c r="G93" s="6" t="s">
        <v>59</v>
      </c>
      <c r="H93" s="6" t="s">
        <v>60</v>
      </c>
    </row>
    <row r="94" spans="1:8" ht="15" customHeight="1" x14ac:dyDescent="0.25">
      <c r="A94" s="6" t="s">
        <v>53</v>
      </c>
      <c r="B94" s="6" t="s">
        <v>57</v>
      </c>
      <c r="C94" s="6" t="s">
        <v>39</v>
      </c>
      <c r="D94" s="7">
        <v>120</v>
      </c>
      <c r="E94" s="7">
        <v>105</v>
      </c>
      <c r="F94" s="8">
        <v>0.50639999999999996</v>
      </c>
      <c r="G94" s="6" t="s">
        <v>59</v>
      </c>
      <c r="H94" s="6" t="s">
        <v>60</v>
      </c>
    </row>
    <row r="95" spans="1:8" ht="15" customHeight="1" x14ac:dyDescent="0.25">
      <c r="A95" s="6" t="s">
        <v>53</v>
      </c>
      <c r="B95" s="6" t="s">
        <v>57</v>
      </c>
      <c r="C95" s="6" t="s">
        <v>40</v>
      </c>
      <c r="D95" s="7">
        <v>105</v>
      </c>
      <c r="E95" s="7">
        <v>90</v>
      </c>
      <c r="F95" s="8">
        <v>0.58560000000000001</v>
      </c>
      <c r="G95" s="6" t="s">
        <v>59</v>
      </c>
      <c r="H95" s="6" t="s">
        <v>60</v>
      </c>
    </row>
    <row r="96" spans="1:8" ht="15" customHeight="1" x14ac:dyDescent="0.25">
      <c r="A96" s="6" t="s">
        <v>53</v>
      </c>
      <c r="B96" s="6" t="s">
        <v>57</v>
      </c>
      <c r="C96" s="6" t="s">
        <v>41</v>
      </c>
      <c r="D96" s="7">
        <v>90</v>
      </c>
      <c r="E96" s="7">
        <v>75</v>
      </c>
      <c r="F96" s="8">
        <v>0.62939999999999996</v>
      </c>
      <c r="G96" s="6" t="s">
        <v>59</v>
      </c>
      <c r="H96" s="6" t="s">
        <v>60</v>
      </c>
    </row>
    <row r="97" spans="1:8" ht="15" customHeight="1" x14ac:dyDescent="0.25">
      <c r="A97" s="6" t="s">
        <v>53</v>
      </c>
      <c r="B97" s="6" t="s">
        <v>57</v>
      </c>
      <c r="C97" s="6" t="s">
        <v>42</v>
      </c>
      <c r="D97" s="7">
        <v>75</v>
      </c>
      <c r="E97" s="7">
        <v>60</v>
      </c>
      <c r="F97" s="8">
        <v>0.60960000000000003</v>
      </c>
      <c r="G97" s="6" t="s">
        <v>59</v>
      </c>
      <c r="H97" s="6" t="s">
        <v>60</v>
      </c>
    </row>
    <row r="98" spans="1:8" ht="15" customHeight="1" x14ac:dyDescent="0.25">
      <c r="A98" s="6" t="s">
        <v>53</v>
      </c>
      <c r="B98" s="6" t="s">
        <v>57</v>
      </c>
      <c r="C98" s="6" t="s">
        <v>43</v>
      </c>
      <c r="D98" s="7">
        <v>60</v>
      </c>
      <c r="E98" s="7">
        <v>45</v>
      </c>
      <c r="F98" s="8">
        <v>0.5827</v>
      </c>
      <c r="G98" s="6" t="s">
        <v>59</v>
      </c>
      <c r="H98" s="6" t="s">
        <v>60</v>
      </c>
    </row>
    <row r="99" spans="1:8" ht="15" customHeight="1" x14ac:dyDescent="0.25">
      <c r="A99" s="6" t="s">
        <v>53</v>
      </c>
      <c r="B99" s="6" t="s">
        <v>57</v>
      </c>
      <c r="C99" s="6" t="s">
        <v>44</v>
      </c>
      <c r="D99" s="7">
        <v>45</v>
      </c>
      <c r="E99" s="7">
        <v>30</v>
      </c>
      <c r="F99" s="8">
        <v>0.55300000000000005</v>
      </c>
      <c r="G99" s="6" t="s">
        <v>59</v>
      </c>
      <c r="H99" s="6" t="s">
        <v>60</v>
      </c>
    </row>
    <row r="100" spans="1:8" ht="15" customHeight="1" x14ac:dyDescent="0.25">
      <c r="A100" s="6" t="s">
        <v>53</v>
      </c>
      <c r="B100" s="6" t="s">
        <v>57</v>
      </c>
      <c r="C100" s="6" t="s">
        <v>45</v>
      </c>
      <c r="D100" s="7">
        <v>30</v>
      </c>
      <c r="E100" s="7">
        <v>15</v>
      </c>
      <c r="F100" s="8">
        <v>0.47949999999999998</v>
      </c>
      <c r="G100" s="6" t="s">
        <v>59</v>
      </c>
      <c r="H100" s="6" t="s">
        <v>60</v>
      </c>
    </row>
    <row r="101" spans="1:8" ht="15" customHeight="1" x14ac:dyDescent="0.25">
      <c r="A101" s="6" t="s">
        <v>53</v>
      </c>
      <c r="B101" s="6" t="s">
        <v>57</v>
      </c>
      <c r="C101" s="6" t="s">
        <v>46</v>
      </c>
      <c r="D101" s="7">
        <v>15</v>
      </c>
      <c r="E101" s="7">
        <v>0</v>
      </c>
      <c r="F101" s="8">
        <v>0.40450000000000003</v>
      </c>
      <c r="G101" s="6" t="s">
        <v>59</v>
      </c>
      <c r="H101" s="6" t="s">
        <v>60</v>
      </c>
    </row>
    <row r="102" spans="1:8" ht="15" customHeight="1" x14ac:dyDescent="0.25">
      <c r="A102" s="6" t="s">
        <v>53</v>
      </c>
      <c r="B102" s="6" t="s">
        <v>57</v>
      </c>
      <c r="C102" s="6" t="s">
        <v>47</v>
      </c>
      <c r="D102" s="7">
        <v>0</v>
      </c>
      <c r="E102" s="7">
        <v>-15</v>
      </c>
      <c r="F102" s="8">
        <v>0.33660000000000001</v>
      </c>
      <c r="G102" s="6" t="s">
        <v>59</v>
      </c>
      <c r="H102" s="6" t="s">
        <v>60</v>
      </c>
    </row>
    <row r="103" spans="1:8" ht="15" customHeight="1" x14ac:dyDescent="0.25">
      <c r="A103" s="6" t="s">
        <v>53</v>
      </c>
      <c r="B103" s="6" t="s">
        <v>57</v>
      </c>
      <c r="C103" s="6" t="s">
        <v>48</v>
      </c>
      <c r="D103" s="7">
        <v>-15</v>
      </c>
      <c r="E103" s="7">
        <v>-30</v>
      </c>
      <c r="F103" s="8">
        <v>0.28010000000000002</v>
      </c>
      <c r="G103" s="6" t="s">
        <v>59</v>
      </c>
      <c r="H103" s="6" t="s">
        <v>60</v>
      </c>
    </row>
    <row r="104" spans="1:8" ht="15" customHeight="1" x14ac:dyDescent="0.25">
      <c r="A104" s="6" t="s">
        <v>53</v>
      </c>
      <c r="B104" s="6" t="s">
        <v>57</v>
      </c>
      <c r="C104" s="6" t="s">
        <v>49</v>
      </c>
      <c r="D104" s="7">
        <v>-30</v>
      </c>
      <c r="E104" s="7">
        <v>-45</v>
      </c>
      <c r="F104" s="8">
        <v>0.22770000000000001</v>
      </c>
      <c r="G104" s="6" t="s">
        <v>59</v>
      </c>
      <c r="H104" s="6" t="s">
        <v>60</v>
      </c>
    </row>
    <row r="105" spans="1:8" ht="15" customHeight="1" x14ac:dyDescent="0.25">
      <c r="A105" s="6" t="s">
        <v>53</v>
      </c>
      <c r="B105" s="6" t="s">
        <v>57</v>
      </c>
      <c r="C105" s="6" t="s">
        <v>50</v>
      </c>
      <c r="D105" s="7">
        <v>-45</v>
      </c>
      <c r="E105" s="7">
        <v>-60</v>
      </c>
      <c r="F105" s="8">
        <v>0.2051</v>
      </c>
      <c r="G105" s="6" t="s">
        <v>59</v>
      </c>
      <c r="H105" s="6" t="s">
        <v>60</v>
      </c>
    </row>
    <row r="106" spans="1:8" ht="15" customHeight="1" x14ac:dyDescent="0.25">
      <c r="A106" s="6" t="s">
        <v>53</v>
      </c>
      <c r="B106" s="6" t="s">
        <v>57</v>
      </c>
      <c r="C106" s="6" t="s">
        <v>61</v>
      </c>
      <c r="D106" s="7">
        <v>-60</v>
      </c>
      <c r="E106" s="7">
        <v>-75</v>
      </c>
      <c r="F106" s="8">
        <v>0.15479999999999999</v>
      </c>
      <c r="G106" s="6" t="s">
        <v>59</v>
      </c>
      <c r="H106" s="6" t="s">
        <v>60</v>
      </c>
    </row>
    <row r="107" spans="1:8" ht="15" customHeight="1" x14ac:dyDescent="0.25">
      <c r="A107" s="6" t="s">
        <v>53</v>
      </c>
      <c r="B107" s="6" t="s">
        <v>57</v>
      </c>
      <c r="C107" s="6" t="s">
        <v>62</v>
      </c>
      <c r="D107" s="7">
        <v>-75</v>
      </c>
      <c r="E107" s="7">
        <v>-90</v>
      </c>
      <c r="F107" s="8">
        <v>9.5299999999999996E-2</v>
      </c>
      <c r="G107" s="6" t="s">
        <v>59</v>
      </c>
      <c r="H107" s="6" t="s">
        <v>60</v>
      </c>
    </row>
    <row r="108" spans="1:8" ht="15" customHeight="1" x14ac:dyDescent="0.25">
      <c r="A108" s="6" t="s">
        <v>53</v>
      </c>
      <c r="B108" s="6" t="s">
        <v>57</v>
      </c>
      <c r="C108" s="6" t="s">
        <v>72</v>
      </c>
      <c r="D108" s="7">
        <v>-90</v>
      </c>
      <c r="E108" s="7">
        <v>-105</v>
      </c>
      <c r="F108" s="8">
        <v>5.1999999999999998E-2</v>
      </c>
      <c r="G108" s="6" t="s">
        <v>59</v>
      </c>
      <c r="H108" s="6" t="s">
        <v>60</v>
      </c>
    </row>
    <row r="109" spans="1:8" ht="15" customHeight="1" x14ac:dyDescent="0.25">
      <c r="A109" s="6" t="s">
        <v>53</v>
      </c>
      <c r="B109" s="6" t="s">
        <v>57</v>
      </c>
      <c r="C109" s="6" t="s">
        <v>73</v>
      </c>
      <c r="D109" s="7">
        <v>-105</v>
      </c>
      <c r="E109" s="7">
        <v>-120</v>
      </c>
      <c r="F109" s="8">
        <v>1.2E-2</v>
      </c>
      <c r="G109" s="6" t="s">
        <v>59</v>
      </c>
      <c r="H109" s="6" t="s">
        <v>60</v>
      </c>
    </row>
    <row r="110" spans="1:8" ht="15" customHeight="1" x14ac:dyDescent="0.25">
      <c r="A110" s="6" t="s">
        <v>53</v>
      </c>
      <c r="B110" s="6" t="s">
        <v>74</v>
      </c>
      <c r="C110" s="6" t="s">
        <v>58</v>
      </c>
      <c r="D110" s="7"/>
      <c r="E110" s="7"/>
      <c r="F110" s="8">
        <v>4.2500000000000003E-2</v>
      </c>
      <c r="G110" s="6" t="s">
        <v>59</v>
      </c>
      <c r="H110" s="6" t="s">
        <v>60</v>
      </c>
    </row>
    <row r="111" spans="1:8" ht="15" customHeight="1" x14ac:dyDescent="0.25">
      <c r="A111" s="6" t="s">
        <v>53</v>
      </c>
      <c r="B111" s="6" t="s">
        <v>74</v>
      </c>
      <c r="C111" s="6" t="s">
        <v>33</v>
      </c>
      <c r="D111" s="7">
        <v>180</v>
      </c>
      <c r="E111" s="7">
        <v>165</v>
      </c>
      <c r="F111" s="8">
        <v>8.8800000000000004E-2</v>
      </c>
      <c r="G111" s="6" t="s">
        <v>59</v>
      </c>
      <c r="H111" s="6" t="s">
        <v>60</v>
      </c>
    </row>
    <row r="112" spans="1:8" ht="15" customHeight="1" x14ac:dyDescent="0.25">
      <c r="A112" s="6" t="s">
        <v>53</v>
      </c>
      <c r="B112" s="6" t="s">
        <v>74</v>
      </c>
      <c r="C112" s="6" t="s">
        <v>36</v>
      </c>
      <c r="D112" s="7">
        <v>165</v>
      </c>
      <c r="E112" s="7">
        <v>150</v>
      </c>
      <c r="F112" s="8">
        <v>0.16220000000000001</v>
      </c>
      <c r="G112" s="6" t="s">
        <v>59</v>
      </c>
      <c r="H112" s="6" t="s">
        <v>60</v>
      </c>
    </row>
    <row r="113" spans="1:8" ht="15" customHeight="1" x14ac:dyDescent="0.25">
      <c r="A113" s="6" t="s">
        <v>53</v>
      </c>
      <c r="B113" s="6" t="s">
        <v>74</v>
      </c>
      <c r="C113" s="6" t="s">
        <v>37</v>
      </c>
      <c r="D113" s="7">
        <v>150</v>
      </c>
      <c r="E113" s="7">
        <v>135</v>
      </c>
      <c r="F113" s="8">
        <v>0.26250000000000001</v>
      </c>
      <c r="G113" s="6" t="s">
        <v>59</v>
      </c>
      <c r="H113" s="6" t="s">
        <v>60</v>
      </c>
    </row>
    <row r="114" spans="1:8" ht="15" customHeight="1" x14ac:dyDescent="0.25">
      <c r="A114" s="6" t="s">
        <v>53</v>
      </c>
      <c r="B114" s="6" t="s">
        <v>74</v>
      </c>
      <c r="C114" s="6" t="s">
        <v>38</v>
      </c>
      <c r="D114" s="7">
        <v>135</v>
      </c>
      <c r="E114" s="7">
        <v>120</v>
      </c>
      <c r="F114" s="8">
        <v>0.35909999999999997</v>
      </c>
      <c r="G114" s="6" t="s">
        <v>59</v>
      </c>
      <c r="H114" s="6" t="s">
        <v>60</v>
      </c>
    </row>
    <row r="115" spans="1:8" ht="15" customHeight="1" x14ac:dyDescent="0.25">
      <c r="A115" s="6" t="s">
        <v>53</v>
      </c>
      <c r="B115" s="6" t="s">
        <v>74</v>
      </c>
      <c r="C115" s="6" t="s">
        <v>39</v>
      </c>
      <c r="D115" s="7">
        <v>120</v>
      </c>
      <c r="E115" s="7">
        <v>105</v>
      </c>
      <c r="F115" s="8">
        <v>0.50580000000000003</v>
      </c>
      <c r="G115" s="6" t="s">
        <v>59</v>
      </c>
      <c r="H115" s="6" t="s">
        <v>60</v>
      </c>
    </row>
    <row r="116" spans="1:8" ht="15" customHeight="1" x14ac:dyDescent="0.25">
      <c r="A116" s="6" t="s">
        <v>53</v>
      </c>
      <c r="B116" s="6" t="s">
        <v>74</v>
      </c>
      <c r="C116" s="6" t="s">
        <v>40</v>
      </c>
      <c r="D116" s="7">
        <v>105</v>
      </c>
      <c r="E116" s="7">
        <v>90</v>
      </c>
      <c r="F116" s="8">
        <v>0.62549999999999994</v>
      </c>
      <c r="G116" s="6" t="s">
        <v>59</v>
      </c>
      <c r="H116" s="6" t="s">
        <v>60</v>
      </c>
    </row>
    <row r="117" spans="1:8" ht="15" customHeight="1" x14ac:dyDescent="0.25">
      <c r="A117" s="6" t="s">
        <v>53</v>
      </c>
      <c r="B117" s="6" t="s">
        <v>74</v>
      </c>
      <c r="C117" s="6" t="s">
        <v>41</v>
      </c>
      <c r="D117" s="7">
        <v>90</v>
      </c>
      <c r="E117" s="7">
        <v>75</v>
      </c>
      <c r="F117" s="8">
        <v>0.69879999999999998</v>
      </c>
      <c r="G117" s="6" t="s">
        <v>59</v>
      </c>
      <c r="H117" s="6" t="s">
        <v>60</v>
      </c>
    </row>
    <row r="118" spans="1:8" ht="15" customHeight="1" x14ac:dyDescent="0.25">
      <c r="A118" s="6" t="s">
        <v>53</v>
      </c>
      <c r="B118" s="6" t="s">
        <v>74</v>
      </c>
      <c r="C118" s="6" t="s">
        <v>42</v>
      </c>
      <c r="D118" s="7">
        <v>75</v>
      </c>
      <c r="E118" s="7">
        <v>60</v>
      </c>
      <c r="F118" s="8">
        <v>0.71430000000000005</v>
      </c>
      <c r="G118" s="6" t="s">
        <v>59</v>
      </c>
      <c r="H118" s="6" t="s">
        <v>60</v>
      </c>
    </row>
    <row r="119" spans="1:8" ht="15" customHeight="1" x14ac:dyDescent="0.25">
      <c r="A119" s="6" t="s">
        <v>53</v>
      </c>
      <c r="B119" s="6" t="s">
        <v>74</v>
      </c>
      <c r="C119" s="6" t="s">
        <v>43</v>
      </c>
      <c r="D119" s="7">
        <v>60</v>
      </c>
      <c r="E119" s="7">
        <v>45</v>
      </c>
      <c r="F119" s="8">
        <v>0.64859999999999995</v>
      </c>
      <c r="G119" s="6" t="s">
        <v>59</v>
      </c>
      <c r="H119" s="6" t="s">
        <v>60</v>
      </c>
    </row>
    <row r="120" spans="1:8" ht="15" customHeight="1" x14ac:dyDescent="0.25">
      <c r="A120" s="6" t="s">
        <v>53</v>
      </c>
      <c r="B120" s="6" t="s">
        <v>74</v>
      </c>
      <c r="C120" s="6" t="s">
        <v>44</v>
      </c>
      <c r="D120" s="7">
        <v>45</v>
      </c>
      <c r="E120" s="7">
        <v>30</v>
      </c>
      <c r="F120" s="8">
        <v>0.52900000000000003</v>
      </c>
      <c r="G120" s="6" t="s">
        <v>59</v>
      </c>
      <c r="H120" s="6" t="s">
        <v>60</v>
      </c>
    </row>
    <row r="121" spans="1:8" ht="15" customHeight="1" x14ac:dyDescent="0.25">
      <c r="A121" s="6" t="s">
        <v>53</v>
      </c>
      <c r="B121" s="6" t="s">
        <v>74</v>
      </c>
      <c r="C121" s="6" t="s">
        <v>45</v>
      </c>
      <c r="D121" s="7">
        <v>30</v>
      </c>
      <c r="E121" s="7">
        <v>15</v>
      </c>
      <c r="F121" s="8">
        <v>0.37069999999999997</v>
      </c>
      <c r="G121" s="6" t="s">
        <v>59</v>
      </c>
      <c r="H121" s="6" t="s">
        <v>60</v>
      </c>
    </row>
    <row r="122" spans="1:8" ht="15" customHeight="1" x14ac:dyDescent="0.25">
      <c r="A122" s="6" t="s">
        <v>53</v>
      </c>
      <c r="B122" s="6" t="s">
        <v>74</v>
      </c>
      <c r="C122" s="6" t="s">
        <v>46</v>
      </c>
      <c r="D122" s="7">
        <v>15</v>
      </c>
      <c r="E122" s="7">
        <v>0</v>
      </c>
      <c r="F122" s="8">
        <v>0.28189999999999998</v>
      </c>
      <c r="G122" s="6" t="s">
        <v>59</v>
      </c>
      <c r="H122" s="6" t="s">
        <v>60</v>
      </c>
    </row>
    <row r="123" spans="1:8" ht="15" customHeight="1" x14ac:dyDescent="0.25">
      <c r="A123" s="6" t="s">
        <v>53</v>
      </c>
      <c r="B123" s="6" t="s">
        <v>74</v>
      </c>
      <c r="C123" s="6" t="s">
        <v>47</v>
      </c>
      <c r="D123" s="7">
        <v>0</v>
      </c>
      <c r="E123" s="7">
        <v>-15</v>
      </c>
      <c r="F123" s="8">
        <v>0.19309999999999999</v>
      </c>
      <c r="G123" s="6" t="s">
        <v>59</v>
      </c>
      <c r="H123" s="6" t="s">
        <v>60</v>
      </c>
    </row>
    <row r="124" spans="1:8" ht="15" customHeight="1" x14ac:dyDescent="0.25">
      <c r="A124" s="6" t="s">
        <v>53</v>
      </c>
      <c r="B124" s="6" t="s">
        <v>74</v>
      </c>
      <c r="C124" s="6" t="s">
        <v>48</v>
      </c>
      <c r="D124" s="7">
        <v>-15</v>
      </c>
      <c r="E124" s="7">
        <v>-30</v>
      </c>
      <c r="F124" s="8">
        <v>0.13900000000000001</v>
      </c>
      <c r="G124" s="6" t="s">
        <v>59</v>
      </c>
      <c r="H124" s="6" t="s">
        <v>60</v>
      </c>
    </row>
    <row r="125" spans="1:8" ht="15" customHeight="1" x14ac:dyDescent="0.25">
      <c r="A125" s="6" t="s">
        <v>53</v>
      </c>
      <c r="B125" s="6" t="s">
        <v>74</v>
      </c>
      <c r="C125" s="6" t="s">
        <v>49</v>
      </c>
      <c r="D125" s="7">
        <v>-30</v>
      </c>
      <c r="E125" s="7">
        <v>-45</v>
      </c>
      <c r="F125" s="8">
        <v>9.2700000000000005E-2</v>
      </c>
      <c r="G125" s="6" t="s">
        <v>59</v>
      </c>
      <c r="H125" s="6" t="s">
        <v>60</v>
      </c>
    </row>
    <row r="126" spans="1:8" ht="15" customHeight="1" x14ac:dyDescent="0.25">
      <c r="A126" s="6" t="s">
        <v>53</v>
      </c>
      <c r="B126" s="6" t="s">
        <v>74</v>
      </c>
      <c r="C126" s="6" t="s">
        <v>50</v>
      </c>
      <c r="D126" s="7">
        <v>-45</v>
      </c>
      <c r="E126" s="7">
        <v>-60</v>
      </c>
      <c r="F126" s="8">
        <v>3.09E-2</v>
      </c>
      <c r="G126" s="6" t="s">
        <v>59</v>
      </c>
      <c r="H126" s="6" t="s">
        <v>60</v>
      </c>
    </row>
    <row r="127" spans="1:8" ht="15" customHeight="1" x14ac:dyDescent="0.25">
      <c r="A127" s="6" t="s">
        <v>53</v>
      </c>
      <c r="B127" s="6" t="s">
        <v>63</v>
      </c>
      <c r="C127" s="6" t="s">
        <v>64</v>
      </c>
      <c r="D127" s="7">
        <v>210</v>
      </c>
      <c r="E127" s="7">
        <v>195</v>
      </c>
      <c r="F127" s="8">
        <v>4.8599999999999997E-2</v>
      </c>
      <c r="G127" s="6" t="s">
        <v>75</v>
      </c>
      <c r="H127" s="6" t="s">
        <v>76</v>
      </c>
    </row>
    <row r="128" spans="1:8" ht="15" customHeight="1" x14ac:dyDescent="0.25">
      <c r="A128" s="6" t="s">
        <v>53</v>
      </c>
      <c r="B128" s="6" t="s">
        <v>63</v>
      </c>
      <c r="C128" s="6" t="s">
        <v>67</v>
      </c>
      <c r="D128" s="7">
        <v>195</v>
      </c>
      <c r="E128" s="7">
        <v>180</v>
      </c>
      <c r="F128" s="8">
        <v>0.122</v>
      </c>
      <c r="G128" s="6" t="s">
        <v>75</v>
      </c>
      <c r="H128" s="6" t="s">
        <v>76</v>
      </c>
    </row>
    <row r="129" spans="1:8" ht="15" customHeight="1" x14ac:dyDescent="0.25">
      <c r="A129" s="6" t="s">
        <v>53</v>
      </c>
      <c r="B129" s="6" t="s">
        <v>63</v>
      </c>
      <c r="C129" s="6" t="s">
        <v>33</v>
      </c>
      <c r="D129" s="7">
        <v>180</v>
      </c>
      <c r="E129" s="7">
        <v>165</v>
      </c>
      <c r="F129" s="8">
        <v>0.19289999999999999</v>
      </c>
      <c r="G129" s="6" t="s">
        <v>75</v>
      </c>
      <c r="H129" s="6" t="s">
        <v>76</v>
      </c>
    </row>
    <row r="130" spans="1:8" ht="15" customHeight="1" x14ac:dyDescent="0.25">
      <c r="A130" s="6" t="s">
        <v>53</v>
      </c>
      <c r="B130" s="6" t="s">
        <v>63</v>
      </c>
      <c r="C130" s="6" t="s">
        <v>36</v>
      </c>
      <c r="D130" s="7">
        <v>165</v>
      </c>
      <c r="E130" s="7">
        <v>150</v>
      </c>
      <c r="F130" s="8">
        <v>0.28999999999999998</v>
      </c>
      <c r="G130" s="6" t="s">
        <v>75</v>
      </c>
      <c r="H130" s="6" t="s">
        <v>76</v>
      </c>
    </row>
    <row r="131" spans="1:8" ht="15" customHeight="1" x14ac:dyDescent="0.25">
      <c r="A131" s="6" t="s">
        <v>53</v>
      </c>
      <c r="B131" s="6" t="s">
        <v>63</v>
      </c>
      <c r="C131" s="6" t="s">
        <v>37</v>
      </c>
      <c r="D131" s="7">
        <v>150</v>
      </c>
      <c r="E131" s="7">
        <v>135</v>
      </c>
      <c r="F131" s="8">
        <v>0.40289999999999998</v>
      </c>
      <c r="G131" s="6" t="s">
        <v>75</v>
      </c>
      <c r="H131" s="6" t="s">
        <v>76</v>
      </c>
    </row>
    <row r="132" spans="1:8" ht="15" customHeight="1" x14ac:dyDescent="0.25">
      <c r="A132" s="6" t="s">
        <v>53</v>
      </c>
      <c r="B132" s="6" t="s">
        <v>63</v>
      </c>
      <c r="C132" s="6" t="s">
        <v>38</v>
      </c>
      <c r="D132" s="7">
        <v>135</v>
      </c>
      <c r="E132" s="7">
        <v>120</v>
      </c>
      <c r="F132" s="8">
        <v>0.49080000000000001</v>
      </c>
      <c r="G132" s="6" t="s">
        <v>75</v>
      </c>
      <c r="H132" s="6" t="s">
        <v>76</v>
      </c>
    </row>
    <row r="133" spans="1:8" ht="15" customHeight="1" x14ac:dyDescent="0.25">
      <c r="A133" s="6" t="s">
        <v>53</v>
      </c>
      <c r="B133" s="6" t="s">
        <v>63</v>
      </c>
      <c r="C133" s="6" t="s">
        <v>39</v>
      </c>
      <c r="D133" s="7">
        <v>120</v>
      </c>
      <c r="E133" s="7">
        <v>105</v>
      </c>
      <c r="F133" s="8">
        <v>0.56040000000000001</v>
      </c>
      <c r="G133" s="6" t="s">
        <v>75</v>
      </c>
      <c r="H133" s="6" t="s">
        <v>76</v>
      </c>
    </row>
    <row r="134" spans="1:8" ht="15" customHeight="1" x14ac:dyDescent="0.25">
      <c r="A134" s="6" t="s">
        <v>53</v>
      </c>
      <c r="B134" s="6" t="s">
        <v>63</v>
      </c>
      <c r="C134" s="6" t="s">
        <v>40</v>
      </c>
      <c r="D134" s="7">
        <v>105</v>
      </c>
      <c r="E134" s="7">
        <v>90</v>
      </c>
      <c r="F134" s="8">
        <v>0.60760000000000003</v>
      </c>
      <c r="G134" s="6" t="s">
        <v>75</v>
      </c>
      <c r="H134" s="6" t="s">
        <v>76</v>
      </c>
    </row>
    <row r="135" spans="1:8" ht="15" customHeight="1" x14ac:dyDescent="0.25">
      <c r="A135" s="6" t="s">
        <v>53</v>
      </c>
      <c r="B135" s="6" t="s">
        <v>63</v>
      </c>
      <c r="C135" s="6" t="s">
        <v>41</v>
      </c>
      <c r="D135" s="7">
        <v>90</v>
      </c>
      <c r="E135" s="7">
        <v>75</v>
      </c>
      <c r="F135" s="8">
        <v>0.59970000000000001</v>
      </c>
      <c r="G135" s="6" t="s">
        <v>75</v>
      </c>
      <c r="H135" s="6" t="s">
        <v>76</v>
      </c>
    </row>
    <row r="136" spans="1:8" ht="15" customHeight="1" x14ac:dyDescent="0.25">
      <c r="A136" s="6" t="s">
        <v>53</v>
      </c>
      <c r="B136" s="6" t="s">
        <v>63</v>
      </c>
      <c r="C136" s="6" t="s">
        <v>42</v>
      </c>
      <c r="D136" s="7">
        <v>75</v>
      </c>
      <c r="E136" s="7">
        <v>60</v>
      </c>
      <c r="F136" s="8">
        <v>0.55249999999999999</v>
      </c>
      <c r="G136" s="6" t="s">
        <v>75</v>
      </c>
      <c r="H136" s="6" t="s">
        <v>76</v>
      </c>
    </row>
    <row r="137" spans="1:8" ht="15" customHeight="1" x14ac:dyDescent="0.25">
      <c r="A137" s="6" t="s">
        <v>53</v>
      </c>
      <c r="B137" s="6" t="s">
        <v>63</v>
      </c>
      <c r="C137" s="6" t="s">
        <v>43</v>
      </c>
      <c r="D137" s="7">
        <v>60</v>
      </c>
      <c r="E137" s="7">
        <v>45</v>
      </c>
      <c r="F137" s="8">
        <v>0.47510000000000002</v>
      </c>
      <c r="G137" s="6" t="s">
        <v>75</v>
      </c>
      <c r="H137" s="6" t="s">
        <v>76</v>
      </c>
    </row>
    <row r="138" spans="1:8" ht="15" customHeight="1" x14ac:dyDescent="0.25">
      <c r="A138" s="6" t="s">
        <v>53</v>
      </c>
      <c r="B138" s="6" t="s">
        <v>63</v>
      </c>
      <c r="C138" s="6" t="s">
        <v>44</v>
      </c>
      <c r="D138" s="7">
        <v>45</v>
      </c>
      <c r="E138" s="7">
        <v>30</v>
      </c>
      <c r="F138" s="8">
        <v>0.39240000000000003</v>
      </c>
      <c r="G138" s="6" t="s">
        <v>75</v>
      </c>
      <c r="H138" s="6" t="s">
        <v>76</v>
      </c>
    </row>
    <row r="139" spans="1:8" ht="15" customHeight="1" x14ac:dyDescent="0.25">
      <c r="A139" s="6" t="s">
        <v>53</v>
      </c>
      <c r="B139" s="6" t="s">
        <v>63</v>
      </c>
      <c r="C139" s="6" t="s">
        <v>45</v>
      </c>
      <c r="D139" s="7">
        <v>30</v>
      </c>
      <c r="E139" s="7">
        <v>15</v>
      </c>
      <c r="F139" s="8">
        <v>0.30309999999999998</v>
      </c>
      <c r="G139" s="6" t="s">
        <v>75</v>
      </c>
      <c r="H139" s="6" t="s">
        <v>76</v>
      </c>
    </row>
    <row r="140" spans="1:8" ht="15" customHeight="1" x14ac:dyDescent="0.25">
      <c r="A140" s="6" t="s">
        <v>53</v>
      </c>
      <c r="B140" s="6" t="s">
        <v>63</v>
      </c>
      <c r="C140" s="6" t="s">
        <v>46</v>
      </c>
      <c r="D140" s="7">
        <v>15</v>
      </c>
      <c r="E140" s="7">
        <v>0</v>
      </c>
      <c r="F140" s="8">
        <v>0.23749999999999999</v>
      </c>
      <c r="G140" s="6" t="s">
        <v>75</v>
      </c>
      <c r="H140" s="6" t="s">
        <v>76</v>
      </c>
    </row>
    <row r="141" spans="1:8" ht="15" customHeight="1" x14ac:dyDescent="0.25">
      <c r="A141" s="6" t="s">
        <v>53</v>
      </c>
      <c r="B141" s="6" t="s">
        <v>63</v>
      </c>
      <c r="C141" s="6" t="s">
        <v>47</v>
      </c>
      <c r="D141" s="7">
        <v>0</v>
      </c>
      <c r="E141" s="7">
        <v>-15</v>
      </c>
      <c r="F141" s="8">
        <v>0.16539999999999999</v>
      </c>
      <c r="G141" s="6" t="s">
        <v>75</v>
      </c>
      <c r="H141" s="6" t="s">
        <v>76</v>
      </c>
    </row>
    <row r="142" spans="1:8" ht="15" customHeight="1" x14ac:dyDescent="0.25">
      <c r="A142" s="6" t="s">
        <v>53</v>
      </c>
      <c r="B142" s="6" t="s">
        <v>63</v>
      </c>
      <c r="C142" s="6" t="s">
        <v>48</v>
      </c>
      <c r="D142" s="7">
        <v>-15</v>
      </c>
      <c r="E142" s="7">
        <v>-30</v>
      </c>
      <c r="F142" s="8">
        <v>0.12989999999999999</v>
      </c>
      <c r="G142" s="6" t="s">
        <v>75</v>
      </c>
      <c r="H142" s="6" t="s">
        <v>76</v>
      </c>
    </row>
    <row r="143" spans="1:8" ht="15" customHeight="1" x14ac:dyDescent="0.25">
      <c r="A143" s="6" t="s">
        <v>53</v>
      </c>
      <c r="B143" s="6" t="s">
        <v>63</v>
      </c>
      <c r="C143" s="6" t="s">
        <v>49</v>
      </c>
      <c r="D143" s="7">
        <v>-30</v>
      </c>
      <c r="E143" s="7">
        <v>-45</v>
      </c>
      <c r="F143" s="8">
        <v>0.1089</v>
      </c>
      <c r="G143" s="6" t="s">
        <v>75</v>
      </c>
      <c r="H143" s="6" t="s">
        <v>76</v>
      </c>
    </row>
    <row r="144" spans="1:8" ht="15" customHeight="1" x14ac:dyDescent="0.25">
      <c r="A144" s="6" t="s">
        <v>53</v>
      </c>
      <c r="B144" s="6" t="s">
        <v>63</v>
      </c>
      <c r="C144" s="6" t="s">
        <v>50</v>
      </c>
      <c r="D144" s="7">
        <v>-45</v>
      </c>
      <c r="E144" s="7">
        <v>-60</v>
      </c>
      <c r="F144" s="8">
        <v>8.7900000000000006E-2</v>
      </c>
      <c r="G144" s="6" t="s">
        <v>75</v>
      </c>
      <c r="H144" s="6" t="s">
        <v>76</v>
      </c>
    </row>
    <row r="145" spans="1:8" ht="15" customHeight="1" x14ac:dyDescent="0.25">
      <c r="A145" s="6" t="s">
        <v>53</v>
      </c>
      <c r="B145" s="6" t="s">
        <v>63</v>
      </c>
      <c r="C145" s="6" t="s">
        <v>61</v>
      </c>
      <c r="D145" s="7">
        <v>-60</v>
      </c>
      <c r="E145" s="7">
        <v>-75</v>
      </c>
      <c r="F145" s="8">
        <v>8.7900000000000006E-2</v>
      </c>
      <c r="G145" s="6" t="s">
        <v>75</v>
      </c>
      <c r="H145" s="6" t="s">
        <v>76</v>
      </c>
    </row>
    <row r="146" spans="1:8" ht="15" customHeight="1" x14ac:dyDescent="0.25">
      <c r="A146" s="6" t="s">
        <v>53</v>
      </c>
      <c r="B146" s="6" t="s">
        <v>63</v>
      </c>
      <c r="C146" s="6" t="s">
        <v>62</v>
      </c>
      <c r="D146" s="7">
        <v>-75</v>
      </c>
      <c r="E146" s="7">
        <v>-90</v>
      </c>
      <c r="F146" s="8">
        <v>8.7900000000000006E-2</v>
      </c>
      <c r="G146" s="6" t="s">
        <v>75</v>
      </c>
      <c r="H146" s="6" t="s">
        <v>76</v>
      </c>
    </row>
    <row r="147" spans="1:8" ht="15" customHeight="1" x14ac:dyDescent="0.25">
      <c r="A147" s="6" t="s">
        <v>53</v>
      </c>
      <c r="B147" s="6" t="s">
        <v>63</v>
      </c>
      <c r="C147" s="6" t="s">
        <v>72</v>
      </c>
      <c r="D147" s="7">
        <v>-90</v>
      </c>
      <c r="E147" s="7">
        <v>-105</v>
      </c>
      <c r="F147" s="8">
        <v>8.7900000000000006E-2</v>
      </c>
      <c r="G147" s="6" t="s">
        <v>75</v>
      </c>
      <c r="H147" s="6" t="s">
        <v>76</v>
      </c>
    </row>
    <row r="148" spans="1:8" ht="15" customHeight="1" x14ac:dyDescent="0.25">
      <c r="A148" s="6" t="s">
        <v>53</v>
      </c>
      <c r="B148" s="6" t="s">
        <v>63</v>
      </c>
      <c r="C148" s="6" t="s">
        <v>73</v>
      </c>
      <c r="D148" s="7">
        <v>-105</v>
      </c>
      <c r="E148" s="7">
        <v>-120</v>
      </c>
      <c r="F148" s="8">
        <v>8.7900000000000006E-2</v>
      </c>
      <c r="G148" s="6" t="s">
        <v>75</v>
      </c>
      <c r="H148" s="6" t="s">
        <v>76</v>
      </c>
    </row>
    <row r="149" spans="1:8" ht="15" customHeight="1" x14ac:dyDescent="0.25">
      <c r="A149" s="6" t="s">
        <v>51</v>
      </c>
      <c r="B149" s="6" t="s">
        <v>63</v>
      </c>
      <c r="C149" s="6" t="s">
        <v>64</v>
      </c>
      <c r="D149" s="7">
        <v>210</v>
      </c>
      <c r="E149" s="7">
        <v>195</v>
      </c>
      <c r="F149" s="8">
        <v>9.9500000000000005E-2</v>
      </c>
      <c r="G149" s="6" t="s">
        <v>77</v>
      </c>
      <c r="H149" s="6" t="s">
        <v>78</v>
      </c>
    </row>
    <row r="150" spans="1:8" ht="15" customHeight="1" x14ac:dyDescent="0.25">
      <c r="A150" s="6" t="s">
        <v>51</v>
      </c>
      <c r="B150" s="6" t="s">
        <v>63</v>
      </c>
      <c r="C150" s="6" t="s">
        <v>67</v>
      </c>
      <c r="D150" s="7">
        <v>195</v>
      </c>
      <c r="E150" s="7">
        <v>180</v>
      </c>
      <c r="F150" s="8">
        <v>0.11310000000000001</v>
      </c>
      <c r="G150" s="6" t="s">
        <v>77</v>
      </c>
      <c r="H150" s="6" t="s">
        <v>78</v>
      </c>
    </row>
    <row r="151" spans="1:8" ht="15" customHeight="1" x14ac:dyDescent="0.25">
      <c r="A151" s="6" t="s">
        <v>51</v>
      </c>
      <c r="B151" s="6" t="s">
        <v>63</v>
      </c>
      <c r="C151" s="6" t="s">
        <v>33</v>
      </c>
      <c r="D151" s="7">
        <v>180</v>
      </c>
      <c r="E151" s="7">
        <v>165</v>
      </c>
      <c r="F151" s="8">
        <v>0.1686</v>
      </c>
      <c r="G151" s="6" t="s">
        <v>77</v>
      </c>
      <c r="H151" s="6" t="s">
        <v>78</v>
      </c>
    </row>
    <row r="152" spans="1:8" ht="15" customHeight="1" x14ac:dyDescent="0.25">
      <c r="A152" s="6" t="s">
        <v>51</v>
      </c>
      <c r="B152" s="6" t="s">
        <v>63</v>
      </c>
      <c r="C152" s="6" t="s">
        <v>36</v>
      </c>
      <c r="D152" s="7">
        <v>165</v>
      </c>
      <c r="E152" s="7">
        <v>150</v>
      </c>
      <c r="F152" s="8">
        <v>0.23530000000000001</v>
      </c>
      <c r="G152" s="6" t="s">
        <v>77</v>
      </c>
      <c r="H152" s="6" t="s">
        <v>78</v>
      </c>
    </row>
    <row r="153" spans="1:8" ht="15" customHeight="1" x14ac:dyDescent="0.25">
      <c r="A153" s="6" t="s">
        <v>51</v>
      </c>
      <c r="B153" s="6" t="s">
        <v>63</v>
      </c>
      <c r="C153" s="6" t="s">
        <v>37</v>
      </c>
      <c r="D153" s="7">
        <v>150</v>
      </c>
      <c r="E153" s="7">
        <v>135</v>
      </c>
      <c r="F153" s="8">
        <v>0.33479999999999999</v>
      </c>
      <c r="G153" s="6" t="s">
        <v>77</v>
      </c>
      <c r="H153" s="6" t="s">
        <v>78</v>
      </c>
    </row>
    <row r="154" spans="1:8" ht="15" customHeight="1" x14ac:dyDescent="0.25">
      <c r="A154" s="6" t="s">
        <v>51</v>
      </c>
      <c r="B154" s="6" t="s">
        <v>63</v>
      </c>
      <c r="C154" s="6" t="s">
        <v>38</v>
      </c>
      <c r="D154" s="7">
        <v>135</v>
      </c>
      <c r="E154" s="7">
        <v>120</v>
      </c>
      <c r="F154" s="8">
        <v>0.43330000000000002</v>
      </c>
      <c r="G154" s="6" t="s">
        <v>77</v>
      </c>
      <c r="H154" s="6" t="s">
        <v>78</v>
      </c>
    </row>
    <row r="155" spans="1:8" ht="15" customHeight="1" x14ac:dyDescent="0.25">
      <c r="A155" s="6" t="s">
        <v>51</v>
      </c>
      <c r="B155" s="6" t="s">
        <v>63</v>
      </c>
      <c r="C155" s="6" t="s">
        <v>39</v>
      </c>
      <c r="D155" s="7">
        <v>120</v>
      </c>
      <c r="E155" s="7">
        <v>105</v>
      </c>
      <c r="F155" s="8">
        <v>0.52490000000000003</v>
      </c>
      <c r="G155" s="6" t="s">
        <v>77</v>
      </c>
      <c r="H155" s="6" t="s">
        <v>78</v>
      </c>
    </row>
    <row r="156" spans="1:8" ht="15" customHeight="1" x14ac:dyDescent="0.25">
      <c r="A156" s="6" t="s">
        <v>51</v>
      </c>
      <c r="B156" s="6" t="s">
        <v>63</v>
      </c>
      <c r="C156" s="6" t="s">
        <v>40</v>
      </c>
      <c r="D156" s="7">
        <v>105</v>
      </c>
      <c r="E156" s="7">
        <v>90</v>
      </c>
      <c r="F156" s="8">
        <v>0.5373</v>
      </c>
      <c r="G156" s="6" t="s">
        <v>77</v>
      </c>
      <c r="H156" s="6" t="s">
        <v>78</v>
      </c>
    </row>
    <row r="157" spans="1:8" ht="15" customHeight="1" x14ac:dyDescent="0.25">
      <c r="A157" s="6" t="s">
        <v>51</v>
      </c>
      <c r="B157" s="6" t="s">
        <v>63</v>
      </c>
      <c r="C157" s="6" t="s">
        <v>41</v>
      </c>
      <c r="D157" s="7">
        <v>90</v>
      </c>
      <c r="E157" s="7">
        <v>75</v>
      </c>
      <c r="F157" s="8">
        <v>0.51919999999999999</v>
      </c>
      <c r="G157" s="6" t="s">
        <v>77</v>
      </c>
      <c r="H157" s="6" t="s">
        <v>78</v>
      </c>
    </row>
    <row r="158" spans="1:8" ht="15" customHeight="1" x14ac:dyDescent="0.25">
      <c r="A158" s="6" t="s">
        <v>51</v>
      </c>
      <c r="B158" s="6" t="s">
        <v>63</v>
      </c>
      <c r="C158" s="6" t="s">
        <v>42</v>
      </c>
      <c r="D158" s="7">
        <v>75</v>
      </c>
      <c r="E158" s="7">
        <v>60</v>
      </c>
      <c r="F158" s="8">
        <v>0.48080000000000001</v>
      </c>
      <c r="G158" s="6" t="s">
        <v>77</v>
      </c>
      <c r="H158" s="6" t="s">
        <v>78</v>
      </c>
    </row>
    <row r="159" spans="1:8" ht="15" customHeight="1" x14ac:dyDescent="0.25">
      <c r="A159" s="6" t="s">
        <v>51</v>
      </c>
      <c r="B159" s="6" t="s">
        <v>63</v>
      </c>
      <c r="C159" s="6" t="s">
        <v>43</v>
      </c>
      <c r="D159" s="7">
        <v>60</v>
      </c>
      <c r="E159" s="7">
        <v>45</v>
      </c>
      <c r="F159" s="8">
        <v>0.4219</v>
      </c>
      <c r="G159" s="6" t="s">
        <v>77</v>
      </c>
      <c r="H159" s="6" t="s">
        <v>78</v>
      </c>
    </row>
    <row r="160" spans="1:8" ht="15" customHeight="1" x14ac:dyDescent="0.25">
      <c r="A160" s="6" t="s">
        <v>51</v>
      </c>
      <c r="B160" s="6" t="s">
        <v>63</v>
      </c>
      <c r="C160" s="6" t="s">
        <v>44</v>
      </c>
      <c r="D160" s="7">
        <v>45</v>
      </c>
      <c r="E160" s="7">
        <v>30</v>
      </c>
      <c r="F160" s="8">
        <v>0.33600000000000002</v>
      </c>
      <c r="G160" s="6" t="s">
        <v>77</v>
      </c>
      <c r="H160" s="6" t="s">
        <v>78</v>
      </c>
    </row>
    <row r="161" spans="1:8" ht="15" customHeight="1" x14ac:dyDescent="0.25">
      <c r="A161" s="6" t="s">
        <v>51</v>
      </c>
      <c r="B161" s="6" t="s">
        <v>63</v>
      </c>
      <c r="C161" s="6" t="s">
        <v>45</v>
      </c>
      <c r="D161" s="7">
        <v>30</v>
      </c>
      <c r="E161" s="7">
        <v>15</v>
      </c>
      <c r="F161" s="8">
        <v>0.27039999999999997</v>
      </c>
      <c r="G161" s="6" t="s">
        <v>77</v>
      </c>
      <c r="H161" s="6" t="s">
        <v>78</v>
      </c>
    </row>
    <row r="162" spans="1:8" ht="15" customHeight="1" x14ac:dyDescent="0.25">
      <c r="A162" s="6" t="s">
        <v>51</v>
      </c>
      <c r="B162" s="6" t="s">
        <v>63</v>
      </c>
      <c r="C162" s="6" t="s">
        <v>46</v>
      </c>
      <c r="D162" s="7">
        <v>15</v>
      </c>
      <c r="E162" s="7">
        <v>0</v>
      </c>
      <c r="F162" s="8">
        <v>0.19120000000000001</v>
      </c>
      <c r="G162" s="6" t="s">
        <v>77</v>
      </c>
      <c r="H162" s="6" t="s">
        <v>78</v>
      </c>
    </row>
    <row r="163" spans="1:8" ht="15" customHeight="1" x14ac:dyDescent="0.25">
      <c r="A163" s="6" t="s">
        <v>51</v>
      </c>
      <c r="B163" s="6" t="s">
        <v>63</v>
      </c>
      <c r="C163" s="6" t="s">
        <v>47</v>
      </c>
      <c r="D163" s="7">
        <v>0</v>
      </c>
      <c r="E163" s="7">
        <v>-15</v>
      </c>
      <c r="F163" s="8">
        <v>0.1346</v>
      </c>
      <c r="G163" s="6" t="s">
        <v>77</v>
      </c>
      <c r="H163" s="6" t="s">
        <v>78</v>
      </c>
    </row>
    <row r="164" spans="1:8" ht="15" customHeight="1" x14ac:dyDescent="0.25">
      <c r="A164" s="6" t="s">
        <v>51</v>
      </c>
      <c r="B164" s="6" t="s">
        <v>63</v>
      </c>
      <c r="C164" s="6" t="s">
        <v>48</v>
      </c>
      <c r="D164" s="7">
        <v>-15</v>
      </c>
      <c r="E164" s="7">
        <v>-30</v>
      </c>
      <c r="F164" s="8">
        <v>9.6199999999999994E-2</v>
      </c>
      <c r="G164" s="6" t="s">
        <v>77</v>
      </c>
      <c r="H164" s="6" t="s">
        <v>78</v>
      </c>
    </row>
    <row r="165" spans="1:8" ht="15" customHeight="1" x14ac:dyDescent="0.25">
      <c r="A165" s="6" t="s">
        <v>51</v>
      </c>
      <c r="B165" s="6" t="s">
        <v>63</v>
      </c>
      <c r="C165" s="6" t="s">
        <v>49</v>
      </c>
      <c r="D165" s="7">
        <v>-30</v>
      </c>
      <c r="E165" s="7">
        <v>-45</v>
      </c>
      <c r="F165" s="8">
        <v>6.9000000000000006E-2</v>
      </c>
      <c r="G165" s="6" t="s">
        <v>77</v>
      </c>
      <c r="H165" s="6" t="s">
        <v>78</v>
      </c>
    </row>
    <row r="166" spans="1:8" ht="15" customHeight="1" x14ac:dyDescent="0.25">
      <c r="A166" s="6" t="s">
        <v>51</v>
      </c>
      <c r="B166" s="6" t="s">
        <v>63</v>
      </c>
      <c r="C166" s="6" t="s">
        <v>50</v>
      </c>
      <c r="D166" s="7">
        <v>-45</v>
      </c>
      <c r="E166" s="7">
        <v>-60</v>
      </c>
      <c r="F166" s="8">
        <v>5.6599999999999998E-2</v>
      </c>
      <c r="G166" s="6" t="s">
        <v>77</v>
      </c>
      <c r="H166" s="6" t="s">
        <v>78</v>
      </c>
    </row>
    <row r="167" spans="1:8" ht="15" customHeight="1" x14ac:dyDescent="0.25">
      <c r="A167" s="6" t="s">
        <v>51</v>
      </c>
      <c r="B167" s="6" t="s">
        <v>63</v>
      </c>
      <c r="C167" s="6" t="s">
        <v>61</v>
      </c>
      <c r="D167" s="7">
        <v>-60</v>
      </c>
      <c r="E167" s="7">
        <v>-75</v>
      </c>
      <c r="F167" s="8">
        <v>5.6599999999999998E-2</v>
      </c>
      <c r="G167" s="6" t="s">
        <v>77</v>
      </c>
      <c r="H167" s="6" t="s">
        <v>78</v>
      </c>
    </row>
    <row r="168" spans="1:8" ht="15" customHeight="1" x14ac:dyDescent="0.25">
      <c r="A168" s="6" t="s">
        <v>51</v>
      </c>
      <c r="B168" s="6" t="s">
        <v>63</v>
      </c>
      <c r="C168" s="6" t="s">
        <v>62</v>
      </c>
      <c r="D168" s="7">
        <v>-75</v>
      </c>
      <c r="E168" s="7">
        <v>-90</v>
      </c>
      <c r="F168" s="8">
        <v>5.6599999999999998E-2</v>
      </c>
      <c r="G168" s="6" t="s">
        <v>77</v>
      </c>
      <c r="H168" s="6" t="s">
        <v>78</v>
      </c>
    </row>
    <row r="169" spans="1:8" ht="15" customHeight="1" x14ac:dyDescent="0.25">
      <c r="A169" s="6" t="s">
        <v>51</v>
      </c>
      <c r="B169" s="6" t="s">
        <v>63</v>
      </c>
      <c r="C169" s="6" t="s">
        <v>72</v>
      </c>
      <c r="D169" s="7">
        <v>-90</v>
      </c>
      <c r="E169" s="7">
        <v>-105</v>
      </c>
      <c r="F169" s="8">
        <v>5.6599999999999998E-2</v>
      </c>
      <c r="G169" s="6" t="s">
        <v>77</v>
      </c>
      <c r="H169" s="6" t="s">
        <v>78</v>
      </c>
    </row>
    <row r="170" spans="1:8" ht="15" customHeight="1" x14ac:dyDescent="0.25">
      <c r="A170" s="6" t="s">
        <v>51</v>
      </c>
      <c r="B170" s="6" t="s">
        <v>63</v>
      </c>
      <c r="C170" s="6" t="s">
        <v>73</v>
      </c>
      <c r="D170" s="7">
        <v>-105</v>
      </c>
      <c r="E170" s="7">
        <v>-120</v>
      </c>
      <c r="F170" s="8">
        <v>5.6599999999999998E-2</v>
      </c>
      <c r="G170" s="6" t="s">
        <v>77</v>
      </c>
      <c r="H170" s="6" t="s">
        <v>78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zoomScaleNormal="100" workbookViewId="0">
      <pane xSplit="1" ySplit="1" topLeftCell="B2" activePane="bottomRight" state="frozen"/>
      <selection pane="topRight" activeCell="B1" sqref="B1"/>
      <selection pane="bottomLeft" activeCell="A2" sqref="A2"/>
      <selection pane="bottomRight" activeCell="B1" sqref="B1:B1048576"/>
    </sheetView>
  </sheetViews>
  <sheetFormatPr defaultColWidth="8.7109375" defaultRowHeight="15" x14ac:dyDescent="0.25"/>
  <cols>
    <col min="1" max="1" width="66.140625" bestFit="1" customWidth="1"/>
    <col min="2" max="10" width="22" customWidth="1"/>
  </cols>
  <sheetData>
    <row r="1" spans="1:10" ht="26.85" customHeight="1" x14ac:dyDescent="0.25">
      <c r="A1" s="5" t="s">
        <v>25</v>
      </c>
      <c r="B1" s="5" t="s">
        <v>79</v>
      </c>
      <c r="C1" s="5" t="s">
        <v>80</v>
      </c>
      <c r="D1" s="5" t="s">
        <v>81</v>
      </c>
      <c r="E1" s="5" t="s">
        <v>82</v>
      </c>
      <c r="F1" s="5" t="s">
        <v>83</v>
      </c>
      <c r="G1" s="5" t="s">
        <v>84</v>
      </c>
      <c r="H1" s="5" t="s">
        <v>85</v>
      </c>
      <c r="I1" s="5" t="s">
        <v>86</v>
      </c>
      <c r="J1" s="5" t="s">
        <v>87</v>
      </c>
    </row>
    <row r="2" spans="1:10" ht="15" customHeight="1" x14ac:dyDescent="0.25">
      <c r="A2" s="9" t="s">
        <v>58</v>
      </c>
      <c r="B2" s="8">
        <v>2.6700000000000002E-2</v>
      </c>
      <c r="C2" s="8"/>
      <c r="D2" s="8">
        <v>6.93E-2</v>
      </c>
      <c r="E2" s="8"/>
      <c r="F2" s="8"/>
      <c r="G2" s="8">
        <v>5.5199999999999999E-2</v>
      </c>
      <c r="H2" s="8">
        <v>4.2500000000000003E-2</v>
      </c>
      <c r="I2" s="8"/>
      <c r="J2" s="8"/>
    </row>
    <row r="3" spans="1:10" ht="15" customHeight="1" x14ac:dyDescent="0.25">
      <c r="A3" s="9" t="s">
        <v>64</v>
      </c>
      <c r="B3" s="8"/>
      <c r="C3" s="8">
        <v>4.07E-2</v>
      </c>
      <c r="D3" s="8"/>
      <c r="E3" s="8"/>
      <c r="F3" s="8">
        <v>0.17799999999999999</v>
      </c>
      <c r="G3" s="8"/>
      <c r="H3" s="8"/>
      <c r="I3" s="8">
        <v>4.8599999999999997E-2</v>
      </c>
      <c r="J3" s="8">
        <v>9.9500000000000005E-2</v>
      </c>
    </row>
    <row r="4" spans="1:10" ht="15" customHeight="1" x14ac:dyDescent="0.25">
      <c r="A4" s="9" t="s">
        <v>67</v>
      </c>
      <c r="B4" s="8"/>
      <c r="C4" s="8">
        <v>0.10009999999999999</v>
      </c>
      <c r="D4" s="8"/>
      <c r="E4" s="8"/>
      <c r="F4" s="8">
        <v>0.2646</v>
      </c>
      <c r="G4" s="8"/>
      <c r="H4" s="8"/>
      <c r="I4" s="8">
        <v>0.122</v>
      </c>
      <c r="J4" s="8">
        <v>0.11310000000000001</v>
      </c>
    </row>
    <row r="5" spans="1:10" ht="15" customHeight="1" x14ac:dyDescent="0.25">
      <c r="A5" s="9" t="s">
        <v>33</v>
      </c>
      <c r="B5" s="8">
        <v>8.8200000000000001E-2</v>
      </c>
      <c r="C5" s="8">
        <v>0.14779999999999999</v>
      </c>
      <c r="D5" s="8">
        <v>8.6599999999999996E-2</v>
      </c>
      <c r="E5" s="8"/>
      <c r="F5" s="8">
        <v>0.37669999999999998</v>
      </c>
      <c r="G5" s="8">
        <v>9.3399999999999997E-2</v>
      </c>
      <c r="H5" s="8">
        <v>8.8800000000000004E-2</v>
      </c>
      <c r="I5" s="8">
        <v>0.19289999999999999</v>
      </c>
      <c r="J5" s="8">
        <v>0.1686</v>
      </c>
    </row>
    <row r="6" spans="1:10" ht="15" customHeight="1" x14ac:dyDescent="0.25">
      <c r="A6" s="9" t="s">
        <v>36</v>
      </c>
      <c r="B6" s="8">
        <v>0.15509999999999999</v>
      </c>
      <c r="C6" s="8">
        <v>0.23050000000000001</v>
      </c>
      <c r="D6" s="8">
        <v>0.1472</v>
      </c>
      <c r="E6" s="8"/>
      <c r="F6" s="8">
        <v>0.50349999999999995</v>
      </c>
      <c r="G6" s="8">
        <v>0.15840000000000001</v>
      </c>
      <c r="H6" s="8">
        <v>0.16220000000000001</v>
      </c>
      <c r="I6" s="8">
        <v>0.28999999999999998</v>
      </c>
      <c r="J6" s="8">
        <v>0.23530000000000001</v>
      </c>
    </row>
    <row r="7" spans="1:10" ht="15" customHeight="1" x14ac:dyDescent="0.25">
      <c r="A7" s="9" t="s">
        <v>37</v>
      </c>
      <c r="B7" s="8">
        <v>0.246</v>
      </c>
      <c r="C7" s="8">
        <v>0.32479999999999998</v>
      </c>
      <c r="D7" s="8">
        <v>0.25540000000000002</v>
      </c>
      <c r="E7" s="8"/>
      <c r="F7" s="8">
        <v>0.61129999999999995</v>
      </c>
      <c r="G7" s="8">
        <v>0.26450000000000001</v>
      </c>
      <c r="H7" s="8">
        <v>0.26250000000000001</v>
      </c>
      <c r="I7" s="8">
        <v>0.40289999999999998</v>
      </c>
      <c r="J7" s="8">
        <v>0.33479999999999999</v>
      </c>
    </row>
    <row r="8" spans="1:10" ht="15" customHeight="1" x14ac:dyDescent="0.25">
      <c r="A8" s="9" t="s">
        <v>38</v>
      </c>
      <c r="B8" s="8">
        <v>0.33689999999999998</v>
      </c>
      <c r="C8" s="8">
        <v>0.41210000000000002</v>
      </c>
      <c r="D8" s="8">
        <v>0.32469999999999999</v>
      </c>
      <c r="E8" s="8"/>
      <c r="F8" s="8">
        <v>0.68479999999999996</v>
      </c>
      <c r="G8" s="8">
        <v>0.39319999999999999</v>
      </c>
      <c r="H8" s="8">
        <v>0.35909999999999997</v>
      </c>
      <c r="I8" s="8">
        <v>0.49080000000000001</v>
      </c>
      <c r="J8" s="8">
        <v>0.43330000000000002</v>
      </c>
    </row>
    <row r="9" spans="1:10" ht="15" customHeight="1" x14ac:dyDescent="0.25">
      <c r="A9" s="9" t="s">
        <v>39</v>
      </c>
      <c r="B9" s="8">
        <v>0.35830000000000001</v>
      </c>
      <c r="C9" s="8">
        <v>0.4703</v>
      </c>
      <c r="D9" s="8">
        <v>0.35060000000000002</v>
      </c>
      <c r="E9" s="8">
        <v>0.48299999999999998</v>
      </c>
      <c r="F9" s="8">
        <v>0.73219999999999996</v>
      </c>
      <c r="G9" s="8">
        <v>0.50639999999999996</v>
      </c>
      <c r="H9" s="8">
        <v>0.50580000000000003</v>
      </c>
      <c r="I9" s="8">
        <v>0.56040000000000001</v>
      </c>
      <c r="J9" s="8">
        <v>0.52490000000000003</v>
      </c>
    </row>
    <row r="10" spans="1:10" ht="15" customHeight="1" x14ac:dyDescent="0.25">
      <c r="A10" s="9" t="s">
        <v>40</v>
      </c>
      <c r="B10" s="8">
        <v>0.44650000000000001</v>
      </c>
      <c r="C10" s="8">
        <v>0.49480000000000002</v>
      </c>
      <c r="D10" s="8">
        <v>0.3377</v>
      </c>
      <c r="E10" s="8">
        <v>0.58699999999999997</v>
      </c>
      <c r="F10" s="8">
        <v>0.72130000000000005</v>
      </c>
      <c r="G10" s="8">
        <v>0.58560000000000001</v>
      </c>
      <c r="H10" s="8">
        <v>0.62549999999999994</v>
      </c>
      <c r="I10" s="8">
        <v>0.60760000000000003</v>
      </c>
      <c r="J10" s="8">
        <v>0.5373</v>
      </c>
    </row>
    <row r="11" spans="1:10" ht="15" customHeight="1" x14ac:dyDescent="0.25">
      <c r="A11" s="9" t="s">
        <v>41</v>
      </c>
      <c r="B11" s="8">
        <v>0.52410000000000001</v>
      </c>
      <c r="C11" s="8">
        <v>0.50990000000000002</v>
      </c>
      <c r="D11" s="8">
        <v>0.35060000000000002</v>
      </c>
      <c r="E11" s="8">
        <v>0.67</v>
      </c>
      <c r="F11" s="8">
        <v>0.66739999999999999</v>
      </c>
      <c r="G11" s="8">
        <v>0.62939999999999996</v>
      </c>
      <c r="H11" s="8">
        <v>0.69879999999999998</v>
      </c>
      <c r="I11" s="8">
        <v>0.59970000000000001</v>
      </c>
      <c r="J11" s="8">
        <v>0.51919999999999999</v>
      </c>
    </row>
    <row r="12" spans="1:10" ht="15" customHeight="1" x14ac:dyDescent="0.25">
      <c r="A12" s="9" t="s">
        <v>42</v>
      </c>
      <c r="B12" s="8">
        <v>0.54549999999999998</v>
      </c>
      <c r="C12" s="8">
        <v>0.52039999999999997</v>
      </c>
      <c r="D12" s="8">
        <v>0.35060000000000002</v>
      </c>
      <c r="E12" s="8">
        <v>0.70699999999999996</v>
      </c>
      <c r="F12" s="8">
        <v>0.55800000000000005</v>
      </c>
      <c r="G12" s="8">
        <v>0.60960000000000003</v>
      </c>
      <c r="H12" s="8">
        <v>0.71430000000000005</v>
      </c>
      <c r="I12" s="8">
        <v>0.55249999999999999</v>
      </c>
      <c r="J12" s="8">
        <v>0.48080000000000001</v>
      </c>
    </row>
    <row r="13" spans="1:10" ht="15" customHeight="1" x14ac:dyDescent="0.25">
      <c r="A13" s="9" t="s">
        <v>43</v>
      </c>
      <c r="B13" s="8">
        <v>0.52139999999999997</v>
      </c>
      <c r="C13" s="8">
        <v>0.45050000000000001</v>
      </c>
      <c r="D13" s="8">
        <v>0.2944</v>
      </c>
      <c r="E13" s="8">
        <v>0.70799999999999996</v>
      </c>
      <c r="F13" s="8">
        <v>0.4627</v>
      </c>
      <c r="G13" s="8">
        <v>0.5827</v>
      </c>
      <c r="H13" s="8">
        <v>0.64859999999999995</v>
      </c>
      <c r="I13" s="8">
        <v>0.47510000000000002</v>
      </c>
      <c r="J13" s="8">
        <v>0.4219</v>
      </c>
    </row>
    <row r="14" spans="1:10" ht="15" customHeight="1" x14ac:dyDescent="0.25">
      <c r="A14" s="9" t="s">
        <v>44</v>
      </c>
      <c r="B14" s="8">
        <v>0.46789999999999998</v>
      </c>
      <c r="C14" s="8">
        <v>0.3644</v>
      </c>
      <c r="D14" s="8">
        <v>0.26840000000000003</v>
      </c>
      <c r="E14" s="8">
        <v>0.65</v>
      </c>
      <c r="F14" s="8">
        <v>0.3468</v>
      </c>
      <c r="G14" s="8">
        <v>0.55300000000000005</v>
      </c>
      <c r="H14" s="8">
        <v>0.52900000000000003</v>
      </c>
      <c r="I14" s="8">
        <v>0.39240000000000003</v>
      </c>
      <c r="J14" s="8">
        <v>0.33600000000000002</v>
      </c>
    </row>
    <row r="15" spans="1:10" ht="15" customHeight="1" x14ac:dyDescent="0.25">
      <c r="A15" s="9" t="s">
        <v>45</v>
      </c>
      <c r="B15" s="8">
        <v>0.3342</v>
      </c>
      <c r="C15" s="8">
        <v>0.27710000000000001</v>
      </c>
      <c r="D15" s="8">
        <v>0.22939999999999999</v>
      </c>
      <c r="E15" s="8">
        <v>0.57299999999999995</v>
      </c>
      <c r="F15" s="8">
        <v>0.23569999999999999</v>
      </c>
      <c r="G15" s="8">
        <v>0.47949999999999998</v>
      </c>
      <c r="H15" s="8">
        <v>0.37069999999999997</v>
      </c>
      <c r="I15" s="8">
        <v>0.30309999999999998</v>
      </c>
      <c r="J15" s="8">
        <v>0.27039999999999997</v>
      </c>
    </row>
    <row r="16" spans="1:10" ht="15" customHeight="1" x14ac:dyDescent="0.25">
      <c r="A16" s="9" t="s">
        <v>46</v>
      </c>
      <c r="B16" s="8">
        <v>0.26469999999999999</v>
      </c>
      <c r="C16" s="8">
        <v>0.20610000000000001</v>
      </c>
      <c r="D16" s="8">
        <v>0.18609999999999999</v>
      </c>
      <c r="E16" s="8">
        <v>0.45800000000000002</v>
      </c>
      <c r="F16" s="8">
        <v>0.17419999999999999</v>
      </c>
      <c r="G16" s="8">
        <v>0.40450000000000003</v>
      </c>
      <c r="H16" s="8">
        <v>0.28189999999999998</v>
      </c>
      <c r="I16" s="8">
        <v>0.23749999999999999</v>
      </c>
      <c r="J16" s="8">
        <v>0.19120000000000001</v>
      </c>
    </row>
    <row r="17" spans="1:10" ht="15" customHeight="1" x14ac:dyDescent="0.25">
      <c r="A17" s="9" t="s">
        <v>47</v>
      </c>
      <c r="B17" s="8">
        <v>0.20860000000000001</v>
      </c>
      <c r="C17" s="8">
        <v>0.1618</v>
      </c>
      <c r="D17" s="8">
        <v>0.12989999999999999</v>
      </c>
      <c r="E17" s="8">
        <v>0.36699999999999999</v>
      </c>
      <c r="F17" s="8">
        <v>0.13339999999999999</v>
      </c>
      <c r="G17" s="8">
        <v>0.33660000000000001</v>
      </c>
      <c r="H17" s="8">
        <v>0.19309999999999999</v>
      </c>
      <c r="I17" s="8">
        <v>0.16539999999999999</v>
      </c>
      <c r="J17" s="8">
        <v>0.1346</v>
      </c>
    </row>
    <row r="18" spans="1:10" ht="15" customHeight="1" x14ac:dyDescent="0.25">
      <c r="A18" s="9" t="s">
        <v>48</v>
      </c>
      <c r="B18" s="8">
        <v>0.1658</v>
      </c>
      <c r="C18" s="8">
        <v>0.1246</v>
      </c>
      <c r="D18" s="8">
        <v>7.3599999999999999E-2</v>
      </c>
      <c r="E18" s="8">
        <v>0.28199999999999997</v>
      </c>
      <c r="F18" s="8">
        <v>0.1023</v>
      </c>
      <c r="G18" s="8">
        <v>0.28010000000000002</v>
      </c>
      <c r="H18" s="8">
        <v>0.13900000000000001</v>
      </c>
      <c r="I18" s="8">
        <v>0.12989999999999999</v>
      </c>
      <c r="J18" s="8">
        <v>9.6199999999999994E-2</v>
      </c>
    </row>
    <row r="19" spans="1:10" ht="15" customHeight="1" x14ac:dyDescent="0.25">
      <c r="A19" s="9" t="s">
        <v>49</v>
      </c>
      <c r="B19" s="8">
        <v>0.1096</v>
      </c>
      <c r="C19" s="8">
        <v>9.5500000000000002E-2</v>
      </c>
      <c r="D19" s="8">
        <v>6.4899999999999999E-2</v>
      </c>
      <c r="E19" s="8">
        <v>0.19700000000000001</v>
      </c>
      <c r="F19" s="8">
        <v>6.9099999999999995E-2</v>
      </c>
      <c r="G19" s="8">
        <v>0.22770000000000001</v>
      </c>
      <c r="H19" s="8">
        <v>9.2700000000000005E-2</v>
      </c>
      <c r="I19" s="8">
        <v>0.1089</v>
      </c>
      <c r="J19" s="8">
        <v>6.9000000000000006E-2</v>
      </c>
    </row>
    <row r="20" spans="1:10" ht="15" customHeight="1" x14ac:dyDescent="0.25">
      <c r="A20" s="9" t="s">
        <v>50</v>
      </c>
      <c r="B20" s="8">
        <v>5.3499999999999999E-2</v>
      </c>
      <c r="C20" s="8">
        <v>6.0499999999999998E-2</v>
      </c>
      <c r="D20" s="8">
        <v>3.4599999999999999E-2</v>
      </c>
      <c r="E20" s="8">
        <v>0.182</v>
      </c>
      <c r="F20" s="8">
        <v>4.4600000000000001E-2</v>
      </c>
      <c r="G20" s="8">
        <v>0.2051</v>
      </c>
      <c r="H20" s="8">
        <v>3.09E-2</v>
      </c>
      <c r="I20" s="8">
        <v>8.7900000000000006E-2</v>
      </c>
      <c r="J20" s="8">
        <v>5.6599999999999998E-2</v>
      </c>
    </row>
    <row r="21" spans="1:10" ht="15" customHeight="1" x14ac:dyDescent="0.25">
      <c r="A21" s="9" t="s">
        <v>61</v>
      </c>
      <c r="B21" s="8">
        <v>1.6E-2</v>
      </c>
      <c r="C21" s="8">
        <v>6.0499999999999998E-2</v>
      </c>
      <c r="D21" s="8"/>
      <c r="E21" s="8">
        <v>0.182</v>
      </c>
      <c r="F21" s="8">
        <v>3.5400000000000001E-2</v>
      </c>
      <c r="G21" s="8">
        <v>0.15479999999999999</v>
      </c>
      <c r="H21" s="8"/>
      <c r="I21" s="8">
        <v>8.7900000000000006E-2</v>
      </c>
      <c r="J21" s="8">
        <v>5.6599999999999998E-2</v>
      </c>
    </row>
    <row r="22" spans="1:10" ht="15" customHeight="1" x14ac:dyDescent="0.25">
      <c r="A22" s="9" t="s">
        <v>62</v>
      </c>
      <c r="B22" s="8">
        <v>1.4999999999999999E-2</v>
      </c>
      <c r="C22" s="8"/>
      <c r="D22" s="8"/>
      <c r="E22" s="8"/>
      <c r="F22" s="8"/>
      <c r="G22" s="8">
        <v>9.5299999999999996E-2</v>
      </c>
      <c r="H22" s="8"/>
      <c r="I22" s="8">
        <v>8.7900000000000006E-2</v>
      </c>
      <c r="J22" s="8">
        <v>5.6599999999999998E-2</v>
      </c>
    </row>
    <row r="23" spans="1:10" ht="15" customHeight="1" x14ac:dyDescent="0.25">
      <c r="A23" s="9" t="s">
        <v>72</v>
      </c>
      <c r="B23" s="8"/>
      <c r="C23" s="8"/>
      <c r="D23" s="8"/>
      <c r="E23" s="8"/>
      <c r="F23" s="8"/>
      <c r="G23" s="8">
        <v>5.1999999999999998E-2</v>
      </c>
      <c r="H23" s="8"/>
      <c r="I23" s="8">
        <v>8.7900000000000006E-2</v>
      </c>
      <c r="J23" s="8">
        <v>5.6599999999999998E-2</v>
      </c>
    </row>
    <row r="24" spans="1:10" ht="15" customHeight="1" x14ac:dyDescent="0.25">
      <c r="A24" s="9" t="s">
        <v>73</v>
      </c>
      <c r="B24" s="8"/>
      <c r="C24" s="8"/>
      <c r="D24" s="8"/>
      <c r="E24" s="8"/>
      <c r="F24" s="8"/>
      <c r="G24" s="8">
        <v>1.2E-2</v>
      </c>
      <c r="H24" s="8"/>
      <c r="I24" s="8">
        <v>8.7900000000000006E-2</v>
      </c>
      <c r="J24" s="8">
        <v>5.6599999999999998E-2</v>
      </c>
    </row>
    <row r="26" spans="1:10" ht="15" customHeight="1" x14ac:dyDescent="0.25">
      <c r="A26" s="10" t="s">
        <v>88</v>
      </c>
      <c r="B26" s="11">
        <f>AVERAGE(B11,B12)</f>
        <v>0.53479999999999994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pane ySplit="1" topLeftCell="A2" activePane="bottomLeft" state="frozen"/>
      <selection pane="bottomLeft" sqref="A1:D1"/>
    </sheetView>
  </sheetViews>
  <sheetFormatPr defaultColWidth="8.7109375" defaultRowHeight="15" x14ac:dyDescent="0.25"/>
  <cols>
    <col min="1" max="1" width="14" customWidth="1"/>
    <col min="2" max="2" width="52" customWidth="1"/>
    <col min="3" max="3" width="46" customWidth="1"/>
    <col min="4" max="4" width="60" customWidth="1"/>
  </cols>
  <sheetData>
    <row r="1" spans="1:4" ht="15" customHeight="1" x14ac:dyDescent="0.25">
      <c r="A1" s="22" t="s">
        <v>89</v>
      </c>
      <c r="B1" s="21"/>
      <c r="C1" s="21"/>
      <c r="D1" s="21"/>
    </row>
    <row r="2" spans="1:4" ht="45.75" customHeight="1" x14ac:dyDescent="0.25">
      <c r="A2" s="5" t="s">
        <v>23</v>
      </c>
      <c r="B2" s="5" t="s">
        <v>90</v>
      </c>
      <c r="C2" s="5" t="s">
        <v>91</v>
      </c>
      <c r="D2" s="5" t="s">
        <v>92</v>
      </c>
    </row>
    <row r="3" spans="1:4" ht="45.75" customHeight="1" x14ac:dyDescent="0.25">
      <c r="A3" s="12" t="s">
        <v>31</v>
      </c>
      <c r="B3" s="13" t="s">
        <v>93</v>
      </c>
      <c r="C3" s="14" t="s">
        <v>94</v>
      </c>
      <c r="D3" s="13" t="s">
        <v>95</v>
      </c>
    </row>
    <row r="4" spans="1:4" ht="45.75" customHeight="1" x14ac:dyDescent="0.25">
      <c r="A4" s="12" t="s">
        <v>51</v>
      </c>
      <c r="B4" s="13" t="s">
        <v>96</v>
      </c>
      <c r="C4" s="13" t="s">
        <v>97</v>
      </c>
      <c r="D4" s="13" t="s">
        <v>98</v>
      </c>
    </row>
    <row r="5" spans="1:4" ht="45.75" customHeight="1" x14ac:dyDescent="0.25">
      <c r="A5" s="12" t="s">
        <v>52</v>
      </c>
      <c r="B5" s="13" t="s">
        <v>99</v>
      </c>
      <c r="C5" s="14" t="s">
        <v>100</v>
      </c>
      <c r="D5" s="13" t="s">
        <v>101</v>
      </c>
    </row>
    <row r="6" spans="1:4" ht="28.5" x14ac:dyDescent="0.25">
      <c r="A6" s="12" t="s">
        <v>53</v>
      </c>
      <c r="B6" s="13" t="s">
        <v>102</v>
      </c>
      <c r="C6" s="14" t="s">
        <v>103</v>
      </c>
      <c r="D6" s="13" t="s">
        <v>104</v>
      </c>
    </row>
    <row r="7" spans="1:4" ht="15" customHeight="1" x14ac:dyDescent="0.25"/>
    <row r="8" spans="1:4" ht="27.75" customHeight="1" x14ac:dyDescent="0.25">
      <c r="A8" s="24" t="s">
        <v>105</v>
      </c>
      <c r="B8" s="21"/>
      <c r="C8" s="21"/>
      <c r="D8" s="21"/>
    </row>
    <row r="9" spans="1:4" ht="27.75" customHeight="1" x14ac:dyDescent="0.25">
      <c r="A9" s="23" t="s">
        <v>106</v>
      </c>
      <c r="B9" s="21"/>
      <c r="C9" s="21"/>
      <c r="D9" s="21"/>
    </row>
    <row r="10" spans="1:4" ht="27.75" customHeight="1" x14ac:dyDescent="0.25">
      <c r="A10" s="23" t="s">
        <v>107</v>
      </c>
      <c r="B10" s="21"/>
      <c r="C10" s="21"/>
      <c r="D10" s="21"/>
    </row>
    <row r="11" spans="1:4" ht="27.75" customHeight="1" x14ac:dyDescent="0.25">
      <c r="A11" s="23" t="s">
        <v>108</v>
      </c>
      <c r="B11" s="21"/>
      <c r="C11" s="21"/>
      <c r="D11" s="21"/>
    </row>
    <row r="12" spans="1:4" ht="171" x14ac:dyDescent="0.25">
      <c r="A12" s="2" t="s">
        <v>109</v>
      </c>
    </row>
  </sheetData>
  <mergeCells count="5">
    <mergeCell ref="A1:D1"/>
    <mergeCell ref="A9:D9"/>
    <mergeCell ref="A8:D8"/>
    <mergeCell ref="A11:D11"/>
    <mergeCell ref="A10:D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tabSelected="1" zoomScaleNormal="100" workbookViewId="0">
      <selection sqref="A1:D1"/>
    </sheetView>
  </sheetViews>
  <sheetFormatPr defaultColWidth="8.7109375" defaultRowHeight="15" x14ac:dyDescent="0.25"/>
  <cols>
    <col min="1" max="1" width="16" customWidth="1"/>
    <col min="2" max="2" width="22" customWidth="1"/>
    <col min="3" max="3" width="26" customWidth="1"/>
    <col min="4" max="4" width="40" customWidth="1"/>
  </cols>
  <sheetData>
    <row r="1" spans="1:4" ht="15" customHeight="1" x14ac:dyDescent="0.25">
      <c r="A1" s="25" t="s">
        <v>110</v>
      </c>
      <c r="B1" s="21"/>
      <c r="C1" s="21"/>
      <c r="D1" s="21"/>
    </row>
    <row r="3" spans="1:4" ht="30" customHeight="1" x14ac:dyDescent="0.25">
      <c r="A3" s="26" t="s">
        <v>111</v>
      </c>
      <c r="B3" s="21"/>
      <c r="C3" s="21"/>
      <c r="D3" s="21"/>
    </row>
    <row r="4" spans="1:4" ht="19.5" customHeight="1" x14ac:dyDescent="0.25">
      <c r="A4" s="26" t="s">
        <v>112</v>
      </c>
      <c r="B4" s="21"/>
      <c r="C4" s="21"/>
      <c r="D4" s="21"/>
    </row>
    <row r="6" spans="1:4" ht="15" customHeight="1" x14ac:dyDescent="0.25">
      <c r="A6" s="24" t="s">
        <v>113</v>
      </c>
      <c r="B6" s="21"/>
      <c r="C6" s="21"/>
      <c r="D6" s="21"/>
    </row>
    <row r="8" spans="1:4" ht="26.85" customHeight="1" x14ac:dyDescent="0.25">
      <c r="A8" s="5" t="s">
        <v>114</v>
      </c>
      <c r="B8" s="5" t="s">
        <v>115</v>
      </c>
      <c r="C8" s="5" t="s">
        <v>116</v>
      </c>
      <c r="D8" s="5" t="s">
        <v>117</v>
      </c>
    </row>
    <row r="9" spans="1:4" ht="15" customHeight="1" x14ac:dyDescent="0.25">
      <c r="A9" s="13" t="s">
        <v>118</v>
      </c>
      <c r="B9" s="13" t="s">
        <v>119</v>
      </c>
      <c r="C9" s="13" t="s">
        <v>120</v>
      </c>
      <c r="D9" s="13" t="s">
        <v>121</v>
      </c>
    </row>
    <row r="10" spans="1:4" ht="26.85" customHeight="1" x14ac:dyDescent="0.25">
      <c r="A10" s="13" t="s">
        <v>122</v>
      </c>
      <c r="B10" s="13" t="s">
        <v>123</v>
      </c>
      <c r="C10" s="13" t="s">
        <v>124</v>
      </c>
      <c r="D10" s="13" t="s">
        <v>125</v>
      </c>
    </row>
    <row r="11" spans="1:4" ht="26.85" customHeight="1" x14ac:dyDescent="0.25">
      <c r="A11" s="13" t="s">
        <v>126</v>
      </c>
      <c r="B11" s="13" t="s">
        <v>127</v>
      </c>
      <c r="C11" s="13" t="s">
        <v>128</v>
      </c>
      <c r="D11" s="13" t="s">
        <v>129</v>
      </c>
    </row>
    <row r="12" spans="1:4" ht="15" customHeight="1" x14ac:dyDescent="0.25">
      <c r="A12" s="13" t="s">
        <v>130</v>
      </c>
      <c r="B12" s="13" t="s">
        <v>131</v>
      </c>
      <c r="C12" s="13" t="s">
        <v>132</v>
      </c>
      <c r="D12" s="13" t="s">
        <v>133</v>
      </c>
    </row>
    <row r="13" spans="1:4" ht="26.85" customHeight="1" x14ac:dyDescent="0.25">
      <c r="A13" s="13" t="s">
        <v>134</v>
      </c>
      <c r="B13" s="13" t="s">
        <v>135</v>
      </c>
      <c r="C13" s="13" t="s">
        <v>136</v>
      </c>
      <c r="D13" s="13" t="s">
        <v>137</v>
      </c>
    </row>
    <row r="15" spans="1:4" ht="15" customHeight="1" x14ac:dyDescent="0.25">
      <c r="A15" s="24" t="s">
        <v>138</v>
      </c>
      <c r="B15" s="21"/>
      <c r="C15" s="21"/>
      <c r="D15" s="21"/>
    </row>
    <row r="16" spans="1:4" ht="15" customHeight="1" x14ac:dyDescent="0.25">
      <c r="A16" s="5" t="s">
        <v>23</v>
      </c>
      <c r="B16" s="5" t="s">
        <v>139</v>
      </c>
      <c r="C16" s="5" t="s">
        <v>140</v>
      </c>
      <c r="D16" s="5" t="s">
        <v>141</v>
      </c>
    </row>
    <row r="17" spans="1:4" ht="15" customHeight="1" x14ac:dyDescent="0.25">
      <c r="A17" s="13" t="s">
        <v>31</v>
      </c>
      <c r="B17" s="14" t="s">
        <v>142</v>
      </c>
      <c r="C17" s="14" t="s">
        <v>142</v>
      </c>
      <c r="D17" s="13" t="s">
        <v>143</v>
      </c>
    </row>
    <row r="18" spans="1:4" ht="15" customHeight="1" x14ac:dyDescent="0.25">
      <c r="A18" s="13" t="s">
        <v>51</v>
      </c>
      <c r="B18" s="14" t="s">
        <v>142</v>
      </c>
      <c r="C18" s="14" t="s">
        <v>142</v>
      </c>
      <c r="D18" s="13" t="s">
        <v>144</v>
      </c>
    </row>
    <row r="19" spans="1:4" ht="26.85" customHeight="1" x14ac:dyDescent="0.25">
      <c r="A19" s="13" t="s">
        <v>52</v>
      </c>
      <c r="B19" s="13" t="s">
        <v>145</v>
      </c>
      <c r="C19" s="14" t="s">
        <v>142</v>
      </c>
      <c r="D19" s="13" t="s">
        <v>146</v>
      </c>
    </row>
    <row r="20" spans="1:4" ht="15" customHeight="1" x14ac:dyDescent="0.25">
      <c r="A20" s="13" t="s">
        <v>53</v>
      </c>
      <c r="B20" s="13" t="s">
        <v>145</v>
      </c>
      <c r="C20" s="13" t="s">
        <v>145</v>
      </c>
      <c r="D20" s="13" t="s">
        <v>147</v>
      </c>
    </row>
    <row r="21" spans="1:4" ht="15" customHeight="1" x14ac:dyDescent="0.25">
      <c r="A21" s="13" t="s">
        <v>54</v>
      </c>
      <c r="B21" s="13" t="s">
        <v>145</v>
      </c>
      <c r="C21" s="14" t="s">
        <v>142</v>
      </c>
      <c r="D21" s="14" t="s">
        <v>142</v>
      </c>
    </row>
  </sheetData>
  <mergeCells count="5">
    <mergeCell ref="A1:D1"/>
    <mergeCell ref="A6:D6"/>
    <mergeCell ref="A4:D4"/>
    <mergeCell ref="A3:D3"/>
    <mergeCell ref="A15:D15"/>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Current_Tables</vt:lpstr>
      <vt:lpstr>Lookup_Tidy</vt:lpstr>
      <vt:lpstr>Tables_Wide</vt:lpstr>
      <vt:lpstr>Active_From_Logs</vt:lpstr>
      <vt:lpstr>Condition_Selection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Matthew (DFW)</cp:lastModifiedBy>
  <cp:revision>0</cp:revision>
  <dcterms:created xsi:type="dcterms:W3CDTF">2026-06-28T03:15:08Z</dcterms:created>
  <dcterms:modified xsi:type="dcterms:W3CDTF">2026-07-09T05:00:39Z</dcterms:modified>
  <dc:language>en-US</dc:language>
</cp:coreProperties>
</file>